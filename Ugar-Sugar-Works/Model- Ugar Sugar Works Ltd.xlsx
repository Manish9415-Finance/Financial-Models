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r Rathour\OneDrive\Desktop\Desku Files\Investment Banking\Jobaaj\Fastrack Assignment\"/>
    </mc:Choice>
  </mc:AlternateContent>
  <xr:revisionPtr revIDLastSave="0" documentId="13_ncr:1_{DEEA3E2F-8385-41E5-842B-45F20B4662B2}" xr6:coauthVersionLast="47" xr6:coauthVersionMax="47" xr10:uidLastSave="{00000000-0000-0000-0000-000000000000}"/>
  <bookViews>
    <workbookView xWindow="-108" yWindow="-108" windowWidth="23256" windowHeight="12456" tabRatio="989" firstSheet="4" activeTab="12" xr2:uid="{3A191671-960A-4125-AD83-1525A401B81F}"/>
  </bookViews>
  <sheets>
    <sheet name="Cover page" sheetId="3" r:id="rId1"/>
    <sheet name="Assumptions-&gt;" sheetId="20" r:id="rId2"/>
    <sheet name="Assumptions" sheetId="15" r:id="rId3"/>
    <sheet name="Rev Growth Scenarios" sheetId="5" r:id="rId4"/>
    <sheet name="Inputs-&gt;" sheetId="19" r:id="rId5"/>
    <sheet name="Historical Info" sheetId="2" r:id="rId6"/>
    <sheet name="Comps (Data)" sheetId="8" r:id="rId7"/>
    <sheet name="Assumptions (Data)" sheetId="13" r:id="rId8"/>
    <sheet name="Working Schedules" sheetId="16" r:id="rId9"/>
    <sheet name="Financial Statements" sheetId="4" r:id="rId10"/>
    <sheet name="DCF" sheetId="18" r:id="rId11"/>
    <sheet name="Comps Valuation" sheetId="7" r:id="rId12"/>
    <sheet name="Ratio Analysis &amp; Interpretation" sheetId="14" r:id="rId13"/>
    <sheet name="Market_Returns" sheetId="9" r:id="rId14"/>
    <sheet name="WACC" sheetId="10" r:id="rId15"/>
    <sheet name="Beta" sheetId="11" r:id="rId16"/>
    <sheet name="Summary" sheetId="12" r:id="rId17"/>
  </sheets>
  <definedNames>
    <definedName name="_xlnm._FilterDatabase" localSheetId="15" hidden="1">Beta!$D$4:$H$62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4" i="15" l="1"/>
  <c r="G63" i="15"/>
  <c r="S38" i="18"/>
  <c r="S37" i="18"/>
  <c r="N22" i="18"/>
  <c r="N20" i="18"/>
  <c r="I4" i="16"/>
  <c r="J4" i="16"/>
  <c r="K4" i="16"/>
  <c r="L4" i="16"/>
  <c r="M4" i="16"/>
  <c r="N4" i="16"/>
  <c r="O4" i="16"/>
  <c r="P4" i="16"/>
  <c r="Q4" i="16"/>
  <c r="R4" i="16"/>
  <c r="S4" i="16"/>
  <c r="T4" i="16"/>
  <c r="U4" i="16"/>
  <c r="V4" i="16"/>
  <c r="H4" i="16"/>
  <c r="F5" i="9"/>
  <c r="F4" i="9"/>
  <c r="K12" i="11"/>
  <c r="K10" i="11" l="1"/>
  <c r="K8" i="11"/>
  <c r="K7" i="11"/>
  <c r="H64" i="11"/>
  <c r="F64" i="11"/>
  <c r="M52" i="4" l="1"/>
  <c r="K9" i="14"/>
  <c r="J43" i="14"/>
  <c r="K43" i="14"/>
  <c r="L43" i="14"/>
  <c r="I43" i="14"/>
  <c r="J41" i="14"/>
  <c r="K41" i="14"/>
  <c r="L41" i="14"/>
  <c r="I41" i="14"/>
  <c r="I39" i="14"/>
  <c r="J39" i="14"/>
  <c r="K39" i="14"/>
  <c r="L39" i="14"/>
  <c r="M32" i="18" l="1"/>
  <c r="L29" i="18"/>
  <c r="K29" i="18"/>
  <c r="J29" i="18"/>
  <c r="I29" i="18"/>
  <c r="O21" i="18"/>
  <c r="P21" i="18" s="1"/>
  <c r="M20" i="18"/>
  <c r="H19" i="18"/>
  <c r="E13" i="18"/>
  <c r="E8" i="18"/>
  <c r="A1" i="18"/>
  <c r="L9" i="16"/>
  <c r="K9" i="16"/>
  <c r="J9" i="16"/>
  <c r="I9" i="16"/>
  <c r="H9" i="16"/>
  <c r="L8" i="16"/>
  <c r="L11" i="16" s="1"/>
  <c r="K8" i="16"/>
  <c r="J8" i="16"/>
  <c r="J11" i="16" s="1"/>
  <c r="I8" i="16"/>
  <c r="I11" i="16" s="1"/>
  <c r="H8" i="16"/>
  <c r="L7" i="16"/>
  <c r="K7" i="16"/>
  <c r="K11" i="16" s="1"/>
  <c r="J7" i="16"/>
  <c r="I7" i="16"/>
  <c r="H7" i="16"/>
  <c r="H11" i="16" s="1"/>
  <c r="A1" i="16"/>
  <c r="Q21" i="18" l="1"/>
  <c r="P20" i="18"/>
  <c r="O22" i="18"/>
  <c r="O20" i="18"/>
  <c r="R21" i="18" l="1"/>
  <c r="Q20" i="18"/>
  <c r="P22" i="18"/>
  <c r="R20" i="18" l="1"/>
  <c r="S21" i="18"/>
  <c r="Q22" i="18"/>
  <c r="T21" i="18" l="1"/>
  <c r="S20" i="18"/>
  <c r="S22" i="18"/>
  <c r="R22" i="18"/>
  <c r="U21" i="18" l="1"/>
  <c r="T20" i="18"/>
  <c r="V21" i="18" l="1"/>
  <c r="U20" i="18"/>
  <c r="T22" i="18"/>
  <c r="V20" i="18" l="1"/>
  <c r="W21" i="18"/>
  <c r="W20" i="18" s="1"/>
  <c r="X20" i="18" s="1"/>
  <c r="U22" i="18"/>
  <c r="W22" i="18" l="1"/>
  <c r="X22" i="18" s="1"/>
  <c r="V22" i="18"/>
  <c r="H63" i="11" l="1"/>
  <c r="F63" i="11"/>
  <c r="F40" i="13" l="1"/>
  <c r="G58" i="15"/>
  <c r="G56" i="15"/>
  <c r="F7" i="10"/>
  <c r="F18" i="10" s="1"/>
  <c r="A1" i="15"/>
  <c r="A1" i="13"/>
  <c r="C11" i="8"/>
  <c r="H4" i="14"/>
  <c r="F6" i="11" l="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8" i="12"/>
  <c r="F7" i="12"/>
  <c r="E11" i="8"/>
  <c r="J20" i="7" l="1"/>
  <c r="G59" i="15"/>
  <c r="H62" i="11"/>
  <c r="I39" i="13"/>
  <c r="H39" i="13"/>
  <c r="G39" i="13"/>
  <c r="F39" i="13"/>
  <c r="E39" i="13"/>
  <c r="F34" i="13"/>
  <c r="G34" i="13" s="1"/>
  <c r="H34" i="13" s="1"/>
  <c r="I34" i="13" s="1"/>
  <c r="E18" i="13"/>
  <c r="F7" i="13" s="1"/>
  <c r="H40" i="13" l="1"/>
  <c r="G40" i="13"/>
  <c r="I40" i="13"/>
  <c r="F8" i="13" a="1"/>
  <c r="F8" i="13" s="1"/>
  <c r="F13" i="13" a="1"/>
  <c r="F13" i="13" s="1"/>
  <c r="F18" i="13"/>
  <c r="F41" i="13" l="1"/>
  <c r="G13" i="13" s="1"/>
  <c r="G18" i="13" s="1"/>
  <c r="R76" i="4" l="1"/>
  <c r="S76" i="4"/>
  <c r="T76" i="4"/>
  <c r="U76" i="4"/>
  <c r="V76" i="4"/>
  <c r="I117" i="2"/>
  <c r="J117" i="2"/>
  <c r="K117" i="2"/>
  <c r="L117" i="2"/>
  <c r="H117" i="2"/>
  <c r="H111" i="2"/>
  <c r="I111" i="2"/>
  <c r="J111" i="2"/>
  <c r="K111" i="2"/>
  <c r="L111" i="2"/>
  <c r="I97" i="2"/>
  <c r="I101" i="2" s="1"/>
  <c r="I103" i="2" s="1"/>
  <c r="I105" i="2" s="1"/>
  <c r="J97" i="2"/>
  <c r="J101" i="2" s="1"/>
  <c r="J103" i="2" s="1"/>
  <c r="J105" i="2" s="1"/>
  <c r="K97" i="2"/>
  <c r="K101" i="2" s="1"/>
  <c r="K103" i="2" s="1"/>
  <c r="K105" i="2" s="1"/>
  <c r="L97" i="2"/>
  <c r="L101" i="2" s="1"/>
  <c r="L103" i="2" s="1"/>
  <c r="L105" i="2" s="1"/>
  <c r="H97" i="2"/>
  <c r="H101" i="2" s="1"/>
  <c r="H103" i="2" s="1"/>
  <c r="H105" i="2" s="1"/>
  <c r="H118" i="2" l="1"/>
  <c r="L118" i="2"/>
  <c r="I118" i="2"/>
  <c r="K118" i="2"/>
  <c r="J118" i="2"/>
  <c r="H20" i="7" l="1"/>
  <c r="E14" i="18" s="1"/>
  <c r="K36" i="18" s="1"/>
  <c r="K42" i="18" s="1"/>
  <c r="O36" i="18" s="1"/>
  <c r="I82" i="2"/>
  <c r="I83" i="2" s="1"/>
  <c r="J82" i="2"/>
  <c r="J83" i="2" s="1"/>
  <c r="K82" i="2"/>
  <c r="K83" i="2" s="1"/>
  <c r="L82" i="2"/>
  <c r="L83" i="2" s="1"/>
  <c r="H82" i="2"/>
  <c r="H83" i="2" s="1"/>
  <c r="I55" i="2"/>
  <c r="J55" i="2"/>
  <c r="K55" i="2"/>
  <c r="L55" i="2"/>
  <c r="H55" i="2"/>
  <c r="H29" i="2"/>
  <c r="I29" i="2"/>
  <c r="J29" i="2"/>
  <c r="K29" i="2"/>
  <c r="L29" i="2"/>
  <c r="I19" i="2"/>
  <c r="J19" i="2"/>
  <c r="K19" i="2"/>
  <c r="L19" i="2"/>
  <c r="H19" i="2"/>
  <c r="I8" i="2"/>
  <c r="J8" i="2"/>
  <c r="K8" i="2"/>
  <c r="L8" i="2"/>
  <c r="H8" i="2"/>
  <c r="E7" i="5"/>
  <c r="E6" i="5"/>
  <c r="I10" i="12" l="1"/>
  <c r="I8" i="12"/>
  <c r="H10" i="12"/>
  <c r="H8" i="12"/>
  <c r="G10" i="12"/>
  <c r="F10" i="12"/>
  <c r="F9" i="12"/>
  <c r="L54" i="4"/>
  <c r="E39" i="18" s="1"/>
  <c r="K39" i="18" s="1"/>
  <c r="H60" i="11" l="1"/>
  <c r="H59" i="11"/>
  <c r="H58" i="11"/>
  <c r="H57" i="11"/>
  <c r="H56" i="11"/>
  <c r="H55" i="11"/>
  <c r="H54" i="11"/>
  <c r="H53" i="11"/>
  <c r="H52" i="11"/>
  <c r="H51" i="11"/>
  <c r="H50" i="11"/>
  <c r="H49" i="11"/>
  <c r="H48" i="11"/>
  <c r="H47" i="11"/>
  <c r="H46" i="11"/>
  <c r="H45" i="11"/>
  <c r="H44" i="11"/>
  <c r="H43" i="11"/>
  <c r="H42" i="11"/>
  <c r="H41" i="11"/>
  <c r="H40" i="11"/>
  <c r="H39" i="11"/>
  <c r="H38" i="11"/>
  <c r="H37" i="11"/>
  <c r="H36" i="11"/>
  <c r="H35" i="11"/>
  <c r="H34" i="11"/>
  <c r="H33" i="11"/>
  <c r="H32" i="11"/>
  <c r="H31" i="11"/>
  <c r="H30" i="11"/>
  <c r="H29" i="11"/>
  <c r="H28" i="11"/>
  <c r="H27" i="11"/>
  <c r="H26" i="11"/>
  <c r="H25" i="11"/>
  <c r="H24" i="11"/>
  <c r="H23" i="11"/>
  <c r="H22" i="11"/>
  <c r="H21" i="11"/>
  <c r="H20" i="11"/>
  <c r="H19" i="11"/>
  <c r="H18" i="11"/>
  <c r="H17" i="11"/>
  <c r="H16" i="11"/>
  <c r="H15" i="11"/>
  <c r="H14" i="11"/>
  <c r="H13" i="11"/>
  <c r="H12" i="11"/>
  <c r="H11" i="11"/>
  <c r="H10" i="11"/>
  <c r="H9" i="11"/>
  <c r="H8" i="11"/>
  <c r="H7" i="11"/>
  <c r="H6" i="11"/>
  <c r="H61" i="11"/>
  <c r="A1" i="11"/>
  <c r="H37" i="10"/>
  <c r="L16" i="10"/>
  <c r="M16" i="10"/>
  <c r="M15" i="10"/>
  <c r="J7" i="10"/>
  <c r="K7" i="10"/>
  <c r="K8" i="10"/>
  <c r="J8" i="10"/>
  <c r="N8" i="10" s="1"/>
  <c r="J9" i="10"/>
  <c r="N9" i="10" s="1"/>
  <c r="I18" i="10"/>
  <c r="H28" i="10" s="1"/>
  <c r="H18" i="10"/>
  <c r="H27" i="10" s="1"/>
  <c r="D18" i="10"/>
  <c r="L8" i="10"/>
  <c r="L9" i="10"/>
  <c r="L10" i="10"/>
  <c r="L11" i="10"/>
  <c r="L12" i="10"/>
  <c r="L13" i="10"/>
  <c r="L14" i="10"/>
  <c r="L7" i="10"/>
  <c r="L15" i="10" s="1"/>
  <c r="I7" i="10"/>
  <c r="I8" i="10"/>
  <c r="I9" i="10"/>
  <c r="K9" i="10" s="1"/>
  <c r="I10" i="10"/>
  <c r="J10" i="10" s="1"/>
  <c r="I11" i="10"/>
  <c r="J11" i="10" s="1"/>
  <c r="N11" i="10" s="1"/>
  <c r="I12" i="10"/>
  <c r="J12" i="10" s="1"/>
  <c r="N12" i="10" s="1"/>
  <c r="I13" i="10"/>
  <c r="J13" i="10" s="1"/>
  <c r="N13" i="10" s="1"/>
  <c r="I14" i="10"/>
  <c r="K14" i="10" s="1"/>
  <c r="H7" i="10"/>
  <c r="H8" i="10"/>
  <c r="H9" i="10"/>
  <c r="H10" i="10"/>
  <c r="H11" i="10"/>
  <c r="H12" i="10"/>
  <c r="H13" i="10"/>
  <c r="H14" i="10"/>
  <c r="D8" i="10"/>
  <c r="D9" i="10"/>
  <c r="D10" i="10"/>
  <c r="D11" i="10"/>
  <c r="D12" i="10"/>
  <c r="D13" i="10"/>
  <c r="D14" i="10"/>
  <c r="D7" i="10"/>
  <c r="H38" i="10"/>
  <c r="H39" i="10" l="1"/>
  <c r="N10" i="10"/>
  <c r="K13" i="10"/>
  <c r="N7" i="10"/>
  <c r="J14" i="10"/>
  <c r="N14" i="10" s="1"/>
  <c r="K12" i="10"/>
  <c r="K11" i="10"/>
  <c r="K10" i="10"/>
  <c r="K15" i="10" s="1"/>
  <c r="H29" i="10"/>
  <c r="J25" i="7"/>
  <c r="L12" i="7"/>
  <c r="L10" i="7"/>
  <c r="L9" i="7"/>
  <c r="L20" i="7"/>
  <c r="L13" i="7"/>
  <c r="L8" i="7"/>
  <c r="L11" i="7"/>
  <c r="L14" i="7"/>
  <c r="Q9" i="7"/>
  <c r="Q10" i="7"/>
  <c r="Q11" i="7"/>
  <c r="Q12" i="7"/>
  <c r="Q13" i="7"/>
  <c r="Q14" i="7"/>
  <c r="Q15" i="7"/>
  <c r="Q8" i="7"/>
  <c r="N13" i="7"/>
  <c r="N9" i="7"/>
  <c r="O9" i="7"/>
  <c r="P9" i="7"/>
  <c r="N10" i="7"/>
  <c r="O10" i="7"/>
  <c r="P10" i="7"/>
  <c r="N11" i="7"/>
  <c r="O11" i="7"/>
  <c r="P11" i="7"/>
  <c r="N12" i="7"/>
  <c r="O12" i="7"/>
  <c r="P12" i="7"/>
  <c r="O13" i="7"/>
  <c r="P13" i="7"/>
  <c r="N14" i="7"/>
  <c r="O14" i="7"/>
  <c r="P14" i="7"/>
  <c r="N15" i="7"/>
  <c r="O15" i="7"/>
  <c r="P15" i="7"/>
  <c r="N20" i="7"/>
  <c r="O20" i="7"/>
  <c r="P20" i="7"/>
  <c r="O8" i="7"/>
  <c r="P8" i="7"/>
  <c r="N8" i="7"/>
  <c r="H9" i="7"/>
  <c r="I9" i="7"/>
  <c r="J9" i="7"/>
  <c r="K9" i="7"/>
  <c r="H10" i="7"/>
  <c r="I10" i="7"/>
  <c r="J10" i="7"/>
  <c r="K10" i="7"/>
  <c r="H11" i="7"/>
  <c r="I11" i="7"/>
  <c r="J11" i="7"/>
  <c r="T11" i="7" s="1"/>
  <c r="K11" i="7"/>
  <c r="H12" i="7"/>
  <c r="I12" i="7"/>
  <c r="J12" i="7"/>
  <c r="K12" i="7"/>
  <c r="H13" i="7"/>
  <c r="I13" i="7"/>
  <c r="J13" i="7"/>
  <c r="K13" i="7"/>
  <c r="H14" i="7"/>
  <c r="I14" i="7"/>
  <c r="J14" i="7"/>
  <c r="K14" i="7"/>
  <c r="H15" i="7"/>
  <c r="I15" i="7"/>
  <c r="J15" i="7"/>
  <c r="K15" i="7"/>
  <c r="L15" i="7"/>
  <c r="I20" i="7"/>
  <c r="K23" i="7" s="1"/>
  <c r="K24" i="7" s="1"/>
  <c r="K25" i="7" s="1"/>
  <c r="K20" i="7"/>
  <c r="I8" i="7"/>
  <c r="J8" i="7"/>
  <c r="K8" i="7"/>
  <c r="H8" i="7"/>
  <c r="F9" i="7"/>
  <c r="F10" i="7"/>
  <c r="F11" i="7"/>
  <c r="F12" i="7"/>
  <c r="F13" i="7"/>
  <c r="F14" i="7"/>
  <c r="F15" i="7"/>
  <c r="F20" i="7"/>
  <c r="F8" i="7"/>
  <c r="D9" i="7"/>
  <c r="D10" i="7"/>
  <c r="D11" i="7"/>
  <c r="D12" i="7"/>
  <c r="D13" i="7"/>
  <c r="D14" i="7"/>
  <c r="D15" i="7"/>
  <c r="D20" i="7"/>
  <c r="D8" i="7"/>
  <c r="K28" i="2"/>
  <c r="J28" i="2"/>
  <c r="L28" i="2"/>
  <c r="L22" i="4" s="1"/>
  <c r="L25" i="18" s="1"/>
  <c r="I28" i="2"/>
  <c r="H28" i="2"/>
  <c r="N16" i="10" l="1"/>
  <c r="N15" i="10"/>
  <c r="K16" i="10"/>
  <c r="H23" i="10" s="1"/>
  <c r="H24" i="10" s="1"/>
  <c r="J15" i="10"/>
  <c r="J16" i="10"/>
  <c r="I23" i="7"/>
  <c r="I24" i="7" s="1"/>
  <c r="I25" i="7" s="1"/>
  <c r="H25" i="7" s="1"/>
  <c r="T14" i="7"/>
  <c r="M9" i="7"/>
  <c r="R9" i="7" s="1"/>
  <c r="T15" i="7"/>
  <c r="M10" i="7"/>
  <c r="R10" i="7" s="1"/>
  <c r="M8" i="7"/>
  <c r="S8" i="7" s="1"/>
  <c r="M13" i="7"/>
  <c r="R13" i="7" s="1"/>
  <c r="M20" i="7"/>
  <c r="R20" i="7" s="1"/>
  <c r="T9" i="7"/>
  <c r="M11" i="7"/>
  <c r="R11" i="7" s="1"/>
  <c r="T8" i="7"/>
  <c r="M12" i="7"/>
  <c r="S12" i="7" s="1"/>
  <c r="M15" i="7"/>
  <c r="R15" i="7" s="1"/>
  <c r="T20" i="7"/>
  <c r="T13" i="7"/>
  <c r="T10" i="7"/>
  <c r="M14" i="7"/>
  <c r="T12" i="7"/>
  <c r="S11" i="7" l="1"/>
  <c r="R8" i="7"/>
  <c r="T18" i="7"/>
  <c r="F25" i="7" s="1"/>
  <c r="T17" i="7"/>
  <c r="S9" i="7"/>
  <c r="S10" i="7"/>
  <c r="R12" i="7"/>
  <c r="S13" i="7"/>
  <c r="S15" i="7"/>
  <c r="S20" i="7"/>
  <c r="E10" i="18" s="1"/>
  <c r="S14" i="7"/>
  <c r="R14" i="7"/>
  <c r="L25" i="7" l="1"/>
  <c r="R17" i="7"/>
  <c r="S17" i="7"/>
  <c r="S18" i="7"/>
  <c r="F24" i="7" s="1"/>
  <c r="H24" i="7" s="1"/>
  <c r="J24" i="7" s="1"/>
  <c r="L24" i="7" s="1"/>
  <c r="R18" i="7"/>
  <c r="F23" i="7" s="1"/>
  <c r="H23" i="7" s="1"/>
  <c r="J23" i="7" s="1"/>
  <c r="L23" i="7" s="1"/>
  <c r="A1" i="7" l="1"/>
  <c r="M76" i="4"/>
  <c r="N76" i="4"/>
  <c r="O76" i="4"/>
  <c r="P76" i="4"/>
  <c r="Q76" i="4"/>
  <c r="G6" i="4"/>
  <c r="H47" i="4"/>
  <c r="H22" i="16" s="1"/>
  <c r="I20" i="16" s="1"/>
  <c r="H76" i="4"/>
  <c r="A1" i="5" l="1"/>
  <c r="H83" i="4"/>
  <c r="I83" i="4"/>
  <c r="J83" i="4"/>
  <c r="K83" i="4"/>
  <c r="L83" i="4"/>
  <c r="H79" i="4"/>
  <c r="I79" i="4"/>
  <c r="J79" i="4"/>
  <c r="K79" i="4"/>
  <c r="L79" i="4"/>
  <c r="H78" i="4"/>
  <c r="I78" i="4"/>
  <c r="J78" i="4"/>
  <c r="K78" i="4"/>
  <c r="L78" i="4"/>
  <c r="H77" i="4"/>
  <c r="I77" i="4"/>
  <c r="J77" i="4"/>
  <c r="K77" i="4"/>
  <c r="L77" i="4"/>
  <c r="I76" i="4"/>
  <c r="J76" i="4"/>
  <c r="K76" i="4"/>
  <c r="L76" i="4"/>
  <c r="H72" i="4"/>
  <c r="I72" i="4"/>
  <c r="J72" i="4"/>
  <c r="K72" i="4"/>
  <c r="L72" i="4"/>
  <c r="H71" i="4"/>
  <c r="I71" i="4"/>
  <c r="J71" i="4"/>
  <c r="K71" i="4"/>
  <c r="L71" i="4"/>
  <c r="H70" i="4"/>
  <c r="I70" i="4"/>
  <c r="J70" i="4"/>
  <c r="K70" i="4"/>
  <c r="L70" i="4"/>
  <c r="H69" i="4"/>
  <c r="I69" i="4"/>
  <c r="J69" i="4"/>
  <c r="K69" i="4"/>
  <c r="L69" i="4"/>
  <c r="M69" i="4" s="1"/>
  <c r="N69" i="4" s="1"/>
  <c r="O69" i="4" s="1"/>
  <c r="P69" i="4" s="1"/>
  <c r="Q69" i="4" s="1"/>
  <c r="R69" i="4" s="1"/>
  <c r="S69" i="4" s="1"/>
  <c r="T69" i="4" s="1"/>
  <c r="U69" i="4" s="1"/>
  <c r="V69" i="4" s="1"/>
  <c r="H68" i="4"/>
  <c r="I68" i="4"/>
  <c r="J68" i="4"/>
  <c r="K68" i="4"/>
  <c r="L68" i="4"/>
  <c r="H61" i="4"/>
  <c r="I61" i="4"/>
  <c r="J61" i="4"/>
  <c r="K61" i="4"/>
  <c r="L61" i="4"/>
  <c r="H63" i="4"/>
  <c r="I63" i="4"/>
  <c r="J63" i="4"/>
  <c r="K63" i="4"/>
  <c r="L63" i="4"/>
  <c r="H62" i="4"/>
  <c r="H16" i="16" s="1"/>
  <c r="I62" i="4"/>
  <c r="I16" i="16" s="1"/>
  <c r="J62" i="4"/>
  <c r="J16" i="16" s="1"/>
  <c r="K62" i="4"/>
  <c r="K16" i="16" s="1"/>
  <c r="L62" i="4"/>
  <c r="L16" i="16" s="1"/>
  <c r="H54" i="4"/>
  <c r="I54" i="4"/>
  <c r="J54" i="4"/>
  <c r="K54" i="4"/>
  <c r="M54" i="4"/>
  <c r="N54" i="4" s="1"/>
  <c r="O54" i="4" s="1"/>
  <c r="P54" i="4" s="1"/>
  <c r="Q54" i="4" s="1"/>
  <c r="R54" i="4" s="1"/>
  <c r="S54" i="4" s="1"/>
  <c r="T54" i="4" s="1"/>
  <c r="U54" i="4" s="1"/>
  <c r="V54" i="4" s="1"/>
  <c r="H52" i="4"/>
  <c r="I52" i="4"/>
  <c r="J52" i="4"/>
  <c r="K52" i="4"/>
  <c r="L52" i="4"/>
  <c r="H51" i="4"/>
  <c r="I51" i="4"/>
  <c r="J51" i="4"/>
  <c r="K51" i="4"/>
  <c r="L51" i="4"/>
  <c r="M51" i="4" s="1"/>
  <c r="N51" i="4" s="1"/>
  <c r="O51" i="4" s="1"/>
  <c r="P51" i="4" s="1"/>
  <c r="Q51" i="4" s="1"/>
  <c r="R51" i="4" s="1"/>
  <c r="S51" i="4" s="1"/>
  <c r="T51" i="4" s="1"/>
  <c r="U51" i="4" s="1"/>
  <c r="V51" i="4" s="1"/>
  <c r="H48" i="4"/>
  <c r="I48" i="4"/>
  <c r="J48" i="4"/>
  <c r="K48" i="4"/>
  <c r="L48" i="4"/>
  <c r="M48" i="4" s="1"/>
  <c r="N48" i="4" s="1"/>
  <c r="O48" i="4" s="1"/>
  <c r="P48" i="4" s="1"/>
  <c r="Q48" i="4" s="1"/>
  <c r="R48" i="4" s="1"/>
  <c r="S48" i="4" s="1"/>
  <c r="T48" i="4" s="1"/>
  <c r="U48" i="4" s="1"/>
  <c r="V48" i="4" s="1"/>
  <c r="I47" i="4"/>
  <c r="I22" i="16" s="1"/>
  <c r="J47" i="4"/>
  <c r="J22" i="16" s="1"/>
  <c r="K47" i="4"/>
  <c r="K22" i="16" s="1"/>
  <c r="L47" i="4"/>
  <c r="L22" i="16" s="1"/>
  <c r="E38" i="18" s="1"/>
  <c r="K38" i="18" s="1"/>
  <c r="H45" i="4"/>
  <c r="I45" i="4"/>
  <c r="J45" i="4"/>
  <c r="K45" i="4"/>
  <c r="L45" i="4"/>
  <c r="H44" i="4"/>
  <c r="I44" i="4"/>
  <c r="J44" i="4"/>
  <c r="K44" i="4"/>
  <c r="L44" i="4"/>
  <c r="H39" i="4"/>
  <c r="I39" i="4"/>
  <c r="J39" i="4"/>
  <c r="K39" i="4"/>
  <c r="L39" i="4"/>
  <c r="M39" i="4" s="1"/>
  <c r="N39" i="4" s="1"/>
  <c r="O39" i="4" s="1"/>
  <c r="P39" i="4" s="1"/>
  <c r="Q39" i="4" s="1"/>
  <c r="R39" i="4" s="1"/>
  <c r="S39" i="4" s="1"/>
  <c r="T39" i="4" s="1"/>
  <c r="U39" i="4" s="1"/>
  <c r="V39" i="4" s="1"/>
  <c r="I38" i="4"/>
  <c r="J38" i="4"/>
  <c r="K38" i="4"/>
  <c r="L38" i="4"/>
  <c r="H38" i="4"/>
  <c r="H37" i="4"/>
  <c r="I37" i="4"/>
  <c r="J37" i="4"/>
  <c r="K37" i="4"/>
  <c r="L37" i="4"/>
  <c r="M37" i="4" s="1"/>
  <c r="N37" i="4" s="1"/>
  <c r="O37" i="4" s="1"/>
  <c r="P37" i="4" s="1"/>
  <c r="Q37" i="4" s="1"/>
  <c r="R37" i="4" s="1"/>
  <c r="S37" i="4" s="1"/>
  <c r="T37" i="4" s="1"/>
  <c r="U37" i="4" s="1"/>
  <c r="V37" i="4" s="1"/>
  <c r="H36" i="4"/>
  <c r="H17" i="16" s="1"/>
  <c r="I14" i="16" s="1"/>
  <c r="I36" i="4"/>
  <c r="I17" i="16" s="1"/>
  <c r="J36" i="4"/>
  <c r="J17" i="16" s="1"/>
  <c r="K36" i="4"/>
  <c r="K17" i="16" s="1"/>
  <c r="L36" i="4"/>
  <c r="L17" i="16" s="1"/>
  <c r="I33" i="4"/>
  <c r="J33" i="4"/>
  <c r="K33" i="4"/>
  <c r="L33" i="4"/>
  <c r="H33" i="4"/>
  <c r="H32" i="4"/>
  <c r="I32" i="4"/>
  <c r="J32" i="4"/>
  <c r="K32" i="4"/>
  <c r="L32" i="4"/>
  <c r="H31" i="4"/>
  <c r="I31" i="4"/>
  <c r="J31" i="4"/>
  <c r="K31" i="4"/>
  <c r="L31" i="4"/>
  <c r="H30" i="4"/>
  <c r="I30" i="4"/>
  <c r="J30" i="4"/>
  <c r="K30" i="4"/>
  <c r="L30" i="4"/>
  <c r="M30" i="4" s="1"/>
  <c r="N30" i="4" s="1"/>
  <c r="O30" i="4" s="1"/>
  <c r="P30" i="4" s="1"/>
  <c r="Q30" i="4" s="1"/>
  <c r="R30" i="4" s="1"/>
  <c r="S30" i="4" s="1"/>
  <c r="T30" i="4" s="1"/>
  <c r="U30" i="4" s="1"/>
  <c r="V30" i="4" s="1"/>
  <c r="H29" i="4"/>
  <c r="I29" i="4"/>
  <c r="J29" i="4"/>
  <c r="K29" i="4"/>
  <c r="L29" i="4"/>
  <c r="F28" i="4"/>
  <c r="F61" i="4" s="1"/>
  <c r="F6" i="16" s="1"/>
  <c r="H22" i="4"/>
  <c r="I22" i="4"/>
  <c r="I25" i="18" s="1"/>
  <c r="J22" i="4"/>
  <c r="J25" i="18" s="1"/>
  <c r="K22" i="4"/>
  <c r="K25" i="18" s="1"/>
  <c r="H20" i="4"/>
  <c r="I20" i="4"/>
  <c r="J20" i="4"/>
  <c r="K20" i="4"/>
  <c r="L20" i="4"/>
  <c r="H19" i="4"/>
  <c r="H23" i="16" s="1"/>
  <c r="I19" i="4"/>
  <c r="J19" i="4"/>
  <c r="J23" i="16" s="1"/>
  <c r="K19" i="4"/>
  <c r="K23" i="16" s="1"/>
  <c r="L19" i="4"/>
  <c r="L23" i="16" s="1"/>
  <c r="H17" i="4"/>
  <c r="I17" i="4"/>
  <c r="I27" i="18" s="1"/>
  <c r="J17" i="4"/>
  <c r="J27" i="18" s="1"/>
  <c r="K17" i="4"/>
  <c r="K27" i="18" s="1"/>
  <c r="L17" i="4"/>
  <c r="L27" i="18" s="1"/>
  <c r="H15" i="4"/>
  <c r="I15" i="4"/>
  <c r="J15" i="4"/>
  <c r="K15" i="4"/>
  <c r="L15" i="4"/>
  <c r="I14" i="4"/>
  <c r="J14" i="4"/>
  <c r="K14" i="4"/>
  <c r="L14" i="4"/>
  <c r="H14" i="4"/>
  <c r="E37" i="18" l="1"/>
  <c r="K37" i="18" s="1"/>
  <c r="K40" i="18" s="1"/>
  <c r="L14" i="16"/>
  <c r="L15" i="16" s="1"/>
  <c r="L28" i="18" s="1"/>
  <c r="I21" i="16"/>
  <c r="J20" i="16"/>
  <c r="J11" i="14" s="1"/>
  <c r="M20" i="16"/>
  <c r="M22" i="16" s="1"/>
  <c r="L20" i="16"/>
  <c r="L21" i="16" s="1"/>
  <c r="K14" i="16"/>
  <c r="K15" i="16" s="1"/>
  <c r="K28" i="18" s="1"/>
  <c r="I11" i="14"/>
  <c r="I23" i="16"/>
  <c r="J14" i="16"/>
  <c r="J15" i="16" s="1"/>
  <c r="J28" i="18" s="1"/>
  <c r="I15" i="16"/>
  <c r="I28" i="18" s="1"/>
  <c r="M14" i="16"/>
  <c r="K20" i="16"/>
  <c r="K21" i="16" s="1"/>
  <c r="H27" i="14"/>
  <c r="H28" i="14"/>
  <c r="I10" i="14"/>
  <c r="L27" i="14"/>
  <c r="L28" i="14"/>
  <c r="K28" i="14"/>
  <c r="K27" i="14"/>
  <c r="J27" i="14"/>
  <c r="J28" i="14"/>
  <c r="I27" i="14"/>
  <c r="I28" i="14"/>
  <c r="H64" i="4"/>
  <c r="H65" i="4" s="1"/>
  <c r="K53" i="4"/>
  <c r="K32" i="14" s="1"/>
  <c r="H53" i="4"/>
  <c r="L40" i="4"/>
  <c r="M45" i="4"/>
  <c r="N45" i="4" s="1"/>
  <c r="O45" i="4" s="1"/>
  <c r="P45" i="4" s="1"/>
  <c r="Q45" i="4" s="1"/>
  <c r="R45" i="4" s="1"/>
  <c r="S45" i="4" s="1"/>
  <c r="T45" i="4" s="1"/>
  <c r="U45" i="4" s="1"/>
  <c r="V45" i="4" s="1"/>
  <c r="L73" i="4"/>
  <c r="H49" i="4"/>
  <c r="L80" i="4"/>
  <c r="J53" i="4"/>
  <c r="J34" i="14" s="1"/>
  <c r="M33" i="4"/>
  <c r="K49" i="4"/>
  <c r="M38" i="4"/>
  <c r="M70" i="4" s="1"/>
  <c r="L53" i="4"/>
  <c r="L32" i="14" s="1"/>
  <c r="I53" i="4"/>
  <c r="I32" i="14" s="1"/>
  <c r="H40" i="4"/>
  <c r="K40" i="4"/>
  <c r="K80" i="4"/>
  <c r="J73" i="4"/>
  <c r="I73" i="4"/>
  <c r="H80" i="4"/>
  <c r="J40" i="4"/>
  <c r="J49" i="4"/>
  <c r="I40" i="4"/>
  <c r="I49" i="4"/>
  <c r="K73" i="4"/>
  <c r="H73" i="4"/>
  <c r="L49" i="4"/>
  <c r="J80" i="4"/>
  <c r="I80" i="4"/>
  <c r="J21" i="16" l="1"/>
  <c r="I33" i="14"/>
  <c r="K11" i="14"/>
  <c r="K10" i="14"/>
  <c r="M10" i="16"/>
  <c r="N20" i="16"/>
  <c r="N22" i="16" s="1"/>
  <c r="N47" i="4" s="1"/>
  <c r="J32" i="14"/>
  <c r="H33" i="14"/>
  <c r="L11" i="14"/>
  <c r="M15" i="16"/>
  <c r="I34" i="14"/>
  <c r="J10" i="14"/>
  <c r="J33" i="14"/>
  <c r="M47" i="4"/>
  <c r="L10" i="14"/>
  <c r="M10" i="14" s="1"/>
  <c r="N10" i="14" s="1"/>
  <c r="O10" i="14" s="1"/>
  <c r="P10" i="14" s="1"/>
  <c r="Q10" i="14" s="1"/>
  <c r="R10" i="14" s="1"/>
  <c r="S10" i="14" s="1"/>
  <c r="T10" i="14" s="1"/>
  <c r="U10" i="14" s="1"/>
  <c r="V10" i="14" s="1"/>
  <c r="K33" i="14"/>
  <c r="L34" i="14"/>
  <c r="L33" i="14"/>
  <c r="K34" i="14"/>
  <c r="H32" i="14"/>
  <c r="H34" i="14"/>
  <c r="H55" i="4"/>
  <c r="H57" i="4" s="1"/>
  <c r="H3" i="4" s="1"/>
  <c r="L64" i="4"/>
  <c r="L65" i="4" s="1"/>
  <c r="L82" i="4" s="1"/>
  <c r="L84" i="4" s="1"/>
  <c r="J64" i="4"/>
  <c r="J65" i="4" s="1"/>
  <c r="J82" i="4" s="1"/>
  <c r="J84" i="4" s="1"/>
  <c r="J86" i="4" s="1"/>
  <c r="I64" i="4"/>
  <c r="I65" i="4" s="1"/>
  <c r="I82" i="4" s="1"/>
  <c r="I84" i="4" s="1"/>
  <c r="I86" i="4" s="1"/>
  <c r="K64" i="4"/>
  <c r="K65" i="4" s="1"/>
  <c r="K82" i="4" s="1"/>
  <c r="K84" i="4" s="1"/>
  <c r="K86" i="4" s="1"/>
  <c r="K55" i="4"/>
  <c r="K57" i="4" s="1"/>
  <c r="K3" i="4" s="1"/>
  <c r="N33" i="4"/>
  <c r="J55" i="4"/>
  <c r="J57" i="4" s="1"/>
  <c r="J3" i="4" s="1"/>
  <c r="N38" i="4"/>
  <c r="H5" i="5"/>
  <c r="H6" i="5"/>
  <c r="I6" i="5" s="1"/>
  <c r="H7" i="5"/>
  <c r="I7" i="5" s="1"/>
  <c r="J7" i="5" s="1"/>
  <c r="K7" i="5" s="1"/>
  <c r="L7" i="5" s="1"/>
  <c r="M7" i="5" s="1"/>
  <c r="N7" i="5" s="1"/>
  <c r="O7" i="5" s="1"/>
  <c r="P7" i="5" s="1"/>
  <c r="Q7" i="5" s="1"/>
  <c r="L55" i="4"/>
  <c r="L57" i="4" s="1"/>
  <c r="L3" i="4" s="1"/>
  <c r="H82" i="4"/>
  <c r="H84" i="4" s="1"/>
  <c r="H86" i="4" s="1"/>
  <c r="I55" i="4"/>
  <c r="I57" i="4" s="1"/>
  <c r="I3" i="4" s="1"/>
  <c r="N15" i="16" l="1"/>
  <c r="N28" i="18"/>
  <c r="M11" i="14"/>
  <c r="M23" i="16" s="1"/>
  <c r="M19" i="4" s="1"/>
  <c r="N11" i="14"/>
  <c r="O11" i="14" s="1"/>
  <c r="P11" i="14" s="1"/>
  <c r="Q11" i="14" s="1"/>
  <c r="R11" i="14" s="1"/>
  <c r="S11" i="14" s="1"/>
  <c r="T11" i="14" s="1"/>
  <c r="U11" i="14" s="1"/>
  <c r="V11" i="14" s="1"/>
  <c r="M16" i="16"/>
  <c r="M17" i="16" s="1"/>
  <c r="N14" i="16" s="1"/>
  <c r="O20" i="16"/>
  <c r="O22" i="16" s="1"/>
  <c r="O47" i="4" s="1"/>
  <c r="N10" i="16"/>
  <c r="H32" i="10"/>
  <c r="J6" i="5"/>
  <c r="K6" i="5" s="1"/>
  <c r="L6" i="5" s="1"/>
  <c r="M6" i="5" s="1"/>
  <c r="O33" i="4"/>
  <c r="O10" i="16" s="1"/>
  <c r="L86" i="4"/>
  <c r="M83" i="4"/>
  <c r="O38" i="4"/>
  <c r="N70" i="4"/>
  <c r="I5" i="5"/>
  <c r="I11" i="4"/>
  <c r="J11" i="4"/>
  <c r="K11" i="4"/>
  <c r="L11" i="4"/>
  <c r="H11" i="4"/>
  <c r="I10" i="4"/>
  <c r="J10" i="4"/>
  <c r="K10" i="4"/>
  <c r="L10" i="4"/>
  <c r="H10" i="4"/>
  <c r="I2" i="4"/>
  <c r="A1" i="4"/>
  <c r="H87" i="2"/>
  <c r="H33" i="2"/>
  <c r="I4" i="2"/>
  <c r="I33" i="2" s="1"/>
  <c r="J5" i="5" l="1"/>
  <c r="K5" i="5" s="1"/>
  <c r="L5" i="5" s="1"/>
  <c r="M5" i="5" s="1"/>
  <c r="N5" i="5" s="1"/>
  <c r="O5" i="5" s="1"/>
  <c r="P5" i="5" s="1"/>
  <c r="Q5" i="5" s="1"/>
  <c r="I4" i="14"/>
  <c r="I19" i="18"/>
  <c r="N23" i="16"/>
  <c r="O15" i="16"/>
  <c r="O28" i="18"/>
  <c r="P20" i="16"/>
  <c r="P22" i="16" s="1"/>
  <c r="O23" i="16"/>
  <c r="N16" i="16"/>
  <c r="N17" i="16" s="1"/>
  <c r="O14" i="16" s="1"/>
  <c r="I37" i="14"/>
  <c r="I6" i="14"/>
  <c r="I12" i="14"/>
  <c r="I8" i="14"/>
  <c r="I15" i="14"/>
  <c r="I9" i="14"/>
  <c r="K6" i="14"/>
  <c r="K37" i="14"/>
  <c r="K8" i="14"/>
  <c r="K12" i="14"/>
  <c r="K15" i="14"/>
  <c r="J6" i="14"/>
  <c r="J37" i="14"/>
  <c r="J15" i="14"/>
  <c r="J12" i="14"/>
  <c r="J9" i="14"/>
  <c r="J8" i="14"/>
  <c r="L7" i="14"/>
  <c r="L17" i="14"/>
  <c r="L48" i="14" s="1"/>
  <c r="L16" i="14"/>
  <c r="L47" i="14" s="1"/>
  <c r="K7" i="14"/>
  <c r="K17" i="14"/>
  <c r="K48" i="14" s="1"/>
  <c r="K16" i="14"/>
  <c r="K47" i="14" s="1"/>
  <c r="H15" i="14"/>
  <c r="H9" i="14"/>
  <c r="H8" i="14"/>
  <c r="H12" i="14"/>
  <c r="J7" i="14"/>
  <c r="J17" i="14"/>
  <c r="J48" i="14" s="1"/>
  <c r="J16" i="14"/>
  <c r="J47" i="14" s="1"/>
  <c r="H7" i="14"/>
  <c r="H17" i="14"/>
  <c r="H16" i="14"/>
  <c r="L6" i="14"/>
  <c r="L37" i="14"/>
  <c r="L15" i="14"/>
  <c r="L9" i="14"/>
  <c r="L12" i="14"/>
  <c r="L8" i="14"/>
  <c r="I7" i="14"/>
  <c r="I16" i="14"/>
  <c r="I47" i="14" s="1"/>
  <c r="I17" i="14"/>
  <c r="I48" i="14" s="1"/>
  <c r="N19" i="4"/>
  <c r="N6" i="5"/>
  <c r="M79" i="4"/>
  <c r="J2" i="4"/>
  <c r="M17" i="4"/>
  <c r="N27" i="18" s="1"/>
  <c r="P33" i="4"/>
  <c r="P47" i="4"/>
  <c r="P38" i="4"/>
  <c r="P70" i="4" s="1"/>
  <c r="O70" i="4"/>
  <c r="I12" i="4"/>
  <c r="I20" i="14" s="1"/>
  <c r="H12" i="4"/>
  <c r="H20" i="14" s="1"/>
  <c r="K12" i="4"/>
  <c r="K20" i="14" s="1"/>
  <c r="L12" i="4"/>
  <c r="L20" i="14" s="1"/>
  <c r="J12" i="4"/>
  <c r="J20" i="14" s="1"/>
  <c r="I87" i="2"/>
  <c r="J4" i="2"/>
  <c r="M6" i="14" l="1" a="1"/>
  <c r="J4" i="14"/>
  <c r="J19" i="18"/>
  <c r="P15" i="16"/>
  <c r="P28" i="18"/>
  <c r="O16" i="16"/>
  <c r="O17" i="16" s="1"/>
  <c r="P14" i="16" s="1"/>
  <c r="Q20" i="16"/>
  <c r="Q22" i="16" s="1"/>
  <c r="P23" i="16"/>
  <c r="P10" i="16"/>
  <c r="M16" i="14"/>
  <c r="M9" i="14"/>
  <c r="N9" i="14" s="1"/>
  <c r="O9" i="14" s="1"/>
  <c r="P9" i="14" s="1"/>
  <c r="Q9" i="14" s="1"/>
  <c r="R9" i="14" s="1"/>
  <c r="S9" i="14" s="1"/>
  <c r="T9" i="14" s="1"/>
  <c r="U9" i="14" s="1"/>
  <c r="V9" i="14" s="1"/>
  <c r="K46" i="14"/>
  <c r="K29" i="14"/>
  <c r="I46" i="14"/>
  <c r="I29" i="14"/>
  <c r="H46" i="14"/>
  <c r="H29" i="14"/>
  <c r="M15" i="14"/>
  <c r="L46" i="14"/>
  <c r="L29" i="14"/>
  <c r="J46" i="14"/>
  <c r="J29" i="14"/>
  <c r="H47" i="14"/>
  <c r="H48" i="14"/>
  <c r="M17" i="14"/>
  <c r="M7" i="14"/>
  <c r="M12" i="14"/>
  <c r="N12" i="14" s="1"/>
  <c r="O12" i="14" s="1"/>
  <c r="P12" i="14" s="1"/>
  <c r="Q12" i="14" s="1"/>
  <c r="R12" i="14" s="1"/>
  <c r="S12" i="14" s="1"/>
  <c r="T12" i="14" s="1"/>
  <c r="U12" i="14" s="1"/>
  <c r="V12" i="14" s="1"/>
  <c r="M8" i="14"/>
  <c r="N8" i="14" s="1"/>
  <c r="O8" i="14" s="1"/>
  <c r="P8" i="14" s="1"/>
  <c r="Q8" i="14" s="1"/>
  <c r="R8" i="14" s="1"/>
  <c r="S8" i="14" s="1"/>
  <c r="T8" i="14" s="1"/>
  <c r="U8" i="14" s="1"/>
  <c r="V8" i="14" s="1"/>
  <c r="J16" i="4"/>
  <c r="J21" i="14" s="1"/>
  <c r="L16" i="4"/>
  <c r="L21" i="14" s="1"/>
  <c r="H16" i="4"/>
  <c r="H21" i="14" s="1"/>
  <c r="K16" i="4"/>
  <c r="K21" i="14" s="1"/>
  <c r="I16" i="4"/>
  <c r="I21" i="14" s="1"/>
  <c r="N79" i="4"/>
  <c r="O6" i="5"/>
  <c r="K2" i="4"/>
  <c r="M62" i="4"/>
  <c r="O19" i="4"/>
  <c r="O79" i="4"/>
  <c r="Q38" i="4"/>
  <c r="Q33" i="4"/>
  <c r="Q10" i="16" s="1"/>
  <c r="K4" i="2"/>
  <c r="J33" i="2"/>
  <c r="J87" i="2"/>
  <c r="V6" i="14" l="1"/>
  <c r="P6" i="14"/>
  <c r="Q6" i="14"/>
  <c r="N6" i="14"/>
  <c r="O6" i="14"/>
  <c r="U6" i="14"/>
  <c r="T6" i="14"/>
  <c r="M6" i="14"/>
  <c r="M10" i="4" s="1"/>
  <c r="N10" i="4" s="1"/>
  <c r="N20" i="4" s="1"/>
  <c r="N63" i="4" s="1"/>
  <c r="S6" i="14"/>
  <c r="R6" i="14"/>
  <c r="Q15" i="16"/>
  <c r="Q28" i="18"/>
  <c r="K4" i="14"/>
  <c r="K19" i="18"/>
  <c r="P16" i="16"/>
  <c r="P17" i="16" s="1"/>
  <c r="Q14" i="16" s="1"/>
  <c r="Q23" i="16"/>
  <c r="R20" i="16"/>
  <c r="R22" i="16" s="1"/>
  <c r="N7" i="14"/>
  <c r="N15" i="14"/>
  <c r="M46" i="14"/>
  <c r="M29" i="14"/>
  <c r="M47" i="14"/>
  <c r="N16" i="14"/>
  <c r="M48" i="14"/>
  <c r="N17" i="14"/>
  <c r="H18" i="4"/>
  <c r="H22" i="14" s="1"/>
  <c r="K18" i="4"/>
  <c r="L18" i="4"/>
  <c r="I18" i="4"/>
  <c r="J18" i="4"/>
  <c r="R33" i="4"/>
  <c r="R10" i="16" s="1"/>
  <c r="Q70" i="4"/>
  <c r="R38" i="4"/>
  <c r="R70" i="4" s="1"/>
  <c r="Q47" i="4"/>
  <c r="P6" i="5"/>
  <c r="L2" i="4"/>
  <c r="M36" i="4"/>
  <c r="P19" i="4"/>
  <c r="P79" i="4"/>
  <c r="M68" i="4"/>
  <c r="K33" i="2"/>
  <c r="K87" i="2"/>
  <c r="L4" i="2"/>
  <c r="N15" i="4" l="1"/>
  <c r="N14" i="4"/>
  <c r="M31" i="4"/>
  <c r="M7" i="16" s="1"/>
  <c r="O10" i="4"/>
  <c r="O14" i="4" s="1"/>
  <c r="M11" i="4"/>
  <c r="M32" i="4" s="1"/>
  <c r="M8" i="16" s="1"/>
  <c r="M14" i="4"/>
  <c r="M20" i="4"/>
  <c r="M63" i="4" s="1"/>
  <c r="M15" i="4"/>
  <c r="N31" i="4"/>
  <c r="N11" i="4"/>
  <c r="N12" i="4" s="1"/>
  <c r="N20" i="14" s="1"/>
  <c r="J22" i="14"/>
  <c r="J24" i="18"/>
  <c r="J26" i="18" s="1"/>
  <c r="J30" i="18" s="1"/>
  <c r="L4" i="14"/>
  <c r="L19" i="18"/>
  <c r="I22" i="14"/>
  <c r="I24" i="18"/>
  <c r="I26" i="18" s="1"/>
  <c r="I30" i="18" s="1"/>
  <c r="L22" i="14"/>
  <c r="L24" i="18"/>
  <c r="L26" i="18" s="1"/>
  <c r="L30" i="18" s="1"/>
  <c r="K22" i="14"/>
  <c r="K24" i="18"/>
  <c r="K26" i="18" s="1"/>
  <c r="K30" i="18" s="1"/>
  <c r="R15" i="16"/>
  <c r="R28" i="18"/>
  <c r="O7" i="14"/>
  <c r="P7" i="14" s="1"/>
  <c r="Q7" i="14" s="1"/>
  <c r="R7" i="14" s="1"/>
  <c r="S7" i="14" s="1"/>
  <c r="T7" i="14" s="1"/>
  <c r="U7" i="14" s="1"/>
  <c r="V7" i="14" s="1"/>
  <c r="R23" i="16"/>
  <c r="S20" i="16"/>
  <c r="S22" i="16" s="1"/>
  <c r="S10" i="16"/>
  <c r="Q16" i="16"/>
  <c r="Q17" i="16" s="1"/>
  <c r="R14" i="16" s="1"/>
  <c r="N48" i="14"/>
  <c r="O17" i="14"/>
  <c r="O16" i="14"/>
  <c r="N47" i="14"/>
  <c r="O15" i="14"/>
  <c r="N46" i="14"/>
  <c r="N29" i="14"/>
  <c r="H21" i="4"/>
  <c r="I21" i="4"/>
  <c r="J21" i="4"/>
  <c r="L21" i="4"/>
  <c r="K21" i="4"/>
  <c r="S33" i="4"/>
  <c r="R47" i="4"/>
  <c r="S38" i="4"/>
  <c r="Q6" i="5"/>
  <c r="M2" i="4"/>
  <c r="N19" i="18" s="1"/>
  <c r="M12" i="4"/>
  <c r="M20" i="14" s="1"/>
  <c r="M44" i="4"/>
  <c r="N68" i="4"/>
  <c r="Q19" i="4"/>
  <c r="Q79" i="4"/>
  <c r="N72" i="4"/>
  <c r="O15" i="4"/>
  <c r="L87" i="2"/>
  <c r="L33" i="2"/>
  <c r="O20" i="4" l="1"/>
  <c r="O63" i="4" s="1"/>
  <c r="N32" i="4"/>
  <c r="N8" i="16" s="1"/>
  <c r="N44" i="4"/>
  <c r="M72" i="4"/>
  <c r="M73" i="4" s="1"/>
  <c r="N9" i="16"/>
  <c r="P10" i="4"/>
  <c r="Q10" i="4" s="1"/>
  <c r="O11" i="4"/>
  <c r="O44" i="4" s="1"/>
  <c r="O9" i="16" s="1"/>
  <c r="N7" i="16"/>
  <c r="S15" i="16"/>
  <c r="S28" i="18"/>
  <c r="R68" i="4"/>
  <c r="R16" i="16"/>
  <c r="R17" i="16" s="1"/>
  <c r="S14" i="16" s="1"/>
  <c r="M49" i="4"/>
  <c r="M9" i="16"/>
  <c r="M11" i="16" s="1"/>
  <c r="N29" i="18" s="1"/>
  <c r="S23" i="16"/>
  <c r="T20" i="16"/>
  <c r="T22" i="16" s="1"/>
  <c r="H4" i="5"/>
  <c r="M4" i="14"/>
  <c r="L23" i="14"/>
  <c r="L38" i="14"/>
  <c r="L13" i="14"/>
  <c r="P16" i="14"/>
  <c r="O47" i="14"/>
  <c r="P15" i="14"/>
  <c r="O46" i="14"/>
  <c r="O29" i="14"/>
  <c r="J38" i="14"/>
  <c r="J23" i="14"/>
  <c r="J13" i="14"/>
  <c r="J40" i="14" s="1"/>
  <c r="H23" i="14"/>
  <c r="H13" i="14"/>
  <c r="H40" i="14" s="1"/>
  <c r="O31" i="4"/>
  <c r="K38" i="14"/>
  <c r="K23" i="14"/>
  <c r="K13" i="14"/>
  <c r="K40" i="14" s="1"/>
  <c r="P17" i="14"/>
  <c r="O48" i="14"/>
  <c r="I38" i="14"/>
  <c r="I23" i="14"/>
  <c r="I13" i="14"/>
  <c r="I40" i="14" s="1"/>
  <c r="N16" i="4"/>
  <c r="N21" i="14" s="1"/>
  <c r="H23" i="4"/>
  <c r="H49" i="14" s="1"/>
  <c r="J23" i="4"/>
  <c r="J49" i="14" s="1"/>
  <c r="I23" i="4"/>
  <c r="I49" i="14" s="1"/>
  <c r="K23" i="4"/>
  <c r="K49" i="14" s="1"/>
  <c r="L23" i="4"/>
  <c r="L49" i="14" s="1"/>
  <c r="M16" i="4"/>
  <c r="M21" i="14" s="1"/>
  <c r="T38" i="4"/>
  <c r="S70" i="4"/>
  <c r="R79" i="4"/>
  <c r="R19" i="4"/>
  <c r="T33" i="4"/>
  <c r="T10" i="16" s="1"/>
  <c r="S47" i="4"/>
  <c r="N2" i="4"/>
  <c r="O19" i="18" s="1"/>
  <c r="N73" i="4"/>
  <c r="O68" i="4"/>
  <c r="N49" i="4"/>
  <c r="N17" i="4"/>
  <c r="O27" i="18" s="1"/>
  <c r="P31" i="4" l="1"/>
  <c r="N11" i="16"/>
  <c r="O29" i="18" s="1"/>
  <c r="O32" i="4"/>
  <c r="O8" i="16" s="1"/>
  <c r="O12" i="4"/>
  <c r="O20" i="14" s="1"/>
  <c r="O72" i="4"/>
  <c r="P11" i="4"/>
  <c r="P32" i="4" s="1"/>
  <c r="P8" i="16" s="1"/>
  <c r="P14" i="4"/>
  <c r="P20" i="4"/>
  <c r="P63" i="4" s="1"/>
  <c r="P15" i="4"/>
  <c r="T15" i="16"/>
  <c r="T28" i="18"/>
  <c r="S68" i="4"/>
  <c r="I4" i="5"/>
  <c r="N4" i="14"/>
  <c r="T23" i="16"/>
  <c r="U20" i="16"/>
  <c r="U22" i="16" s="1"/>
  <c r="P7" i="16"/>
  <c r="O7" i="16"/>
  <c r="S16" i="16"/>
  <c r="S17" i="16" s="1"/>
  <c r="T14" i="16" s="1"/>
  <c r="Q17" i="14"/>
  <c r="P48" i="14"/>
  <c r="L40" i="14"/>
  <c r="M13" i="14"/>
  <c r="L24" i="14"/>
  <c r="L14" i="14"/>
  <c r="L42" i="14" s="1"/>
  <c r="R10" i="4"/>
  <c r="R14" i="4" s="1"/>
  <c r="J24" i="14"/>
  <c r="J14" i="14"/>
  <c r="J42" i="14" s="1"/>
  <c r="H24" i="14"/>
  <c r="H14" i="14"/>
  <c r="Q16" i="14"/>
  <c r="P47" i="14"/>
  <c r="K24" i="14"/>
  <c r="K14" i="14"/>
  <c r="K42" i="14" s="1"/>
  <c r="I24" i="14"/>
  <c r="I14" i="14"/>
  <c r="I42" i="14" s="1"/>
  <c r="Q15" i="14"/>
  <c r="P46" i="14"/>
  <c r="P29" i="14"/>
  <c r="O16" i="4"/>
  <c r="O21" i="14" s="1"/>
  <c r="M18" i="4"/>
  <c r="U33" i="4"/>
  <c r="U10" i="16" s="1"/>
  <c r="U38" i="4"/>
  <c r="U70" i="4" s="1"/>
  <c r="S79" i="4"/>
  <c r="S19" i="4"/>
  <c r="T47" i="4"/>
  <c r="T70" i="4"/>
  <c r="O2" i="4"/>
  <c r="P19" i="18" s="1"/>
  <c r="O73" i="4"/>
  <c r="M64" i="4"/>
  <c r="N62" i="4"/>
  <c r="P68" i="4"/>
  <c r="N18" i="4"/>
  <c r="P72" i="4"/>
  <c r="P12" i="4"/>
  <c r="P20" i="14" s="1"/>
  <c r="P44" i="4"/>
  <c r="P9" i="16" s="1"/>
  <c r="O49" i="4"/>
  <c r="Q11" i="4"/>
  <c r="Q15" i="4"/>
  <c r="Q20" i="4"/>
  <c r="Q63" i="4" s="1"/>
  <c r="Q14" i="4"/>
  <c r="O11" i="16" l="1"/>
  <c r="P29" i="18" s="1"/>
  <c r="N64" i="4"/>
  <c r="N22" i="14"/>
  <c r="O24" i="18"/>
  <c r="M22" i="14"/>
  <c r="N24" i="18"/>
  <c r="U15" i="16"/>
  <c r="U28" i="18"/>
  <c r="T68" i="4"/>
  <c r="J4" i="5"/>
  <c r="O4" i="14"/>
  <c r="P11" i="16"/>
  <c r="Q29" i="18" s="1"/>
  <c r="U23" i="16"/>
  <c r="V20" i="16"/>
  <c r="V22" i="16" s="1"/>
  <c r="V23" i="16" s="1"/>
  <c r="T16" i="16"/>
  <c r="T17" i="16" s="1"/>
  <c r="U14" i="16" s="1"/>
  <c r="R15" i="4"/>
  <c r="S10" i="4"/>
  <c r="S20" i="4" s="1"/>
  <c r="R20" i="4"/>
  <c r="R72" i="4" s="1"/>
  <c r="R73" i="4" s="1"/>
  <c r="R11" i="4"/>
  <c r="R12" i="4" s="1"/>
  <c r="R20" i="14" s="1"/>
  <c r="Q46" i="14"/>
  <c r="Q29" i="14"/>
  <c r="R15" i="14"/>
  <c r="Q31" i="4"/>
  <c r="M40" i="14"/>
  <c r="N13" i="14"/>
  <c r="R16" i="14"/>
  <c r="Q47" i="14"/>
  <c r="H42" i="14"/>
  <c r="M14" i="14"/>
  <c r="R17" i="14"/>
  <c r="Q48" i="14"/>
  <c r="P16" i="4"/>
  <c r="P21" i="14" s="1"/>
  <c r="M21" i="4"/>
  <c r="T79" i="4"/>
  <c r="T19" i="4"/>
  <c r="V38" i="4"/>
  <c r="V70" i="4" s="1"/>
  <c r="U47" i="4"/>
  <c r="V33" i="4"/>
  <c r="V10" i="16" s="1"/>
  <c r="P2" i="4"/>
  <c r="Q19" i="18" s="1"/>
  <c r="N36" i="4"/>
  <c r="P73" i="4"/>
  <c r="N21" i="4"/>
  <c r="Q68" i="4"/>
  <c r="O64" i="4"/>
  <c r="Q12" i="4"/>
  <c r="Q20" i="14" s="1"/>
  <c r="Q44" i="4"/>
  <c r="Q9" i="16" s="1"/>
  <c r="Q32" i="4"/>
  <c r="Q8" i="16" s="1"/>
  <c r="P49" i="4"/>
  <c r="O17" i="4"/>
  <c r="P27" i="18" s="1"/>
  <c r="Q72" i="4"/>
  <c r="V15" i="16" l="1"/>
  <c r="V28" i="18"/>
  <c r="U68" i="4"/>
  <c r="U16" i="16"/>
  <c r="U17" i="16" s="1"/>
  <c r="V14" i="16" s="1"/>
  <c r="K4" i="5"/>
  <c r="P4" i="14"/>
  <c r="Q7" i="16"/>
  <c r="Q11" i="16" s="1"/>
  <c r="R29" i="18" s="1"/>
  <c r="R63" i="4"/>
  <c r="T10" i="4"/>
  <c r="T11" i="4" s="1"/>
  <c r="T12" i="4" s="1"/>
  <c r="T20" i="14" s="1"/>
  <c r="S11" i="4"/>
  <c r="S12" i="4" s="1"/>
  <c r="S20" i="14" s="1"/>
  <c r="S15" i="4"/>
  <c r="S14" i="4"/>
  <c r="R32" i="4"/>
  <c r="R16" i="4"/>
  <c r="R21" i="14" s="1"/>
  <c r="R46" i="14"/>
  <c r="R29" i="14"/>
  <c r="S15" i="14"/>
  <c r="N23" i="14"/>
  <c r="N14" i="14"/>
  <c r="M42" i="14"/>
  <c r="S17" i="14"/>
  <c r="R48" i="14"/>
  <c r="R47" i="14"/>
  <c r="S16" i="14"/>
  <c r="M23" i="14"/>
  <c r="N40" i="14"/>
  <c r="O13" i="14"/>
  <c r="Q16" i="4"/>
  <c r="Q21" i="14" s="1"/>
  <c r="R31" i="4"/>
  <c r="R7" i="16" s="1"/>
  <c r="R44" i="4"/>
  <c r="R9" i="16" s="1"/>
  <c r="N22" i="4"/>
  <c r="O25" i="18" s="1"/>
  <c r="O26" i="18" s="1"/>
  <c r="O30" i="18" s="1"/>
  <c r="O32" i="18" s="1"/>
  <c r="M22" i="4"/>
  <c r="N25" i="18" s="1"/>
  <c r="N26" i="18" s="1"/>
  <c r="N30" i="18" s="1"/>
  <c r="N32" i="18" s="1"/>
  <c r="V47" i="4"/>
  <c r="U79" i="4"/>
  <c r="U19" i="4"/>
  <c r="S72" i="4"/>
  <c r="S73" i="4" s="1"/>
  <c r="S63" i="4"/>
  <c r="Q2" i="4"/>
  <c r="Q73" i="4"/>
  <c r="Q49" i="4"/>
  <c r="O62" i="4"/>
  <c r="O18" i="4"/>
  <c r="Q4" i="14" l="1"/>
  <c r="R19" i="18"/>
  <c r="O22" i="14"/>
  <c r="P24" i="18"/>
  <c r="W28" i="18"/>
  <c r="V68" i="4"/>
  <c r="S44" i="4"/>
  <c r="S9" i="16" s="1"/>
  <c r="S16" i="4"/>
  <c r="S21" i="14" s="1"/>
  <c r="R8" i="16"/>
  <c r="R11" i="16" s="1"/>
  <c r="S29" i="18" s="1"/>
  <c r="V16" i="16"/>
  <c r="V17" i="16" s="1"/>
  <c r="T20" i="4"/>
  <c r="T72" i="4" s="1"/>
  <c r="T73" i="4" s="1"/>
  <c r="S32" i="4"/>
  <c r="T14" i="4"/>
  <c r="U10" i="4"/>
  <c r="V10" i="4" s="1"/>
  <c r="T15" i="4"/>
  <c r="O14" i="14"/>
  <c r="N42" i="14"/>
  <c r="O40" i="14"/>
  <c r="P13" i="14"/>
  <c r="S46" i="14"/>
  <c r="S29" i="14"/>
  <c r="T15" i="14"/>
  <c r="S48" i="14"/>
  <c r="T17" i="14"/>
  <c r="S47" i="14"/>
  <c r="T16" i="14"/>
  <c r="S31" i="4"/>
  <c r="R49" i="4"/>
  <c r="N23" i="4"/>
  <c r="M23" i="4"/>
  <c r="R2" i="4"/>
  <c r="L4" i="5"/>
  <c r="V19" i="4"/>
  <c r="V79" i="4"/>
  <c r="P64" i="4"/>
  <c r="O21" i="4"/>
  <c r="O36" i="4"/>
  <c r="P17" i="4"/>
  <c r="Q27" i="18" s="1"/>
  <c r="R4" i="14" l="1"/>
  <c r="S19" i="18"/>
  <c r="S49" i="4"/>
  <c r="S8" i="16"/>
  <c r="S7" i="16"/>
  <c r="S11" i="16" s="1"/>
  <c r="T29" i="18" s="1"/>
  <c r="U15" i="4"/>
  <c r="U14" i="4"/>
  <c r="U11" i="4"/>
  <c r="U12" i="4" s="1"/>
  <c r="U20" i="14" s="1"/>
  <c r="U20" i="4"/>
  <c r="U72" i="4" s="1"/>
  <c r="U73" i="4" s="1"/>
  <c r="T16" i="4"/>
  <c r="T21" i="14" s="1"/>
  <c r="T63" i="4"/>
  <c r="O23" i="14"/>
  <c r="T47" i="14"/>
  <c r="U16" i="14"/>
  <c r="P40" i="14"/>
  <c r="Q13" i="14"/>
  <c r="K11" i="8" s="1"/>
  <c r="E9" i="18" s="1"/>
  <c r="T46" i="14"/>
  <c r="T29" i="14"/>
  <c r="U15" i="14"/>
  <c r="N78" i="4"/>
  <c r="N80" i="4" s="1"/>
  <c r="N24" i="14"/>
  <c r="T48" i="14"/>
  <c r="U17" i="14"/>
  <c r="M78" i="4"/>
  <c r="M80" i="4" s="1"/>
  <c r="M24" i="14"/>
  <c r="P14" i="14"/>
  <c r="O42" i="14"/>
  <c r="T44" i="4"/>
  <c r="T9" i="16" s="1"/>
  <c r="T32" i="4"/>
  <c r="T31" i="4"/>
  <c r="O22" i="4"/>
  <c r="P25" i="18" s="1"/>
  <c r="P26" i="18" s="1"/>
  <c r="P30" i="18" s="1"/>
  <c r="P32" i="18" s="1"/>
  <c r="N61" i="4"/>
  <c r="N65" i="4" s="1"/>
  <c r="M61" i="4"/>
  <c r="M65" i="4" s="1"/>
  <c r="R64" i="4"/>
  <c r="Q64" i="4"/>
  <c r="S2" i="4"/>
  <c r="M4" i="5"/>
  <c r="V15" i="4"/>
  <c r="V11" i="4"/>
  <c r="V14" i="4"/>
  <c r="V20" i="4"/>
  <c r="P62" i="4"/>
  <c r="P18" i="4"/>
  <c r="P36" i="4"/>
  <c r="P22" i="14" l="1"/>
  <c r="Q24" i="18"/>
  <c r="S4" i="14"/>
  <c r="T19" i="18"/>
  <c r="T7" i="16"/>
  <c r="T8" i="16"/>
  <c r="U63" i="4"/>
  <c r="U44" i="4"/>
  <c r="G65" i="15"/>
  <c r="Q20" i="7"/>
  <c r="H33" i="10" s="1"/>
  <c r="H40" i="10" s="1"/>
  <c r="P42" i="14"/>
  <c r="Q14" i="14"/>
  <c r="U47" i="14"/>
  <c r="V16" i="14"/>
  <c r="V47" i="14" s="1"/>
  <c r="Q40" i="14"/>
  <c r="R13" i="14"/>
  <c r="U32" i="4"/>
  <c r="V15" i="14"/>
  <c r="U46" i="14"/>
  <c r="U29" i="14"/>
  <c r="U48" i="14"/>
  <c r="V17" i="14"/>
  <c r="V48" i="14" s="1"/>
  <c r="T49" i="4"/>
  <c r="U16" i="4"/>
  <c r="U21" i="14" s="1"/>
  <c r="U31" i="4"/>
  <c r="O23" i="4"/>
  <c r="N82" i="4"/>
  <c r="M53" i="4"/>
  <c r="M82" i="4"/>
  <c r="M84" i="4" s="1"/>
  <c r="M29" i="4" s="1"/>
  <c r="S64" i="4"/>
  <c r="T2" i="4"/>
  <c r="N4" i="5"/>
  <c r="V72" i="4"/>
  <c r="V73" i="4" s="1"/>
  <c r="V63" i="4"/>
  <c r="V12" i="4"/>
  <c r="V20" i="14" s="1"/>
  <c r="P21" i="4"/>
  <c r="Q17" i="4"/>
  <c r="R27" i="18" s="1"/>
  <c r="M49" i="14" l="1"/>
  <c r="M43" i="14"/>
  <c r="M39" i="14"/>
  <c r="M41" i="14"/>
  <c r="T4" i="14"/>
  <c r="U19" i="18"/>
  <c r="U49" i="4"/>
  <c r="U9" i="16"/>
  <c r="U8" i="16"/>
  <c r="T11" i="16"/>
  <c r="U7" i="16"/>
  <c r="M32" i="14"/>
  <c r="M34" i="14"/>
  <c r="R40" i="14"/>
  <c r="S13" i="14"/>
  <c r="V46" i="14"/>
  <c r="V29" i="14"/>
  <c r="O24" i="14"/>
  <c r="M27" i="14"/>
  <c r="M28" i="14"/>
  <c r="P23" i="14"/>
  <c r="Q42" i="14"/>
  <c r="R14" i="14"/>
  <c r="V32" i="4"/>
  <c r="V8" i="16" s="1"/>
  <c r="O61" i="4"/>
  <c r="O65" i="4" s="1"/>
  <c r="O78" i="4"/>
  <c r="V31" i="4"/>
  <c r="V7" i="16" s="1"/>
  <c r="H41" i="10"/>
  <c r="H34" i="10"/>
  <c r="V44" i="4"/>
  <c r="V9" i="16" s="1"/>
  <c r="V16" i="4"/>
  <c r="V21" i="14" s="1"/>
  <c r="P22" i="4"/>
  <c r="Q25" i="18" s="1"/>
  <c r="Q26" i="18" s="1"/>
  <c r="Q30" i="18" s="1"/>
  <c r="Q32" i="18" s="1"/>
  <c r="M55" i="4"/>
  <c r="N52" i="4"/>
  <c r="N83" i="4"/>
  <c r="N84" i="4" s="1"/>
  <c r="O83" i="4" s="1"/>
  <c r="M40" i="4"/>
  <c r="M86" i="4"/>
  <c r="U2" i="4"/>
  <c r="O4" i="5"/>
  <c r="Q36" i="4"/>
  <c r="Q62" i="4"/>
  <c r="Q18" i="4"/>
  <c r="U11" i="16" l="1"/>
  <c r="U64" i="4"/>
  <c r="V29" i="18"/>
  <c r="U4" i="14"/>
  <c r="V19" i="18"/>
  <c r="T64" i="4"/>
  <c r="U29" i="18"/>
  <c r="Q22" i="14"/>
  <c r="R24" i="18"/>
  <c r="V11" i="16"/>
  <c r="M33" i="14"/>
  <c r="M37" i="14"/>
  <c r="M38" i="14"/>
  <c r="S40" i="14"/>
  <c r="T13" i="14"/>
  <c r="S14" i="14"/>
  <c r="R42" i="14"/>
  <c r="O80" i="4"/>
  <c r="O82" i="4" s="1"/>
  <c r="O84" i="4" s="1"/>
  <c r="O29" i="4" s="1"/>
  <c r="V49" i="4"/>
  <c r="H43" i="10"/>
  <c r="E12" i="18" s="1"/>
  <c r="O52" i="4"/>
  <c r="O53" i="4" s="1"/>
  <c r="P23" i="4"/>
  <c r="M57" i="4"/>
  <c r="M3" i="4" s="1"/>
  <c r="N53" i="4"/>
  <c r="N29" i="4"/>
  <c r="R17" i="4"/>
  <c r="S27" i="18" s="1"/>
  <c r="V2" i="4"/>
  <c r="P4" i="5"/>
  <c r="Q21" i="4"/>
  <c r="O49" i="14" l="1"/>
  <c r="N49" i="14"/>
  <c r="O43" i="14"/>
  <c r="O39" i="14"/>
  <c r="N43" i="14"/>
  <c r="N41" i="14"/>
  <c r="O41" i="14"/>
  <c r="N39" i="14"/>
  <c r="V4" i="14"/>
  <c r="W19" i="18"/>
  <c r="V64" i="4"/>
  <c r="W29" i="18"/>
  <c r="O27" i="14"/>
  <c r="O28" i="14"/>
  <c r="O55" i="4"/>
  <c r="O34" i="14"/>
  <c r="O32" i="14"/>
  <c r="Q23" i="14"/>
  <c r="T40" i="14"/>
  <c r="U13" i="14"/>
  <c r="N27" i="14"/>
  <c r="N28" i="14"/>
  <c r="P78" i="4"/>
  <c r="P80" i="4" s="1"/>
  <c r="P24" i="14"/>
  <c r="N34" i="14"/>
  <c r="N32" i="14"/>
  <c r="T14" i="14"/>
  <c r="S42" i="14"/>
  <c r="P61" i="4"/>
  <c r="P65" i="4" s="1"/>
  <c r="O40" i="4"/>
  <c r="N40" i="4"/>
  <c r="N57" i="4" s="1"/>
  <c r="N55" i="4"/>
  <c r="Q22" i="4"/>
  <c r="R25" i="18" s="1"/>
  <c r="R26" i="18" s="1"/>
  <c r="R30" i="18" s="1"/>
  <c r="R32" i="18" s="1"/>
  <c r="N86" i="4"/>
  <c r="P83" i="4"/>
  <c r="Q4" i="5"/>
  <c r="R62" i="4"/>
  <c r="R18" i="4"/>
  <c r="O86" i="4"/>
  <c r="R22" i="14" l="1"/>
  <c r="S24" i="18"/>
  <c r="O33" i="14"/>
  <c r="U14" i="14"/>
  <c r="T42" i="14"/>
  <c r="U40" i="14"/>
  <c r="V13" i="14"/>
  <c r="V40" i="14" s="1"/>
  <c r="N33" i="14"/>
  <c r="O37" i="14"/>
  <c r="O38" i="14"/>
  <c r="N37" i="14"/>
  <c r="N38" i="14"/>
  <c r="P82" i="4"/>
  <c r="P84" i="4" s="1"/>
  <c r="Q83" i="4" s="1"/>
  <c r="P52" i="4"/>
  <c r="P53" i="4" s="1"/>
  <c r="N3" i="4"/>
  <c r="Q23" i="4"/>
  <c r="O57" i="4"/>
  <c r="O3" i="4" s="1"/>
  <c r="R21" i="4"/>
  <c r="R36" i="4"/>
  <c r="P49" i="14" l="1"/>
  <c r="P41" i="14"/>
  <c r="P39" i="14"/>
  <c r="P43" i="14"/>
  <c r="V14" i="14"/>
  <c r="V42" i="14" s="1"/>
  <c r="U42" i="14"/>
  <c r="P55" i="4"/>
  <c r="P32" i="14"/>
  <c r="P34" i="14"/>
  <c r="Q24" i="14"/>
  <c r="R23" i="14"/>
  <c r="Q78" i="4"/>
  <c r="Q80" i="4" s="1"/>
  <c r="Q61" i="4"/>
  <c r="Q65" i="4" s="1"/>
  <c r="R22" i="4"/>
  <c r="S25" i="18" s="1"/>
  <c r="S26" i="18" s="1"/>
  <c r="S30" i="18" s="1"/>
  <c r="S32" i="18" s="1"/>
  <c r="P29" i="4"/>
  <c r="S17" i="4"/>
  <c r="T27" i="18" s="1"/>
  <c r="Q52" i="4" l="1"/>
  <c r="Q53" i="4" s="1"/>
  <c r="P27" i="14"/>
  <c r="P28" i="14"/>
  <c r="Q82" i="4"/>
  <c r="Q84" i="4" s="1"/>
  <c r="Q29" i="4" s="1"/>
  <c r="R23" i="4"/>
  <c r="P40" i="4"/>
  <c r="P86" i="4"/>
  <c r="S36" i="4"/>
  <c r="S62" i="4"/>
  <c r="S18" i="4"/>
  <c r="Q49" i="14" l="1"/>
  <c r="Q43" i="14"/>
  <c r="Q41" i="14"/>
  <c r="Q39" i="14"/>
  <c r="S22" i="14"/>
  <c r="T24" i="18"/>
  <c r="Q34" i="14"/>
  <c r="R83" i="4"/>
  <c r="Q55" i="4"/>
  <c r="Q32" i="14"/>
  <c r="P33" i="14"/>
  <c r="P37" i="14"/>
  <c r="P38" i="14"/>
  <c r="Q27" i="14"/>
  <c r="Q28" i="14"/>
  <c r="R78" i="4"/>
  <c r="R24" i="14"/>
  <c r="R61" i="4"/>
  <c r="R65" i="4" s="1"/>
  <c r="P57" i="4"/>
  <c r="P3" i="4" s="1"/>
  <c r="Q40" i="4"/>
  <c r="Q37" i="14" s="1"/>
  <c r="T17" i="4"/>
  <c r="U27" i="18" s="1"/>
  <c r="Q86" i="4"/>
  <c r="S21" i="4"/>
  <c r="G8" i="12"/>
  <c r="Q38" i="14" l="1"/>
  <c r="R52" i="4"/>
  <c r="R53" i="4" s="1"/>
  <c r="R80" i="4"/>
  <c r="R82" i="4" s="1"/>
  <c r="R84" i="4" s="1"/>
  <c r="S83" i="4" s="1"/>
  <c r="S23" i="14"/>
  <c r="Q33" i="14"/>
  <c r="Q57" i="4"/>
  <c r="Q3" i="4" s="1"/>
  <c r="S22" i="4"/>
  <c r="T62" i="4"/>
  <c r="T18" i="4"/>
  <c r="R49" i="14" l="1"/>
  <c r="R43" i="14"/>
  <c r="R39" i="14"/>
  <c r="R41" i="14"/>
  <c r="T22" i="14"/>
  <c r="U24" i="18"/>
  <c r="S23" i="4"/>
  <c r="S78" i="4" s="1"/>
  <c r="T25" i="18"/>
  <c r="T26" i="18" s="1"/>
  <c r="T30" i="18" s="1"/>
  <c r="T32" i="18" s="1"/>
  <c r="R32" i="14"/>
  <c r="R34" i="14"/>
  <c r="R29" i="4"/>
  <c r="R55" i="4"/>
  <c r="T36" i="4"/>
  <c r="U17" i="4"/>
  <c r="V27" i="18" s="1"/>
  <c r="T21" i="4"/>
  <c r="S24" i="14" l="1"/>
  <c r="S61" i="4"/>
  <c r="S65" i="4" s="1"/>
  <c r="T23" i="14"/>
  <c r="R27" i="14"/>
  <c r="R28" i="14"/>
  <c r="R86" i="4"/>
  <c r="R40" i="4"/>
  <c r="T22" i="4"/>
  <c r="U25" i="18" s="1"/>
  <c r="U26" i="18" s="1"/>
  <c r="U30" i="18" s="1"/>
  <c r="U32" i="18" s="1"/>
  <c r="U36" i="4"/>
  <c r="U62" i="4"/>
  <c r="U18" i="4"/>
  <c r="S80" i="4"/>
  <c r="S82" i="4" s="1"/>
  <c r="S84" i="4" s="1"/>
  <c r="S52" i="4"/>
  <c r="U22" i="14" l="1"/>
  <c r="V24" i="18"/>
  <c r="R33" i="14"/>
  <c r="R38" i="14"/>
  <c r="R37" i="14"/>
  <c r="R57" i="4"/>
  <c r="R3" i="4" s="1"/>
  <c r="T23" i="4"/>
  <c r="V17" i="4"/>
  <c r="W27" i="18" s="1"/>
  <c r="S29" i="4"/>
  <c r="T83" i="4"/>
  <c r="S53" i="4"/>
  <c r="U21" i="4"/>
  <c r="S49" i="14" l="1"/>
  <c r="S39" i="14"/>
  <c r="S43" i="14"/>
  <c r="S41" i="14"/>
  <c r="T24" i="14"/>
  <c r="U23" i="14"/>
  <c r="S32" i="14"/>
  <c r="S34" i="14"/>
  <c r="S28" i="14"/>
  <c r="S27" i="14"/>
  <c r="T78" i="4"/>
  <c r="T80" i="4" s="1"/>
  <c r="T61" i="4"/>
  <c r="T65" i="4" s="1"/>
  <c r="S55" i="4"/>
  <c r="S40" i="4"/>
  <c r="U22" i="4"/>
  <c r="V36" i="4"/>
  <c r="S86" i="4"/>
  <c r="V62" i="4"/>
  <c r="V18" i="4"/>
  <c r="V22" i="14" l="1"/>
  <c r="W24" i="18"/>
  <c r="U23" i="4"/>
  <c r="V25" i="18"/>
  <c r="V26" i="18" s="1"/>
  <c r="V30" i="18" s="1"/>
  <c r="V32" i="18" s="1"/>
  <c r="T82" i="4"/>
  <c r="T84" i="4" s="1"/>
  <c r="T29" i="4" s="1"/>
  <c r="U78" i="4"/>
  <c r="U80" i="4" s="1"/>
  <c r="U24" i="14"/>
  <c r="S33" i="14"/>
  <c r="S37" i="14"/>
  <c r="S38" i="14"/>
  <c r="T52" i="4"/>
  <c r="T53" i="4" s="1"/>
  <c r="S57" i="4"/>
  <c r="S3" i="4" s="1"/>
  <c r="V21" i="4"/>
  <c r="T49" i="14" l="1"/>
  <c r="T43" i="14"/>
  <c r="T41" i="14"/>
  <c r="T39" i="14"/>
  <c r="U61" i="4"/>
  <c r="U65" i="4" s="1"/>
  <c r="U82" i="4" s="1"/>
  <c r="U83" i="4"/>
  <c r="T32" i="14"/>
  <c r="T34" i="14"/>
  <c r="V23" i="14"/>
  <c r="T27" i="14"/>
  <c r="T28" i="14"/>
  <c r="T40" i="4"/>
  <c r="T55" i="4"/>
  <c r="V22" i="4"/>
  <c r="U52" i="4"/>
  <c r="U53" i="4" s="1"/>
  <c r="U49" i="14" s="1"/>
  <c r="T86" i="4"/>
  <c r="U39" i="14" l="1"/>
  <c r="U43" i="14"/>
  <c r="U41" i="14"/>
  <c r="V23" i="4"/>
  <c r="V78" i="4" s="1"/>
  <c r="W25" i="18"/>
  <c r="W26" i="18" s="1"/>
  <c r="W30" i="18" s="1"/>
  <c r="U84" i="4"/>
  <c r="V83" i="4" s="1"/>
  <c r="T33" i="14"/>
  <c r="T38" i="14"/>
  <c r="T37" i="14"/>
  <c r="U32" i="14"/>
  <c r="U34" i="14"/>
  <c r="T57" i="4"/>
  <c r="T3" i="4" s="1"/>
  <c r="U55" i="4"/>
  <c r="V24" i="14" l="1"/>
  <c r="V61" i="4"/>
  <c r="V65" i="4" s="1"/>
  <c r="S39" i="18"/>
  <c r="X30" i="18" s="1"/>
  <c r="X32" i="18" s="1"/>
  <c r="E36" i="18" s="1"/>
  <c r="W32" i="18"/>
  <c r="U29" i="4"/>
  <c r="U40" i="4" s="1"/>
  <c r="V80" i="4"/>
  <c r="V82" i="4" s="1"/>
  <c r="V84" i="4" s="1"/>
  <c r="V52" i="4"/>
  <c r="V53" i="4" s="1"/>
  <c r="V49" i="14" l="1"/>
  <c r="V43" i="14"/>
  <c r="V39" i="14"/>
  <c r="V41" i="14"/>
  <c r="E40" i="18"/>
  <c r="E42" i="18" s="1"/>
  <c r="U86" i="4"/>
  <c r="U28" i="14"/>
  <c r="U27" i="14"/>
  <c r="V34" i="14"/>
  <c r="V32" i="14"/>
  <c r="U33" i="14"/>
  <c r="U38" i="14"/>
  <c r="U37" i="14"/>
  <c r="U57" i="4"/>
  <c r="U3" i="4" s="1"/>
  <c r="V55" i="4"/>
  <c r="V29" i="4"/>
  <c r="I62" i="18" l="1"/>
  <c r="O37" i="18"/>
  <c r="O38" i="18" s="1"/>
  <c r="I52" i="18"/>
  <c r="V27" i="14"/>
  <c r="V28" i="14"/>
  <c r="V40" i="4"/>
  <c r="V86" i="4"/>
  <c r="V33" i="14" l="1"/>
  <c r="V38" i="14"/>
  <c r="V37" i="14"/>
  <c r="V57" i="4"/>
  <c r="V3"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 Rathour</author>
  </authors>
  <commentList>
    <comment ref="D25" authorId="0" shapeId="0" xr:uid="{2E76E89E-0233-489C-A500-5F576A22F8FE}">
      <text>
        <r>
          <rPr>
            <b/>
            <sz val="9"/>
            <color indexed="81"/>
            <rFont val="Tahoma"/>
            <family val="2"/>
          </rPr>
          <t>Mr Rathour:</t>
        </r>
        <r>
          <rPr>
            <sz val="9"/>
            <color indexed="81"/>
            <rFont val="Tahoma"/>
            <family val="2"/>
          </rPr>
          <t xml:space="preserve">
Its neither expense nor asset, it will go under deferred taxes in Balance, exluded from Taxes in P&amp;L</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<sst xmlns="http://schemas.openxmlformats.org/spreadsheetml/2006/main" count="697" uniqueCount="560">
  <si>
    <t>Units</t>
  </si>
  <si>
    <t>Ugar Sugar Works Ltd.</t>
  </si>
  <si>
    <t>Historical Information</t>
  </si>
  <si>
    <t>INCOME STATEMENT</t>
  </si>
  <si>
    <t>Revenues</t>
  </si>
  <si>
    <t>Revenue From Operations</t>
  </si>
  <si>
    <t>Other Income</t>
  </si>
  <si>
    <t>Total Income (I+II)</t>
  </si>
  <si>
    <t>Expenses</t>
  </si>
  <si>
    <t>(a) Cost of materials consumed</t>
  </si>
  <si>
    <t>(b) Other Manufacturing Expenses</t>
  </si>
  <si>
    <t>(c) Purchases of Stock-in-Trade</t>
  </si>
  <si>
    <t>(d) Changes in inventories of finished goods, Stock-in-Trade and work-in-progress</t>
  </si>
  <si>
    <t>(e) Employee benefits expenses</t>
  </si>
  <si>
    <t>(f) Finance costs</t>
  </si>
  <si>
    <t>(g) Excise Duty on Goods Sold</t>
  </si>
  <si>
    <t>(h) Depreciation and amortization expense</t>
  </si>
  <si>
    <t>(i) Other expenses</t>
  </si>
  <si>
    <t>Total expenses (IV)</t>
  </si>
  <si>
    <t>Profit/(loss) before exceptional items and tax from continuing operations</t>
  </si>
  <si>
    <t>Exceptional Items</t>
  </si>
  <si>
    <t>Profit/(loss) before tax from continuing operations</t>
  </si>
  <si>
    <t>Tax expense:</t>
  </si>
  <si>
    <t>Current tax</t>
  </si>
  <si>
    <t>MAT Credit entitlement for current year</t>
  </si>
  <si>
    <t>MAT Credit entitlement for earlier year</t>
  </si>
  <si>
    <t>Deferred tax</t>
  </si>
  <si>
    <t>Profit/(Loss) for the period</t>
  </si>
  <si>
    <t>BALANCE SHEET</t>
  </si>
  <si>
    <t>ASSETS</t>
  </si>
  <si>
    <t>Non-current Assets</t>
  </si>
  <si>
    <t>Tangible Assets:</t>
  </si>
  <si>
    <t>Property, plant and equipment</t>
  </si>
  <si>
    <t>Capital work in progress</t>
  </si>
  <si>
    <t>Investment property</t>
  </si>
  <si>
    <t>Intangible Assets</t>
  </si>
  <si>
    <t>Other Intangible assets</t>
  </si>
  <si>
    <t>Financial assets:</t>
  </si>
  <si>
    <t>Non - Current Investments</t>
  </si>
  <si>
    <t>Non - Current Loans &amp; Advances</t>
  </si>
  <si>
    <t>Other non-current assets</t>
  </si>
  <si>
    <t>Current Assets</t>
  </si>
  <si>
    <t>Inventories</t>
  </si>
  <si>
    <t>Financial Assets:</t>
  </si>
  <si>
    <t>Trade receivables</t>
  </si>
  <si>
    <t>Cash and cash equivalents</t>
  </si>
  <si>
    <t>Bank balances other than above</t>
  </si>
  <si>
    <t>Other current financial assets</t>
  </si>
  <si>
    <t>Current Tax Assets (Net)</t>
  </si>
  <si>
    <t>Other current assets</t>
  </si>
  <si>
    <t>Total Assets</t>
  </si>
  <si>
    <t>EQUITY AND LIABILITIES</t>
  </si>
  <si>
    <t>Equity</t>
  </si>
  <si>
    <t>Equity Share Capital</t>
  </si>
  <si>
    <t>Other Equity:</t>
  </si>
  <si>
    <t>Share Premium</t>
  </si>
  <si>
    <t>Retained Earnings</t>
  </si>
  <si>
    <t>Other Reserves</t>
  </si>
  <si>
    <t>Other Comprehensive Income</t>
  </si>
  <si>
    <t>Non-current Liabilities</t>
  </si>
  <si>
    <t>Financial Liabilities:</t>
  </si>
  <si>
    <t>Long Term Borrowings</t>
  </si>
  <si>
    <t>Long Term Provisions</t>
  </si>
  <si>
    <t>Deferred tax liabilities (Net)</t>
  </si>
  <si>
    <t>Current Liabilities</t>
  </si>
  <si>
    <t>Short Term Borrowings</t>
  </si>
  <si>
    <t>Trade payables:</t>
  </si>
  <si>
    <t>Total outstanding dues of micro enterprises and small enterprises</t>
  </si>
  <si>
    <t>Total outstanding dues other than micro enterprises and small enterprises</t>
  </si>
  <si>
    <t>Other payables</t>
  </si>
  <si>
    <t>Other financial liabilities</t>
  </si>
  <si>
    <t>Provisions</t>
  </si>
  <si>
    <t>Other current liabilities</t>
  </si>
  <si>
    <t>Current Tax Liabilities (Net)</t>
  </si>
  <si>
    <t>Total Lialibilities</t>
  </si>
  <si>
    <t>Total Lialibilities &amp; Equity</t>
  </si>
  <si>
    <t>CASHFLOW STATEMENT</t>
  </si>
  <si>
    <t>Net profit before tax and extraordinary items</t>
  </si>
  <si>
    <t>Adjustment for:</t>
  </si>
  <si>
    <t>Depreciation and amortization expense</t>
  </si>
  <si>
    <t>Provision for Doubtful Debts, Bad Debts, &amp; Sundry Advances Writen-off</t>
  </si>
  <si>
    <t>Bad debts and Sundry Advances Written off</t>
  </si>
  <si>
    <t>Loss/Gain on Disposal/Adjustment of PPE</t>
  </si>
  <si>
    <t>Finance Costs</t>
  </si>
  <si>
    <t>Unrealised Loss on Units and Preference Shares</t>
  </si>
  <si>
    <t>Investment Income</t>
  </si>
  <si>
    <t>Operating profit before working capital changes</t>
  </si>
  <si>
    <t>Decrease/ (Increase) in trade receivables, advances and other assets</t>
  </si>
  <si>
    <t>Decrease/ (Increase) in Inventories</t>
  </si>
  <si>
    <t>Increase/ (Decrease) in trade payables , provisions and other liabilities</t>
  </si>
  <si>
    <t>Cash Generated from operations</t>
  </si>
  <si>
    <t>Direct Tax paid (Net of Refund)</t>
  </si>
  <si>
    <t>Cash flow before extraordinary items</t>
  </si>
  <si>
    <t>Extraordinary items</t>
  </si>
  <si>
    <t>Net cash from Operating activities</t>
  </si>
  <si>
    <t>Cash flow from investing activities:</t>
  </si>
  <si>
    <t>Purchase of property, plant and equipment</t>
  </si>
  <si>
    <t>Purchase / Sale of Investments</t>
  </si>
  <si>
    <t>Advance Given for Investment</t>
  </si>
  <si>
    <t>Interest and Dividend received</t>
  </si>
  <si>
    <t>Net cash from investing activities</t>
  </si>
  <si>
    <t>Cash flow from financing activities:</t>
  </si>
  <si>
    <t>Interest paid</t>
  </si>
  <si>
    <t>Proceeds / (Repayment) from long term borrowings (net)</t>
  </si>
  <si>
    <t>Proceeds / (Repayment) from short term borrowings (net)</t>
  </si>
  <si>
    <t>Dividend Paid</t>
  </si>
  <si>
    <t>Net cash from Financing activities</t>
  </si>
  <si>
    <t>Net increase/(decrease) in Cash and Cash equivalents (A+B+C)</t>
  </si>
  <si>
    <t>Opening Cash and Cash equivalents</t>
  </si>
  <si>
    <t>Closing Cash and Cash equivalents</t>
  </si>
  <si>
    <t>Financial Statements and DCF Analysis</t>
  </si>
  <si>
    <t>Bear Case</t>
  </si>
  <si>
    <t>Revenue Growth</t>
  </si>
  <si>
    <t>%</t>
  </si>
  <si>
    <t>COGS (% of Revenue)</t>
  </si>
  <si>
    <t>Salaries &amp; benefits (% of Revenue)</t>
  </si>
  <si>
    <t>Other SG&amp;A expenses (% of Revenue)</t>
  </si>
  <si>
    <t>D&amp;A expenses (% of PP&amp;E)</t>
  </si>
  <si>
    <t>Interest (% of Debt)</t>
  </si>
  <si>
    <t>Other Income (Expenses) (% of Revenue)</t>
  </si>
  <si>
    <t>Tax Rate (% of Profits before tax or EBT)</t>
  </si>
  <si>
    <t>Dividends Payout</t>
  </si>
  <si>
    <t>Account Receivables</t>
  </si>
  <si>
    <t>Days</t>
  </si>
  <si>
    <t>Days Inventory Outstanding (DIO)</t>
  </si>
  <si>
    <t>Account Payables</t>
  </si>
  <si>
    <t>Times</t>
  </si>
  <si>
    <t>Income Statement</t>
  </si>
  <si>
    <t>INCOME</t>
  </si>
  <si>
    <t>Revenue</t>
  </si>
  <si>
    <r>
      <rPr>
        <b/>
        <sz val="11"/>
        <color theme="1"/>
        <rFont val="calibri"/>
        <family val="2"/>
      </rPr>
      <t>₹</t>
    </r>
    <r>
      <rPr>
        <b/>
        <sz val="11"/>
        <color theme="1"/>
        <rFont val="Book Antiqua"/>
        <family val="1"/>
      </rPr>
      <t xml:space="preserve"> in Lakhs</t>
    </r>
  </si>
  <si>
    <t>COGS</t>
  </si>
  <si>
    <t>Gross Profit</t>
  </si>
  <si>
    <t>EXPENSES</t>
  </si>
  <si>
    <t>Salaries &amp; benefits</t>
  </si>
  <si>
    <t>Other SG&amp;A expenses</t>
  </si>
  <si>
    <t>EBITDA</t>
  </si>
  <si>
    <t>Depreciation &amp; Amortization expenses</t>
  </si>
  <si>
    <t>EBIT</t>
  </si>
  <si>
    <t>Interest</t>
  </si>
  <si>
    <t>Other Income (Expenses)</t>
  </si>
  <si>
    <t>Earnings before Tax</t>
  </si>
  <si>
    <t>Taxes</t>
  </si>
  <si>
    <t>Net Earnings (PAT)</t>
  </si>
  <si>
    <t>Historical Info.</t>
  </si>
  <si>
    <t>Forecasted Info.</t>
  </si>
  <si>
    <t>Balance Sheet</t>
  </si>
  <si>
    <t>Cash</t>
  </si>
  <si>
    <t>Bank Deposits</t>
  </si>
  <si>
    <t>Inventory</t>
  </si>
  <si>
    <t>Other Current Assets</t>
  </si>
  <si>
    <t>Property, Plant &amp; Equipments</t>
  </si>
  <si>
    <t>Goodwill</t>
  </si>
  <si>
    <t>Financial Assets</t>
  </si>
  <si>
    <t>Other Non-Current Assets</t>
  </si>
  <si>
    <t>LIABILITIES</t>
  </si>
  <si>
    <t>Other Current Liabilities</t>
  </si>
  <si>
    <t>Non-Current Liabilities</t>
  </si>
  <si>
    <t>Debt</t>
  </si>
  <si>
    <t>Other Non-Current Liabilities</t>
  </si>
  <si>
    <t>Total Liabilities</t>
  </si>
  <si>
    <t>Shareholder's Equity</t>
  </si>
  <si>
    <t>Equity Capital</t>
  </si>
  <si>
    <t>Non-Controlling Interest</t>
  </si>
  <si>
    <t>Total Liabilities &amp; Shareholder's Equity</t>
  </si>
  <si>
    <t>Check</t>
  </si>
  <si>
    <t>Cashflow Statement</t>
  </si>
  <si>
    <t>Operating Cash flow</t>
  </si>
  <si>
    <t>Net Earnings</t>
  </si>
  <si>
    <t>Plus: Depreciation and Amortization</t>
  </si>
  <si>
    <t>Plus/Less: Adjustments for Non Operating Items</t>
  </si>
  <si>
    <t>Plus/Less: Adjustments for Operating Assets &amp; Liabilities</t>
  </si>
  <si>
    <t>Cash from Operations</t>
  </si>
  <si>
    <t>Investing Cash flow</t>
  </si>
  <si>
    <t>Investments in Property and Equipments</t>
  </si>
  <si>
    <t>Sale of Property, Plant and Equipments</t>
  </si>
  <si>
    <t>Net Proceeds From the Sale of Investments</t>
  </si>
  <si>
    <t>Interest &amp; Dividend received</t>
  </si>
  <si>
    <t>Cash from Investing</t>
  </si>
  <si>
    <t>Financial Cash Flow</t>
  </si>
  <si>
    <t>Issuance (Repayment) of Debt</t>
  </si>
  <si>
    <t>Issuance (Redemption) of Preference share- NCI</t>
  </si>
  <si>
    <t>Dividends paid</t>
  </si>
  <si>
    <t>Interests paid</t>
  </si>
  <si>
    <t>Cash from Financing</t>
  </si>
  <si>
    <t>Net Increase (Decrease) in Cash</t>
  </si>
  <si>
    <t>Opening Cash Balance</t>
  </si>
  <si>
    <t>Closing Cash Balance</t>
  </si>
  <si>
    <t>Check=&gt; Cash in BS is = Closing Cash in CF</t>
  </si>
  <si>
    <t>Working Capital Schedule</t>
  </si>
  <si>
    <t>Accounts Receivables</t>
  </si>
  <si>
    <t>Accounts Payables</t>
  </si>
  <si>
    <t>Other</t>
  </si>
  <si>
    <t>Total</t>
  </si>
  <si>
    <t>Supporting Schedules</t>
  </si>
  <si>
    <t>Depreciation Schedule</t>
  </si>
  <si>
    <t>PP&amp;E Opening balance</t>
  </si>
  <si>
    <t>Plus: Capex</t>
  </si>
  <si>
    <t>Less: Depreciation</t>
  </si>
  <si>
    <t>PP&amp;E Closing Balance</t>
  </si>
  <si>
    <t>Debt and Interest Schedule</t>
  </si>
  <si>
    <t>Debt Opening Balance</t>
  </si>
  <si>
    <t>Debt Closing Balance</t>
  </si>
  <si>
    <t>Interest Expense</t>
  </si>
  <si>
    <t>Revenue Growth Scenarios</t>
  </si>
  <si>
    <t>Growth (%)</t>
  </si>
  <si>
    <t>Base Case</t>
  </si>
  <si>
    <t>Bull Case</t>
  </si>
  <si>
    <t>Annual Growth Tempering</t>
  </si>
  <si>
    <t>Scenarios</t>
  </si>
  <si>
    <t>LIVE SCENARIO</t>
  </si>
  <si>
    <t>Master Check</t>
  </si>
  <si>
    <t>Comps Valuation</t>
  </si>
  <si>
    <t>Market Data</t>
  </si>
  <si>
    <t>Financial Data</t>
  </si>
  <si>
    <t>Valuation Metrices</t>
  </si>
  <si>
    <t>Price</t>
  </si>
  <si>
    <t>Shares</t>
  </si>
  <si>
    <t>Market Cap</t>
  </si>
  <si>
    <t>Cash &amp; Cash Equivalents</t>
  </si>
  <si>
    <t>Enterprise Value</t>
  </si>
  <si>
    <t>Sales</t>
  </si>
  <si>
    <t>Earnings</t>
  </si>
  <si>
    <t>Effective 
Tax Rate</t>
  </si>
  <si>
    <t>EV/Sales</t>
  </si>
  <si>
    <t>EV/ EBITDA</t>
  </si>
  <si>
    <t xml:space="preserve">P/E </t>
  </si>
  <si>
    <t>Company Name</t>
  </si>
  <si>
    <t>Ticker</t>
  </si>
  <si>
    <r>
      <rPr>
        <sz val="12"/>
        <color theme="0"/>
        <rFont val="calibri"/>
        <family val="2"/>
      </rPr>
      <t>₹</t>
    </r>
    <r>
      <rPr>
        <sz val="12"/>
        <color theme="0"/>
        <rFont val="Book Antiqua"/>
        <family val="1"/>
      </rPr>
      <t>/Share</t>
    </r>
  </si>
  <si>
    <t>In Lakhs</t>
  </si>
  <si>
    <t>₹ in Lakhs</t>
  </si>
  <si>
    <t>x</t>
  </si>
  <si>
    <t>Total Taxes (Net)</t>
  </si>
  <si>
    <t>Company</t>
  </si>
  <si>
    <t>Stock Price</t>
  </si>
  <si>
    <t>Weighted Avg. Shares Outstanding Dil</t>
  </si>
  <si>
    <t>Total Debt</t>
  </si>
  <si>
    <t>Total Revenues</t>
  </si>
  <si>
    <t>Net Income (Income Statement)</t>
  </si>
  <si>
    <t>Effective Tax Rate</t>
  </si>
  <si>
    <t>Revenue 10Y CAGR</t>
  </si>
  <si>
    <t>Revenue 5Y CAGR</t>
  </si>
  <si>
    <t>Short-term Borrowings</t>
  </si>
  <si>
    <t>Mawana Sugars Limited</t>
  </si>
  <si>
    <t>523371</t>
  </si>
  <si>
    <t>DCM Shriram Industries Limited</t>
  </si>
  <si>
    <t>523369</t>
  </si>
  <si>
    <t>Magadh Sugar &amp; Energy Limited</t>
  </si>
  <si>
    <t>MAGADSUGAR</t>
  </si>
  <si>
    <t>Dwarikesh Sugar Industries Limited</t>
  </si>
  <si>
    <t>532610</t>
  </si>
  <si>
    <t>Avadh Sugar &amp; Energy Limited</t>
  </si>
  <si>
    <t>AVADHSUGAR</t>
  </si>
  <si>
    <t>Davangere Sugar Company Limited</t>
  </si>
  <si>
    <t>DAVANGERE</t>
  </si>
  <si>
    <t>Dhampur Sugar Mills Limited</t>
  </si>
  <si>
    <t>500119</t>
  </si>
  <si>
    <t>Uttam Sugar Mills Limited</t>
  </si>
  <si>
    <t>532729</t>
  </si>
  <si>
    <t>The Ugar Sugar Works Limited</t>
  </si>
  <si>
    <t>530363</t>
  </si>
  <si>
    <t>Average</t>
  </si>
  <si>
    <t>Median</t>
  </si>
  <si>
    <t>Metrix</t>
  </si>
  <si>
    <t>Comps</t>
  </si>
  <si>
    <t>EV</t>
  </si>
  <si>
    <t>Net Debt</t>
  </si>
  <si>
    <t>Equity Value</t>
  </si>
  <si>
    <t>Share Price</t>
  </si>
  <si>
    <t>Shares Outstanding</t>
  </si>
  <si>
    <t>Cash And Equivalents &amp; Short term investments</t>
  </si>
  <si>
    <t>Date</t>
  </si>
  <si>
    <t>Index 
Closing Price</t>
  </si>
  <si>
    <t>Index</t>
  </si>
  <si>
    <t>Nifty 50 Total Return Index</t>
  </si>
  <si>
    <t>Yearfrac</t>
  </si>
  <si>
    <t>Market Returns</t>
  </si>
  <si>
    <t>10Y Risk free Rate 
(Bond Yield)</t>
  </si>
  <si>
    <t>Weighted-Average Cost of Capital (WACC)</t>
  </si>
  <si>
    <t>Comparable Companies Beta</t>
  </si>
  <si>
    <t>Name</t>
  </si>
  <si>
    <t>Debt/Equity</t>
  </si>
  <si>
    <t>Levered Beta</t>
  </si>
  <si>
    <t>Debt/
Equity</t>
  </si>
  <si>
    <t>Debt/
Capital</t>
  </si>
  <si>
    <t>Tax Rate 
%</t>
  </si>
  <si>
    <t>Unlevered 
Beta</t>
  </si>
  <si>
    <t>WACC Calculation</t>
  </si>
  <si>
    <t>Target Capital structure</t>
  </si>
  <si>
    <t>Proportion of Debt</t>
  </si>
  <si>
    <t>Proportion of Equity</t>
  </si>
  <si>
    <t>Current Capital Structure</t>
  </si>
  <si>
    <t>Cost of Debt</t>
  </si>
  <si>
    <t>Pre-tax Cost of Debt</t>
  </si>
  <si>
    <t>Tax Rate</t>
  </si>
  <si>
    <t>After Tax Cost of Debt</t>
  </si>
  <si>
    <t>Cost of Equity</t>
  </si>
  <si>
    <t>Risk Free Rate</t>
  </si>
  <si>
    <t>Equity Risk Premium</t>
  </si>
  <si>
    <t>Equity Market Return</t>
  </si>
  <si>
    <t>Levered Equity Beta</t>
  </si>
  <si>
    <t>WACC</t>
  </si>
  <si>
    <t>Calculation of Beta</t>
  </si>
  <si>
    <t>Index Close Price</t>
  </si>
  <si>
    <t>%Change Monthly</t>
  </si>
  <si>
    <t>Stock Close Price</t>
  </si>
  <si>
    <t>BSE Sensex</t>
  </si>
  <si>
    <t>Min (last 52 weeks)</t>
  </si>
  <si>
    <t>Max (Last 52-weeks)</t>
  </si>
  <si>
    <t>Method- 1 (using Slope)</t>
  </si>
  <si>
    <t>Method- 2 (ANNOVA)</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</si>
  <si>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</si>
  <si>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</si>
  <si>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</si>
  <si>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</si>
  <si>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</si>
  <si>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</si>
  <si>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</si>
  <si>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</si>
  <si>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</si>
  <si>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</si>
  <si>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</si>
  <si>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</si>
  <si>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</si>
  <si>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</si>
  <si>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</si>
  <si>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</si>
  <si>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</si>
  <si>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</si>
  <si>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</si>
  <si>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</si>
  <si>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</si>
  <si>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</si>
  <si>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</si>
  <si>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X Variable 1</t>
  </si>
  <si>
    <t>DCF Analysis</t>
  </si>
  <si>
    <t>Assumptions</t>
  </si>
  <si>
    <t>Transaction date</t>
  </si>
  <si>
    <t>Fiscal Year end</t>
  </si>
  <si>
    <t>Tax rate</t>
  </si>
  <si>
    <t>EV/EBITDA multiple</t>
  </si>
  <si>
    <t>Perpetual Growth Rate</t>
  </si>
  <si>
    <t>Discount Rate (WACC)</t>
  </si>
  <si>
    <t>Current Market Price</t>
  </si>
  <si>
    <t>Discounted  Cash Flow</t>
  </si>
  <si>
    <t xml:space="preserve">Time period </t>
  </si>
  <si>
    <t>Entry Date</t>
  </si>
  <si>
    <t>Less: Cash Tax</t>
  </si>
  <si>
    <t>NOPAT</t>
  </si>
  <si>
    <t>Plus: D&amp;A</t>
  </si>
  <si>
    <t>Less: Capex</t>
  </si>
  <si>
    <t>Less: Changes in Net WC</t>
  </si>
  <si>
    <t>Unlevered Free Cash Flow</t>
  </si>
  <si>
    <t>Transaction Cash flow</t>
  </si>
  <si>
    <t>Terminal Value</t>
  </si>
  <si>
    <t>EV/EBITDA</t>
  </si>
  <si>
    <t>Perpetual Growth</t>
  </si>
  <si>
    <t>Less: Debt</t>
  </si>
  <si>
    <t>Equity Value per share</t>
  </si>
  <si>
    <t>Intrinsic Value (Using Implied Value)</t>
  </si>
  <si>
    <t>Market Value (Using Facts)</t>
  </si>
  <si>
    <t>Less: Cash</t>
  </si>
  <si>
    <t>Plus: Debt</t>
  </si>
  <si>
    <t>Plus: NCI</t>
  </si>
  <si>
    <t>(Target Price)</t>
  </si>
  <si>
    <t>(Market Price)</t>
  </si>
  <si>
    <t>Rate of Return</t>
  </si>
  <si>
    <t>Current Price</t>
  </si>
  <si>
    <t>Target Price</t>
  </si>
  <si>
    <t>Target Potential</t>
  </si>
  <si>
    <t>Sensitivity Analysis</t>
  </si>
  <si>
    <t>Sensitivities - Intrinsic values (Rs. /Share)</t>
  </si>
  <si>
    <t>Exit Multiple</t>
  </si>
  <si>
    <t>Discount Rate</t>
  </si>
  <si>
    <t>Valuation Summary- Football Field</t>
  </si>
  <si>
    <t>Football Field Data</t>
  </si>
  <si>
    <t>DCF</t>
  </si>
  <si>
    <t>52-week High/Low</t>
  </si>
  <si>
    <t>Market Consensus</t>
  </si>
  <si>
    <t>High</t>
  </si>
  <si>
    <t>Low</t>
  </si>
  <si>
    <t>Valuation Summary</t>
  </si>
  <si>
    <t>Financial Modelling and Valuation Analysis</t>
  </si>
  <si>
    <t>xxxx</t>
  </si>
  <si>
    <t>Inputs / Assumptions</t>
  </si>
  <si>
    <t>Formulae</t>
  </si>
  <si>
    <t>Linking/ Reference cell</t>
  </si>
  <si>
    <t>INDEX</t>
  </si>
  <si>
    <t>DCF Valuation</t>
  </si>
  <si>
    <t>Beta</t>
  </si>
  <si>
    <t>Valuation Summary- Football Analysis</t>
  </si>
  <si>
    <t>Back to Cover</t>
  </si>
  <si>
    <t>Interpretation of Ratios</t>
  </si>
  <si>
    <t>Historical FCFF</t>
  </si>
  <si>
    <t>DCF- FCFF</t>
  </si>
  <si>
    <t>Exit</t>
  </si>
  <si>
    <t>Profitability Ratios</t>
  </si>
  <si>
    <t>Gross Margin %</t>
  </si>
  <si>
    <t>EBITDA Margin %</t>
  </si>
  <si>
    <t>Operating Margin %</t>
  </si>
  <si>
    <t>Pretax margin %</t>
  </si>
  <si>
    <t>Net Margin %</t>
  </si>
  <si>
    <t>Liquidity Ratios</t>
  </si>
  <si>
    <t>Current Ratio</t>
  </si>
  <si>
    <t>Quick Ratio</t>
  </si>
  <si>
    <t>Cash Cycle</t>
  </si>
  <si>
    <t>Leverage Ratios</t>
  </si>
  <si>
    <t>Debt/Equity Ratio</t>
  </si>
  <si>
    <t>Asset/Equity Ratio</t>
  </si>
  <si>
    <t>Debt/Capital Ratio</t>
  </si>
  <si>
    <t>DuPont/Earning Power</t>
  </si>
  <si>
    <t>Asset Turnover Ratio</t>
  </si>
  <si>
    <t>Pre-Tax ROA</t>
  </si>
  <si>
    <t>Pre-Tax ROE</t>
  </si>
  <si>
    <t>Tax Complement</t>
  </si>
  <si>
    <t>ROE</t>
  </si>
  <si>
    <t>Equity Retention</t>
  </si>
  <si>
    <t>Reinvestment Rate</t>
  </si>
  <si>
    <t>Operating Ratios</t>
  </si>
  <si>
    <t>AR Turnover</t>
  </si>
  <si>
    <t>Inventory Turnover</t>
  </si>
  <si>
    <t>AP Turnover</t>
  </si>
  <si>
    <t>ROIC</t>
  </si>
  <si>
    <t>Company Description</t>
  </si>
  <si>
    <t>ISIN Code</t>
  </si>
  <si>
    <t>Sector Name</t>
  </si>
  <si>
    <t>Industry</t>
  </si>
  <si>
    <t>Exchange Name</t>
  </si>
  <si>
    <t>Website</t>
  </si>
  <si>
    <t>INE071E01023</t>
  </si>
  <si>
    <t>NSE: UGARSUGAR, BSE: 530363</t>
  </si>
  <si>
    <t>https://www.ugarsugar.com/</t>
  </si>
  <si>
    <t>The Ugar Sugar Works Ltd, established in 1939 as the flagship of the Shirgaokar Group, is the largest single-location sugar producer in Southern India with a combined crushing capacity of 18,000 TCD across its Ugar Khurd and Jewargi plants. The company operates a highly integrated model, manufacturing various grades of white crystal sugar and unique export-oriented sugar cubes while leveraging byproducts for a 44 MW co-generation power plant and a 75,000-litre daily capacity distillery producing ethanol and IML brands like Old Castle and Ugar XXX Rum. Publicly traded on the NSE and BSE, the firm reported revenues of ₹1,420 Cr for FY2025 and remains a key player in India's ethanol blending initiatives under the leadership of the Shirgaokar family.</t>
  </si>
  <si>
    <t>Assumptions for Revenue Growth (Base Case Scenario)</t>
  </si>
  <si>
    <t>Segment wise Revenue contribution- FY-2025</t>
  </si>
  <si>
    <t>Segment &amp; Product</t>
  </si>
  <si>
    <t>Weightage in Rev.</t>
  </si>
  <si>
    <t>Industry 
Growth Rate</t>
  </si>
  <si>
    <t>i. SUGAR</t>
  </si>
  <si>
    <t>ii. DISTILLERY</t>
  </si>
  <si>
    <t>a. Rectified Spirit</t>
  </si>
  <si>
    <t>b. Denatured Spirit</t>
  </si>
  <si>
    <t>c. Potable Alcohol</t>
  </si>
  <si>
    <t>d. Biofuel</t>
  </si>
  <si>
    <t>iii. OTHERS</t>
  </si>
  <si>
    <t>a. Electricity</t>
  </si>
  <si>
    <t>b. Petroleum Products</t>
  </si>
  <si>
    <t>c. Broken Rice</t>
  </si>
  <si>
    <t>d. By-Products &amp; Others</t>
  </si>
  <si>
    <t>Factors that I considered to make segment wise industry growth rate assumptions</t>
  </si>
  <si>
    <t>i. Sugar</t>
  </si>
  <si>
    <t>India’s sugar production increased by 58% over the past decade, reflecting a long-term CAGR of around 4.7%, representing the steady but moderate structural growth.</t>
  </si>
  <si>
    <t>Based on CRISIL Ratings reports as of June 2025, "India's gross sugar production is expected to rise by approximately 15% in the 2025-26 season to around 35 million tonnes."</t>
  </si>
  <si>
    <r>
      <t xml:space="preserve">Sugar is expected to see 15% growth in FY 2025-26, so will take </t>
    </r>
    <r>
      <rPr>
        <b/>
        <sz val="11"/>
        <color theme="1"/>
        <rFont val="Book Antiqua"/>
        <family val="1"/>
      </rPr>
      <t>10% average growth rate</t>
    </r>
  </si>
  <si>
    <t>ii. Distillery</t>
  </si>
  <si>
    <t>Ugar Sugar is clearly prioritizing and strengthening its distillery business alongside sugar, because distillery offers higher margins, more stable demand, and policy-driven growth visibility.</t>
  </si>
  <si>
    <t>India achieves 20% ethanol blending target- ISMA IBEF July 28, 2025</t>
  </si>
  <si>
    <t>Ethanol production grew from 380 million litres (2014) to 6,610 million litres (2025)</t>
  </si>
  <si>
    <t>This is a 17.4× increase over 11 years</t>
  </si>
  <si>
    <t>It gave the CAGR of 29.6% over the last 11 years</t>
  </si>
  <si>
    <t>Since India has achieved the 20% Ethanol Blending target so now its in Maturity phase</t>
  </si>
  <si>
    <t>The optimum growth of Distillery would be: 8-12%</t>
  </si>
  <si>
    <t>Total Revenue of Other products</t>
  </si>
  <si>
    <t>Historical Growth rate</t>
  </si>
  <si>
    <t>Other Assumptions</t>
  </si>
  <si>
    <t>(10 Year Indian-bond yield)</t>
  </si>
  <si>
    <t xml:space="preserve"> the depreciation rate grows once every 3 years by 2%. % does not change.</t>
  </si>
  <si>
    <t xml:space="preserve"> The Effective Tax Rate increases by 0.5-1% every 2 years, (However, if tax reaches 30%, stop it there.)</t>
  </si>
  <si>
    <t>All the remaining costs and other line items's forecast is dependent upon the revenue growth.</t>
  </si>
  <si>
    <t>After averaging the Capex, We assume that it will grow by .5% Every year &amp; we are allocating the adjusted capex into the assets in the proportion of latest audited year.</t>
  </si>
  <si>
    <t>For the Forecasting of Tax rate, we are not averaging but taking the last audited year's % and then assuming it will grow by .5% in every 2 years</t>
  </si>
  <si>
    <t>Trend</t>
  </si>
  <si>
    <t>Industry        : Agricultural Food &amp; other Products</t>
  </si>
  <si>
    <t>Sub-Industry:  Sugar</t>
  </si>
  <si>
    <t>Analyst         : Manish Rathour</t>
  </si>
  <si>
    <t>Sector            :  FMCG</t>
  </si>
  <si>
    <t>Company      :  Ugar Sugar Works Ltd.</t>
  </si>
  <si>
    <t>Ticker            :  NSE: UGARSUGAR, BSE: 530363</t>
  </si>
  <si>
    <t>Ratio Analysis &amp; Interpretation</t>
  </si>
  <si>
    <t>Ratio analysis &amp; Interpretations</t>
  </si>
  <si>
    <t>FMCG</t>
  </si>
  <si>
    <t>The date was in INR Million so converted it into INR Lakhs</t>
  </si>
  <si>
    <t>Scenario</t>
  </si>
  <si>
    <t>Company Data</t>
  </si>
  <si>
    <t>Particulars</t>
  </si>
  <si>
    <t>Amount</t>
  </si>
  <si>
    <t>No of Outstanding shares</t>
  </si>
  <si>
    <t>Face Value per share</t>
  </si>
  <si>
    <t>Rs.</t>
  </si>
  <si>
    <t>Market Capitalisation</t>
  </si>
  <si>
    <t>Unit</t>
  </si>
  <si>
    <r>
      <t xml:space="preserve">Comps Valuation- </t>
    </r>
    <r>
      <rPr>
        <i/>
        <sz val="9"/>
        <color theme="0"/>
        <rFont val="Book Antiqua"/>
        <family val="1"/>
      </rPr>
      <t>Values are in INR Lakhs</t>
    </r>
  </si>
  <si>
    <t>INR in Lakh</t>
  </si>
  <si>
    <t>Perpetual Growth rate</t>
  </si>
  <si>
    <t>10 year Bond yield rate</t>
  </si>
  <si>
    <t>Interest rate</t>
  </si>
  <si>
    <t>OTHERS Median growth rate</t>
  </si>
  <si>
    <r>
      <t>Revenue growth Assumption- Data</t>
    </r>
    <r>
      <rPr>
        <i/>
        <sz val="10"/>
        <color theme="0"/>
        <rFont val="Book Antiqua"/>
        <family val="1"/>
      </rPr>
      <t xml:space="preserve"> (Values are in INR Lakhs)</t>
    </r>
  </si>
  <si>
    <t>Particular</t>
  </si>
  <si>
    <t>Revenue Buildup</t>
  </si>
  <si>
    <t>Cost Buildup</t>
  </si>
  <si>
    <t>Historically the effective tax rate has been erratic- ranging from 6.6% to 30.6%, largely due to deferred tax adjustments and prior year losses. As the company stabilizes its profitability, I have assumed a gradual convergence (by 0.5% increase in every 2 years) towards the statutory corporate tax rate of 30%, stepping up from 27% in FY2026F to 29% by FY2035F, reflecting the normalization of tax provisions over time.</t>
  </si>
  <si>
    <t>Balance Sheet Items</t>
  </si>
  <si>
    <t>Working Capital</t>
  </si>
  <si>
    <t>INTERPRETATION</t>
  </si>
  <si>
    <t>Agricultural Food &amp; other Products</t>
  </si>
  <si>
    <t>(Weighted-average revenue growth rate: base case)</t>
  </si>
  <si>
    <t>Comps Data</t>
  </si>
  <si>
    <t>Assumptions Data</t>
  </si>
  <si>
    <t>Working Schedules</t>
  </si>
  <si>
    <t>Financial Statements</t>
  </si>
  <si>
    <t>Using bottom-up, segment-wise method, I computed the weighted average revenue growth rate for the company. Based on historical data, I derived Base Case revenue growth rate of 9.86% (Calculations given in Worksheet 'Assumptions (Data)'. I then forecasted revenue using this base case as the anchor, applying a +5% Premium for the Bull Case (14.86%) supported by stronger Sugar and Distellary growth projections by CRISIL, and a -5% haircut for the Bear Case to adjust for downside risks such as a correction in sugar prices and a softening of distillery demand, Climate risk etc. Since historical peer revenue CAGRs for listed Indian sugar businesses range from -2.8% to +14.8%, I selected ±5% as my sensitivity band since it is a realistic and statistically sound swing around my base estimate.</t>
  </si>
  <si>
    <t>Gross margins held broadly stable between 26.0% and 29.0% across FY2021 to FY2024, before collapsing sharply to 17.1% in FY2025, the steepest single-year contraction in our model period. This compression was structurally driven: while our revenue fell 34.2% in FY2024 due to declining sugarcane output across Maharashtra and Karnataka per ICRA SY2025 data, our cane procurement costs remained sticky against state-mandated SAP obligations, creating a severe mismatch between revenue deflation and a near-rigid cost base. Our forecasts project a recovery and stabilization at 25.4% from FY2026F through FY2035F, underpinned by improving sugarcane availability per IBEF Agriculture November 2025 data alongside our industrial alcohol segment already demonstrating recovery in Q3 FY2026. The structural ceiling at 25.4% reflects the permanent reality that government-linked cane pricing grows independently of sugar price cycles.</t>
  </si>
  <si>
    <t>EBITDA margin climbed from 6.1% in FY2021 to a peak of 10.8% in FY2023, capturing the operating leverage when national sugarcane output hit 490.5 MT per IBEF Agriculture data, driving both sugar volumes and distillery feedstock simultaneously. From that peak it deteriorated sharply to 5.5% in FY2024 and further to 2.9% in FY2025, as falling revenues collided with our fixed employee costs, finance charges, and depreciation on recently expanded distillery infrastructure, none of which moved with revenues. Our forecasts project recovery and stabilization at 6.6% from FY2026F through FY2035F, supported by our industrial alcohol segment delivering Rs. 65,063 Lakhs in nine month revenues per our Q3 FY2026 filing. The flat 6.6% across the entire forecast horizon reflects operating cost growth broadly neutralizing revenue benefits, keeping our EBITDA margin range-bound rather than structurally expanding.</t>
  </si>
  <si>
    <t>Operating margin rose from 5.0% in FY2021 to a peak of 9.8% in FY2023, before deteriorating sharply to 3.2% in FY2024 and collapsing to 0.9% in FY2025, the lowest in our model period. The sharper fall relative to EBITDA margin reveals that excise duty on sales of Rs. 2,331 Lakhs for 9M FY2026 and other manufacturing expenses created additional drag beyond what depreciation and finance costs alone explain. Our forecasts project a recovery to 4.5% in FY2026F before gradually declining toward 3.2% by FY2035F, reflecting our distillery segment transitioning into a maturity phase post India's achievement of the 20% ethanol blending target, compressing incremental operating profitability even as revenues continue growing steadily.</t>
  </si>
  <si>
    <t>Our pretax margin moved from 1.7% in FY2021 to a peak of 7.6% in FY2023, before falling to 2.3% in FY2024 and swinging to -1.6% in FY2025, marking our first pretax loss year in the model period. The move into negative territory was a compounding effect where finance costs of Rs. 4,843 Lakhs for the full year FY2025 per our Annual Report, sitting on top of already compressed gross and operating margins, pushed us below breakeven entirely. Our Q4 FY2026 results showing a quarterly pretax profit of Rs. 1,612 Lakhs confirm the recovery is already underway. Our forecasts project pretax margin oscillating between 1.6% and 2.1% through FY2035F, reflecting persistent finance costs on distillery expansion debt partially offset by improving segment profitability across co-generation and industrial alcohol operations</t>
  </si>
  <si>
    <t>The Net margin rose from 1.5% in FY2021 to a peak of 5.3% in FY2023, the only year where revenue scale, operating leverage, and manageable finance costs aligned to deliver meaningful bottom line returns. It then deteriorated to 1.7% in FY2024 and turned negative at -1.2% in FY2025, where our full year PAT loss of Rs. 1,624.95 Lakhs per our Annual Report FY2024-25 left the bottom line fully exposed to the cost-revenue mismatch. Our Q4 FY2026 quarterly PAT recovery of Rs. 1,375.79 Lakhs per our December 2025 filing confirms the turnaround is real. Our forecasts project net margin oscillating between 1.2% and 1.5% through FY2035F, reflecting that persistently elevated finance costs on distillery expansion debt will continue consuming a disproportionate share of operating profits, leaving structurally thin but stable bottom line returns across the forecast horizon.</t>
  </si>
  <si>
    <t>The current ratio stood at a comfortable 3.1x in FY2021, declining steadily to 1.9x in FY2023 before recovering to 2.3x in FY2024 and 2.5x in FY2025, reflecting the seasonal inventory buildup during crushing periods that inflates our current asset base. The 2.5x reading however masks an important underlying reality, our Q2 FY2026 balance sheet shows current assets dropping sharply to Rs. 37,410 Lakhs from Rs. 72,375 Lakhs at FY2025 year end as seasonal inventory drawdowns compress the numerator during off-crushing periods. Our forecasts project current ratio moderating from 2.1x in FY2026F and stabilizing between 1.8x and 2.0x through FY2035F, reflecting increasing short term borrowing requirements to fund our expanded distillery operations progressively tightening our short term liquidity headroom.</t>
  </si>
  <si>
    <t>Quick ratio remained range-bound between 0.4x and 0.8x across FY2021 to FY2025, consistently below 1.0x throughout our entire operating history, confirming that without liquidating inventory we cannot fully cover short term obligations at any point, a structurally expected position for a sugar company where finished goods represent the single largest current asset per our Q2 FY2026 balance sheet showing inventories of Rs. 15,128 Lakhs against total current assets of Rs. 37,410 Lakhs. Our forecasts show quick ratio deteriorating from 0.3x in FY2026F into negative territory from FY2028F onwards, reaching -0.4x by FY2035F, driven by rising short term borrowings funding our industrial alcohol expansion outpacing liquid asset growth, signaling investors must closely monitor our seasonal borrowing patterns and working capital management in future quarters.</t>
  </si>
  <si>
    <t>The Cash cycle swung dramatically from 254.0 days in FY2021 to a low of 88.4 days in FY2023, the peak sugarcane output year where strong industrial alcohol offtake rapidly converted molasses inventory into cash, before widening again to 156.5 days in FY2024 and 158.8 days in FY2025 as slower sugar release quotas and normalized ethanol offtake extended our working capital cycle. Our Q3 FY2026 nine month revenues of Rs. 1,11,807 Lakhs alongside recovering industrial alcohol segment profits of Rs. 3,702 Lakhs confirm the business is operating at improved throughput. Our forecasts project cash cycle stabilizing at 178.9 days from FY2026F through FY2035F, reflecting normalized seasonal inventory holding as sugarcane crushing volumes recover per IBEF Agriculture November 2025 data, though this elongation relative to the FY2023 low signals structurally higher working capital intensity as distillery operations scale up alongside sugar.</t>
  </si>
  <si>
    <t>Debt/Equity ratio tells a compelling deleveraging story across the audited years, falling sharply from 6.9x in FY2021 to just 1.6x in FY2023, driven by strong profitability compounding our retained earnings base while we simultaneously repaid short term borrowings during the peak sugarcane cycle. It reversed to 2.2x in FY2024 and 2.8x in FY2025 as consecutive net losses eroded our equity base, our Annual Report FY2024-25 confirming other equity declining to Rs. 20,475 Lakhs while distillery expansion debt remained on our books. Our forecasts project a steady and encouraging deleveraging from 2.6x in FY2026F toward 1.3x by FY2035F, reflecting that as profitability gradually recovers and retained earnings rebuild our equity base, our balance sheet will progressively strengthen over the forecast horizon.</t>
  </si>
  <si>
    <t>The Asset/Equity ratio declined from 11.1x in FY2021 to 4.1x in FY2023, mirroring the equity accretion during our peak profitability years as retained earnings meaningfully strengthened our net worth relative to our asset base. From FY2024 it reversed to 4.6x and 5.2x in FY2025, as loss-driven equity erosion inflated the multiple without any meaningful change in our absolute asset base, our Q2 FY2026 balance sheet showing total assets of Rs. 78,379 Lakhs against equity of only Rs. 17,159 Lakhs confirming this dynamic. Our forecasts project asset/equity declining steadily from 5.2x in FY2026F toward 3.4x by FY2035F, reflecting gradual equity rebuilding through retained profits as our three segment operations deliver improving but structurally thin margins over the long term.</t>
  </si>
  <si>
    <t>Our debt/capital ratio declined from 0.9x in FY2021 to 0.6x in FY2023 during our peak deleveraging phase, before stabilizing at 0.7x through FY2024 and FY2025, suggesting that while equity erosion from consecutive losses was real, our absolute debt levels did not expand dramatically enough to materially worsen our capital structure. This is confirmed by our Q2 FY2026 cash flow statement showing net short term borrowing repayments of Rs. 16,469 Lakhs during the half year, demonstrating active debt management even through the downturn. Our forecasts project debt/capital remaining at 0.7x through FY2030F before gradually easing to 0.6x by FY2031F through FY2035F, reflecting a capital structure finding its natural equilibrium where distillery expansion debt and seasonal sugar borrowings together consistently represent the majority of our total capital employed.</t>
  </si>
  <si>
    <t>Asset turnover stood at 1.3x in FY2022, peaked at 1.9x in FY2023 reflecting the high revenue environment when national sugarcane output hit 490.5 MT per IBEF Agriculture data, before declining back to 1.3x in both FY2024 and FY2025 as revenue contraction outpaced any reduction in our asset base. Our significant capital work in progress of Rs. 10,834 Lakhs visible in our Q2 FY2026 balance sheet means our denominator continues growing even when revenues compress, mechanically suppressing turnover. Our forecasts project asset turnover gradually improving from 1.3x in FY2026F toward 1.7x by FY2035F, reflecting that incremental revenue growth from our maturing ethanol and co-generation segments will progressively outpace incremental asset additions as our capital expansion phase winds down.</t>
  </si>
  <si>
    <t>Pre-tax ROA stood at 5% in FY2022, peaking at 14% in FY2023 during the high revenue sugarcane cycle before collapsing to 3.0% in FY2024 and turning negative at -2.0% in FY2025, directly mirroring the pretax margin deterioration compounded by our expanding asset base from distillery investments. Our Q4 FY2026 quarterly pretax profit of Rs. 1,612 Lakhs signals the return to positive territory. Our forecasts project pre-tax ROA oscillating between 2.3% and 3.4% through FY2035F, reflecting the fundamental tension where an asset heavy balance sheet demands returns that our structurally thin pretax margins, constrained by government linked cane pricing and elevated finance costs, can only partially deliver.</t>
  </si>
  <si>
    <t>Our pre-tax ROE climbed from 46% in FY2022 to an exceptional 87% in FY2023, the single year where strong sugarcane volumes, expanding distillery revenues, and a still-thin equity base from our deleveraging phase combined to deliver an outsized return on shareholder equity. From that peak it collapsed to 13% in FY2024 and turned negative at -10% in FY2025, as back to back pretax losses eroded returns while our equity base simultaneously declined from retained loss accumulation, creating a double compression on the ratio. Our forecasts project pre-tax ROE stabilizing between 11% and 13% through FY2035F, reflecting that as our equity base gradually rebuilds through retained profits, the denominator expansion will structurally moderate returns even as pretax profitability recovers.</t>
  </si>
  <si>
    <t>The Tax complement remained elevated between 92% and 93% across FY2021 to FY2022, reflecting that deferred tax adjustments and carried forward losses absorbed our tax liability almost entirely during those years. It dropped to 69% in FY2023 as strong pretax profits finally exhausted our loss shield, before recovering to 71% in FY2024 and 73% in FY2025 as deferred tax movements per our quarterly filings partially offset the liability during the downturn. Our forecasts project tax complement holding at 73% through FY2027F before stepping down to 72% from FY2028F and gradually declining toward 71% by FY2032F through FY2035F, reflecting progressive depletion of our deferred tax shields as the business sustains consistent profitability over the forecast horizon.</t>
  </si>
  <si>
    <t>ROE rose from 43% in FY2022 to 60% in FY2023, driven by the same thin equity base and peak earnings combination that inflated our pre-tax ROE, before collapsing to 9% in FY2024 and turning negative at -7% in FY2025 as our PAT loss of Rs. 1,624.95 Lakhs per our Annual Report FY2024-25 eroded the equity base it was being measured against from both ends simultaneously. Our Q4 FY2026 quarterly PAT of Rs. 1,375.79 Lakhs per our December 2025 filing confirms the return to positive earnings. Our forecasts project ROE oscillating between 7% and 10% through FY2035F, reflecting that while earnings recover, our gradually rebuilding equity base will mechanically moderate the ratio, leaving shareholders with stable but structurally compressed returns relative to the peak cycle years.</t>
  </si>
  <si>
    <t>The Equity retention remained consistently high between 93% and 97% across FY2021 to FY2023, reflecting our conservative dividend policy prioritizing internal capital retention for distillery expansion over shareholder distribution. It dropped to 73% in FY2024 as minimal earnings made even a modest dividend consume a larger share of profits, before jumping to 117% in FY2025, a mathematical artifact where retained losses exceeded earnings, confirmed by our other equity declining to Rs. 20,475 Lakhs per our Annual Report FY2024-25. Our forecasts project equity retention stabilizing at 90% from FY2026F through FY2035F, reflecting our strategic intent to continue prioritizing debt servicing and working capital retention over dividend distribution as our industrial alcohol segment scales up.</t>
  </si>
  <si>
    <t>Reinvestment rate stood at 16% in FY2022, rising to 24% in FY2023 and peaking at 44% in FY2024 as we aggressively deployed capital into distillery infrastructure even through the revenue downturn, before collapsing to 7% in FY2025 as losses left minimal earnings available for reinvestment. Our forecasts project reinvestment rate turning negative at -8% in FY2026F before recovering and stabilizing between 6% and 8% through FY2035F, reflecting that as our distillery infrastructure matures and ethanol blending targets are achieved per IBEF Food Processing November 2025 data, incremental reinvestment needs will structurally diminish, transitioning our capital allocation story from aggressive expansion toward maintenance and optimization.</t>
  </si>
  <si>
    <t>The Accounts receivable turnover declined steadily from 22.7x in FY2021 to a low of 9.0x in FY2024, reflecting the period where slower OMC payment cycles for ethanol offtake and subdued sugar demand stretched our collection timelines as revenues simultaneously contracted. It recovered to 11.7x in FY2025 as industrial alcohol collections normalized, consistent with our Q3 FY2026 nine month revenues of Rs. 1,11,807 Lakhs demonstrating stronger offtake momentum from Oil Marketing Companies under India's structured ethanol blending program per IBEF Food Processing November 2025 data. Our forecasts project AR turnover stabilizing at 12.3x from FY2026F through FY2035F, reflecting mature and predictable collection cycles as ethanol blending commitments provide contractual payment regularity across our three operating segments.</t>
  </si>
  <si>
    <t>Inventory turnover swung dramatically from 1.3x in FY2021 to a peak of 3.9x in FY2023 during peak sugarcane output, before falling back to 1.9x in FY2024 and recovering to 2.2x in FY2025 as our distillery segment accelerated molasses conversion into industrial alcohol. This volatility is structurally embedded in our business model, our Q2 FY2026 balance sheet showing inventories collapsing from Rs. 52,631 Lakhs at FY2025 year end to just Rs. 15,128 Lakhs mid-year confirms how dramatically crushing seasonality swings our stock levels. Our forecasts project inventory turnover stabilizing at 1.8x from FY2026F through FY2035F, reflecting normalized seasonal inventory holding as sugarcane crushing volumes recover per ICRA's July 2025 projection of a 15% production rebound in SY2026.</t>
  </si>
  <si>
    <t>Accounts payable turnover fluctuated between 4.0x and 9.9x across FY2021 to FY2025, directly mirroring the rhythm of our state-mandated cane payment obligations to farmers under SAP timelines, where crushing season intensification rapidly accumulates payables before systematic discharge. The 9.9x in FY2025 is particularly notable, our Q3 FY2026 sugar segment liabilities jumping to Rs. 22,140 Lakhs from Rs. 7,704 Lakhs in Q2 FY2026 confirms that as the new crushing season commenced in November 2025 per our quarterly filing notes, cane payment obligations accumulated rapidly. Our forecasts project AP turnover stabilizing at 6.2x from FY2026F through FY2035F, reflecting normalized cane procurement payment cycles as sugarcane availability recovers across our Ugarkhurd and Jewargi units.</t>
  </si>
  <si>
    <t>ROIC stood at a modest 2.7% in FY2021, rising to 5.7% in FY2022 and peaking sharply at 18.1% in FY2023, the single year where capital deployed across sugar, co-generation, and our nascent distillery operations simultaneously generated exceptional returns during the peak sugarcane cycle. It collapsed to 2.8% in FY2024 and turned negative at -2.0% in FY2025 as operating losses consumed invested capital returns entirely, our significant PP&amp;E of Rs. 27,542 Lakhs per our Q2 FY2026 balance sheet continuing to expand our invested capital base even through the downturn. Our forecasts project ROIC recovering to 2.3% in FY2026F and gradually improving toward 3.4% by FY2035F, reflecting that as our distillery infrastructure matures and incremental capex requirements diminish, our thin but recovering net margins will progressively generate better returns against a more stable invested capital base.</t>
  </si>
  <si>
    <t>D&amp;A as a % of PP&amp;E has ranged from 7.8% to 11.1% historically. In the forecast period, I have assumed it to gradually increase by 2% in every 3 years, starting at 8.3% in FY2026F, stepping up to 14.3% by FY2035F. Assuming that the company continues to invest in capacity expansion- particularly in the distillery and ethanol segment- the asset base deepens, leading to progressively higher depreciation charges as a proportion of PP&amp;E over time.</t>
  </si>
  <si>
    <t>Other Income (Expense) is assumed to grow at the average growth rate of Historical years, Keeping them constant going forward.</t>
  </si>
  <si>
    <t>I have assumed COGS, Salaries &amp; Benefits, and Other SG&amp;A Expenses to grow at the historical average growth rate, derived from FY2021–FY2025 data, and kept constant throughout the forecast period. These cost heads are operationally linked to revenue volume and have exhibited stable historical trends, making the average growth rate the most reliable anchor for projection.</t>
  </si>
  <si>
    <t>I have normalized the interest rate to 9.4%, representing the most recently observed stable rate in FY2025, and held it constant throughout the forecast period. Interest expense in each forecast year is calculated as 9.4% applied to the opening debt balance from the Debt &amp; Interest Schedule. This approach reflects a stable borrowing cost assumption absent any guidance on refinancing or new debt issuances.</t>
  </si>
  <si>
    <t>I have averaged historical Capex over FY2021–FY2025 and assumed it grows at 0.5% per year through the forecast period. The adjusted Capex is allocated to PP&amp;E in proportion to the asset composition observed in FY2025 (the latest audited year). This reflects continued but measured capital investment in Ugar's distillery and ethanol expansion without assuming step-change capacity additions.</t>
  </si>
  <si>
    <t>PP&amp;E is forecasted using PP&amp;E Schedule, Opening PP&amp;E for each year is sourced from the closing balance of the prior year. Capex additions and depreciation charges are computed from the Depreciation Schedule in the Working Schedules tab.</t>
  </si>
  <si>
    <t>Bank Deposits, Other Current Assets, Goodwill, Financial Assets, Other Non-Current Assets, Other Current &amp; Non-Current Liabilities are held constant at their FY2025 audited levels throughout the forecast period As no company disclosures, management guidance, or industry data were available to support a directional assumption.</t>
  </si>
  <si>
    <t>Non-Controlling Interest is assumed to be zero throughout the forecast period. Ugar Sugar Works does not have a material NCI position based on the latest audited financial statements, and no disclosures indicate any anticipated change in ownership structure.</t>
  </si>
  <si>
    <t>The dividend payout ratio is assumed to grow at the historical average growth rate of 10.3% per year, consistent with the company's observed payout trajectory over FY2021–FY2025. Keeping it constant throughout the forecast period. Absolute dividend outflow is derived from PAT multiplied by the forecasted payout ratio in each year.</t>
  </si>
  <si>
    <t>Equity Share Capital is held constant at the FY2025 level of ₹1125 Lakhs throughout the forecast period. The company has not announced any plans for a rights issue, ESOP dilution, or buyback, and the face value remains unchanged.</t>
  </si>
  <si>
    <t>Cash and Cash Equivalents serve as the balancing figure in the Balance Sheet for each forecast year. The closing cash balance is derived from the Cash Flow Statement (Operating + Investing + Financing cash flows), ensuring internal consistency across all three financial statements.</t>
  </si>
  <si>
    <t>DSO, DIO, and DPO are computed using a 365-day convention and assumed to grow at their respective historical average growth rates derived from FY2021–FY2025 data. These ratios are then used to back-calculate Trade Receivables, Inventory, and Trade Payables as a function of Revenue and COGS respectively in each forecast year.</t>
  </si>
  <si>
    <t>Trade Receivables, Inventory, and Trade Payables are forecasted using the working capital turnover ratios (DSO, DIO, DPO) derived from historical averages. All three are grown at their historical average rates and are directly linked to the Revenue and COGS drivers in the Income Statement, maintaining operational consistency in working capital modeling.</t>
  </si>
  <si>
    <t>Cash Flow Statement</t>
  </si>
  <si>
    <t>Sale of PP&amp;E:  Set to zero throughout the forecast period. Ugar Sugar Works is in an active capex and capacity expansion phase. No asset disposals have been disclosed or are expected based on available information.</t>
  </si>
  <si>
    <t>Advance Given for Investment: Set it to zero throughout the forecast period. No guidance or disclosure supports forecasting any new investment advances; held flat to avoid speculative assumptions.</t>
  </si>
  <si>
    <t>Issuance/Redemption of Preference Shares (NCI): Has set it to zero throughout the forecast period. The company has no Non-Controlling Interest on its balance sheet, and no preference share activity has been disclosed.</t>
  </si>
  <si>
    <t>DCF Assumptions</t>
  </si>
  <si>
    <t>WACC: Derived it using CAPM method.</t>
  </si>
  <si>
    <t>EV/EBITDA Exit Multiple: Sourced from the median peer comparable EV/EBITDA multiple derived from the Comps Valuation sheet, representing the most market-consistent terminal value anchor.</t>
  </si>
  <si>
    <t>Net Proceeds from Sale of Investments: Assumed to be zero throughout the forecast period. No investment disposal activity has been disclosed by the company or is expected based on available information.</t>
  </si>
  <si>
    <t>Interest &amp; Dividend Received: I have assumed it to grow at the historical average growth rate of prior years, consistent with the treatment applied to Other Income line items.</t>
  </si>
  <si>
    <t>Risk free rate: Set to 6.96%, derived from long-run nominal GDP growth expectations for India. This is consistent with India's historical real GDP trajectory of ~6–7% adjusted for long-term inflation normalization.
Perpetual Growth Rate: Set at 4.0% to calculate Terminal value.</t>
  </si>
  <si>
    <t>Less: Non- Controlling Interest</t>
  </si>
  <si>
    <t>Plus: Cash &amp; Cash Equivalents (Including Fin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</si>
</sst>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3" formatCode="_ * #,##0.00_ ;_ * \-#,##0.00_ ;_ * &quot;-&quot;??_ ;_ @_ "/>
    <numFmt numFmtId="164" formatCode="#&quot;A&quot;"/>
    <numFmt numFmtId="165" formatCode="#&quot;F&quot;"/>
    <numFmt numFmtId="166" formatCode="#,##0.00;\(#,##0\);&quot;-&quot;"/>
    <numFmt numFmtId="167" formatCode="0.000"/>
    <numFmt numFmtId="168" formatCode="0.0%"/>
    <numFmt numFmtId="169" formatCode="#,##0.0&quot;x&quot;"/>
    <numFmt numFmtId="170" formatCode="#,##0;\(#,##0\);&quot;-&quot;"/>
    <numFmt numFmtId="171" formatCode="#,##0.00_);[Red]\(#,##0.00\)"/>
    <numFmt numFmtId="172" formatCode="#,##0.0;\(#,##0.0\);&quot;-&quot;"/>
    <numFmt numFmtId="173" formatCode="_ * #,##0.0&quot;x&quot;"/>
    <numFmt numFmtId="174" formatCode="0.0"/>
    <numFmt numFmtId="175" formatCode="#"/>
    <numFmt numFmtId="176" formatCode="#,##0.00;\(#,##0.00\);&quot;-&quot;"/>
    <numFmt numFmtId="177" formatCode=";;;"/>
    <numFmt numFmtId="178" formatCode="#,##0.0"/>
    <numFmt numFmtId="179" formatCode="##0&quot;A&quot;"/>
    <numFmt numFmtId="180" formatCode="0\F"/>
    <numFmt numFmtId="181" formatCode="#,##0.0\x"/>
    <numFmt numFmtId="182" formatCode="_ * #,##0_ ;_ * \-#,##0_ ;_ * &quot;-&quot;??_ ;_ @_ "/>
    <numFmt numFmtId="183" formatCode="0\A"/>
    <numFmt numFmtId="184" formatCode="0.00000000000000000000000"/>
  </numFmts>
  <fonts count="41" x14ac:knownFonts="1">
    <font>
      <sz val="11"/>
      <color theme="1"/>
      <name val="Book Antiqua"/>
      <family val="2"/>
    </font>
    <font>
      <sz val="11"/>
      <color theme="1"/>
      <name val="Book Antiqua"/>
      <family val="2"/>
    </font>
    <font>
      <b/>
      <sz val="11"/>
      <color theme="1"/>
      <name val="Book Antiqua"/>
      <family val="2"/>
    </font>
    <font>
      <sz val="25"/>
      <color theme="0"/>
      <name val="Book Antiqua"/>
      <family val="1"/>
    </font>
    <font>
      <sz val="11"/>
      <color theme="0"/>
      <name val="Book Antiqua"/>
      <family val="1"/>
    </font>
    <font>
      <sz val="11"/>
      <color theme="1"/>
      <name val="Book Antiqua"/>
      <family val="1"/>
    </font>
    <font>
      <b/>
      <sz val="11"/>
      <color theme="0"/>
      <name val="Book Antiqua"/>
      <family val="1"/>
    </font>
    <font>
      <sz val="12"/>
      <color theme="0"/>
      <name val="Book Antiqua"/>
      <family val="1"/>
    </font>
    <font>
      <sz val="12"/>
      <color theme="1"/>
      <name val="Book Antiqua"/>
      <family val="1"/>
    </font>
    <font>
      <b/>
      <sz val="12"/>
      <color theme="0"/>
      <name val="Book Antiqua"/>
      <family val="1"/>
    </font>
    <font>
      <b/>
      <sz val="11"/>
      <color theme="1"/>
      <name val="Book Antiqua"/>
      <family val="1"/>
    </font>
    <font>
      <b/>
      <sz val="11"/>
      <color theme="1"/>
      <name val="calibri"/>
      <family val="2"/>
    </font>
    <font>
      <b/>
      <sz val="9"/>
      <color indexed="81"/>
      <name val="Tahoma"/>
      <family val="2"/>
    </font>
    <font>
      <sz val="9"/>
      <color indexed="81"/>
      <name val="Tahoma"/>
      <family val="2"/>
    </font>
    <font>
      <b/>
      <sz val="16"/>
      <color theme="0"/>
      <name val="Book Antiqua"/>
      <family val="1"/>
    </font>
    <font>
      <sz val="16"/>
      <color theme="0"/>
      <name val="Book Antiqua"/>
      <family val="1"/>
    </font>
    <font>
      <i/>
      <sz val="11"/>
      <color theme="1"/>
      <name val="Book Antiqua"/>
      <family val="1"/>
    </font>
    <font>
      <b/>
      <i/>
      <sz val="11"/>
      <color theme="1"/>
      <name val="Book Antiqua"/>
      <family val="1"/>
    </font>
    <font>
      <sz val="11"/>
      <color rgb="FF00B050"/>
      <name val="Book Antiqua"/>
      <family val="2"/>
    </font>
    <font>
      <b/>
      <sz val="12"/>
      <color theme="1"/>
      <name val="Book Antiqua"/>
      <family val="1"/>
    </font>
    <font>
      <sz val="11"/>
      <color rgb="FF00B050"/>
      <name val="Book Antiqua"/>
      <family val="1"/>
    </font>
    <font>
      <sz val="11"/>
      <color rgb="FF00B0F0"/>
      <name val="Book Antiqua"/>
      <family val="1"/>
    </font>
    <font>
      <sz val="10"/>
      <color theme="0"/>
      <name val="Book Antiqua"/>
      <family val="1"/>
    </font>
    <font>
      <sz val="12"/>
      <color theme="0"/>
      <name val="Book Antiqua"/>
      <family val="2"/>
    </font>
    <font>
      <sz val="12"/>
      <color theme="0"/>
      <name val="calibri"/>
      <family val="2"/>
    </font>
    <font>
      <i/>
      <sz val="11"/>
      <color theme="1"/>
      <name val="Book Antiqua"/>
      <family val="2"/>
    </font>
    <font>
      <sz val="11"/>
      <color theme="0"/>
      <name val="Book Antiqua"/>
      <family val="2"/>
    </font>
    <font>
      <b/>
      <u/>
      <sz val="36"/>
      <color theme="0"/>
      <name val="Book Antiqua"/>
      <family val="1"/>
    </font>
    <font>
      <sz val="14"/>
      <color theme="0"/>
      <name val="Book Antiqua"/>
      <family val="1"/>
    </font>
    <font>
      <sz val="11"/>
      <color theme="1"/>
      <name val="Aptos Narrow"/>
      <family val="2"/>
      <scheme val="minor"/>
    </font>
    <font>
      <b/>
      <u/>
      <sz val="18"/>
      <color theme="0"/>
      <name val="Book Antiqua"/>
      <family val="1"/>
    </font>
    <font>
      <u/>
      <sz val="11"/>
      <color theme="10"/>
      <name val="Book Antiqua"/>
      <family val="2"/>
    </font>
    <font>
      <u/>
      <sz val="11"/>
      <color theme="0"/>
      <name val="Book Antiqua"/>
      <family val="2"/>
    </font>
    <font>
      <sz val="11"/>
      <color rgb="FF0070C0"/>
      <name val="Book Antiqua"/>
      <family val="1"/>
    </font>
    <font>
      <sz val="11"/>
      <color rgb="FF0070C0"/>
      <name val="Book Antiqua"/>
      <family val="2"/>
    </font>
    <font>
      <sz val="12"/>
      <color rgb="FF0070C0"/>
      <name val="Book Antiqua"/>
      <family val="1"/>
    </font>
    <font>
      <b/>
      <sz val="11"/>
      <color rgb="FF0070C0"/>
      <name val="Book Antiqua"/>
      <family val="1"/>
    </font>
    <font>
      <i/>
      <u/>
      <sz val="11"/>
      <color theme="10"/>
      <name val="Book Antiqua"/>
      <family val="1"/>
    </font>
    <font>
      <i/>
      <sz val="9"/>
      <color theme="0"/>
      <name val="Book Antiqua"/>
      <family val="1"/>
    </font>
    <font>
      <i/>
      <sz val="10"/>
      <color theme="0"/>
      <name val="Book Antiqua"/>
      <family val="1"/>
    </font>
    <font>
      <sz val="11"/>
      <color rgb="FF00B0F0"/>
      <name val="Book Antiqua"/>
      <family val="2"/>
    </font>
  </fonts>
  <fills count="7">
    <fill>
      <patternFill patternType="none"/>
    </fill>
    <fill>
      <patternFill patternType="gray125"/>
    </fill>
    <fill>
      <patternFill patternType="solid">
        <fgColor theme="3" tint="9.9978637043366805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002060"/>
        <bgColor indexed="64"/>
      </patternFill>
    </fill>
    <fill>
      <patternFill patternType="solid">
        <fgColor theme="0"/>
        <bgColor indexed="64"/>
      </patternFill>
    </fill>
  </fills>
  <borders count="13">
    <border>
      <left/>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4"/>
      </top>
      <bottom/>
      <diagonal/>
    </border>
    <border>
      <left/>
      <right/>
      <top/>
      <bottom style="double">
        <color indexed="64"/>
      </bottom>
      <diagonal/>
    </border>
    <border>
      <left/>
      <right/>
      <top style="thin">
        <color indexed="64"/>
      </top>
      <bottom style="double">
        <color indexed="64"/>
      </bottom>
      <diagonal/>
    </border>
    <border>
      <left style="dashed">
        <color auto="1"/>
      </left>
      <right style="dashed">
        <color auto="1"/>
      </right>
      <top style="dashed">
        <color auto="1"/>
      </top>
      <bottom style="dashed">
        <color auto="1"/>
      </bottom>
      <diagonal/>
    </border>
    <border>
      <left style="medium">
        <color indexed="64"/>
      </left>
      <right/>
      <top/>
      <bottom style="thin">
        <color indexed="64"/>
      </bottom>
      <diagonal/>
    </border>
    <border>
      <left/>
      <right/>
      <top/>
      <bottom style="medium">
        <color indexed="64"/>
      </bottom>
      <diagonal/>
    </border>
    <border>
      <left/>
      <right/>
      <top style="medium">
        <color indexed="64"/>
      </top>
      <bottom style="thin">
        <color indexed="64"/>
      </bottom>
      <diagonal/>
    </border>
    <border>
      <left/>
      <right style="thin">
        <color indexed="64"/>
      </right>
      <top/>
      <bottom/>
      <diagonal/>
    </border>
    <border>
      <left/>
      <right style="medium">
        <color indexed="64"/>
      </right>
      <top/>
      <bottom/>
      <diagonal/>
    </border>
    <border>
      <left/>
      <right style="medium">
        <color indexed="64"/>
      </right>
      <top/>
      <bottom style="thin">
        <color indexed="64"/>
      </bottom>
      <diagonal/>
    </border>
  </borders>
  <cellStyleXfs count="5">
    <xf numFmtId="0" fontId="0" fillId="0" borderId="0"/>
    <xf numFmtId="9" fontId="1"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0" fontId="31" fillId="0" borderId="0" applyNumberFormat="0" applyFill="0" applyBorder="0" applyAlignment="0" applyProtection="0"/>
  </cellStyleXfs>
  <cellXfs count="230">
    <xf numFmtId="0" fontId="0" fillId="0" borderId="0" xfId="0"/>
    <xf numFmtId="0" fontId="3" fillId="2" borderId="0" xfId="0" applyFont="1" applyFill="1"/>
    <xf numFmtId="0" fontId="4" fillId="2" borderId="0" xfId="0" applyFont="1" applyFill="1"/>
    <xf numFmtId="0" fontId="5" fillId="2" borderId="0" xfId="0" applyFont="1" applyFill="1"/>
    <xf numFmtId="0" fontId="7" fillId="2" borderId="0" xfId="0" applyFont="1" applyFill="1"/>
    <xf numFmtId="0" fontId="8" fillId="2" borderId="0" xfId="0" applyFont="1" applyFill="1"/>
    <xf numFmtId="164" fontId="9" fillId="2" borderId="0" xfId="0" applyNumberFormat="1" applyFont="1" applyFill="1"/>
    <xf numFmtId="165" fontId="9" fillId="2" borderId="0" xfId="0" applyNumberFormat="1" applyFont="1" applyFill="1"/>
    <xf numFmtId="0" fontId="10" fillId="0" borderId="1" xfId="0" applyFont="1" applyBorder="1"/>
    <xf numFmtId="0" fontId="5" fillId="0" borderId="0" xfId="0" applyFont="1"/>
    <xf numFmtId="0" fontId="10" fillId="0" borderId="0" xfId="0" applyFont="1"/>
    <xf numFmtId="4" fontId="5" fillId="0" borderId="0" xfId="0" applyNumberFormat="1" applyFont="1"/>
    <xf numFmtId="166" fontId="5" fillId="0" borderId="0" xfId="0" applyNumberFormat="1" applyFont="1"/>
    <xf numFmtId="4" fontId="10" fillId="0" borderId="0" xfId="0" applyNumberFormat="1" applyFont="1"/>
    <xf numFmtId="166" fontId="10" fillId="0" borderId="0" xfId="0" applyNumberFormat="1" applyFont="1"/>
    <xf numFmtId="4" fontId="11" fillId="0" borderId="0" xfId="0" applyNumberFormat="1" applyFont="1"/>
    <xf numFmtId="0" fontId="14" fillId="2" borderId="0" xfId="0" applyFont="1" applyFill="1"/>
    <xf numFmtId="0" fontId="10" fillId="2" borderId="0" xfId="0" applyFont="1" applyFill="1"/>
    <xf numFmtId="0" fontId="15" fillId="2" borderId="0" xfId="0" applyFont="1" applyFill="1"/>
    <xf numFmtId="0" fontId="2" fillId="0" borderId="0" xfId="0" applyFont="1"/>
    <xf numFmtId="0" fontId="10" fillId="0" borderId="3" xfId="0" applyFont="1" applyBorder="1"/>
    <xf numFmtId="0" fontId="10" fillId="0" borderId="4" xfId="0" applyFont="1" applyBorder="1"/>
    <xf numFmtId="0" fontId="10" fillId="0" borderId="5" xfId="0" applyFont="1" applyBorder="1"/>
    <xf numFmtId="0" fontId="16" fillId="0" borderId="0" xfId="0" applyFont="1"/>
    <xf numFmtId="167" fontId="16" fillId="0" borderId="0" xfId="0" applyNumberFormat="1" applyFont="1"/>
    <xf numFmtId="168" fontId="5" fillId="0" borderId="0" xfId="1" applyNumberFormat="1" applyFont="1"/>
    <xf numFmtId="168" fontId="0" fillId="0" borderId="0" xfId="1" applyNumberFormat="1" applyFont="1"/>
    <xf numFmtId="1" fontId="0" fillId="0" borderId="0" xfId="0" applyNumberFormat="1"/>
    <xf numFmtId="169" fontId="0" fillId="0" borderId="0" xfId="0" applyNumberFormat="1"/>
    <xf numFmtId="0" fontId="8" fillId="0" borderId="0" xfId="0" applyFont="1"/>
    <xf numFmtId="0" fontId="19" fillId="0" borderId="0" xfId="0" applyFont="1"/>
    <xf numFmtId="168" fontId="8" fillId="0" borderId="6" xfId="1" applyNumberFormat="1" applyFont="1" applyBorder="1"/>
    <xf numFmtId="168" fontId="8" fillId="0" borderId="0" xfId="0" applyNumberFormat="1" applyFont="1"/>
    <xf numFmtId="168" fontId="8" fillId="0" borderId="0" xfId="1" applyNumberFormat="1" applyFont="1"/>
    <xf numFmtId="9" fontId="0" fillId="0" borderId="0" xfId="0" applyNumberFormat="1"/>
    <xf numFmtId="9" fontId="10" fillId="0" borderId="0" xfId="1" applyFont="1"/>
    <xf numFmtId="0" fontId="11" fillId="3" borderId="2" xfId="0" applyFont="1" applyFill="1" applyBorder="1"/>
    <xf numFmtId="0" fontId="10" fillId="0" borderId="7" xfId="0" applyFont="1" applyBorder="1"/>
    <xf numFmtId="166" fontId="10" fillId="0" borderId="1" xfId="0" applyNumberFormat="1" applyFont="1" applyBorder="1"/>
    <xf numFmtId="4" fontId="10" fillId="0" borderId="1" xfId="0" applyNumberFormat="1" applyFont="1" applyBorder="1"/>
    <xf numFmtId="0" fontId="0" fillId="0" borderId="1" xfId="0" applyBorder="1"/>
    <xf numFmtId="170" fontId="0" fillId="0" borderId="0" xfId="0" applyNumberFormat="1"/>
    <xf numFmtId="170" fontId="10" fillId="0" borderId="3" xfId="0" applyNumberFormat="1" applyFont="1" applyBorder="1"/>
    <xf numFmtId="170" fontId="5" fillId="0" borderId="0" xfId="0" applyNumberFormat="1" applyFont="1"/>
    <xf numFmtId="170" fontId="10" fillId="0" borderId="5" xfId="0" applyNumberFormat="1" applyFont="1" applyBorder="1"/>
    <xf numFmtId="170" fontId="18" fillId="0" borderId="0" xfId="0" applyNumberFormat="1" applyFont="1"/>
    <xf numFmtId="170" fontId="16" fillId="0" borderId="0" xfId="0" applyNumberFormat="1" applyFont="1"/>
    <xf numFmtId="170" fontId="20" fillId="0" borderId="0" xfId="0" applyNumberFormat="1" applyFont="1"/>
    <xf numFmtId="0" fontId="10" fillId="0" borderId="0" xfId="0" applyFont="1" applyAlignment="1">
      <alignment horizontal="right"/>
    </xf>
    <xf numFmtId="0" fontId="22" fillId="2" borderId="0" xfId="0" applyFont="1" applyFill="1" applyAlignment="1">
      <alignment wrapText="1"/>
    </xf>
    <xf numFmtId="0" fontId="7" fillId="2" borderId="0" xfId="0" applyFont="1" applyFill="1" applyAlignment="1">
      <alignment wrapText="1"/>
    </xf>
    <xf numFmtId="0" fontId="7" fillId="2" borderId="0" xfId="0" applyFont="1" applyFill="1" applyAlignment="1">
      <alignment vertical="center" wrapText="1"/>
    </xf>
    <xf numFmtId="0" fontId="23" fillId="2" borderId="0" xfId="0" applyFont="1" applyFill="1" applyAlignment="1">
      <alignment wrapText="1"/>
    </xf>
    <xf numFmtId="0" fontId="24" fillId="2" borderId="0" xfId="0" applyFont="1" applyFill="1" applyAlignment="1">
      <alignment wrapText="1"/>
    </xf>
    <xf numFmtId="0" fontId="11" fillId="0" borderId="0" xfId="0" applyFont="1"/>
    <xf numFmtId="171" fontId="0" fillId="0" borderId="0" xfId="0" applyNumberFormat="1"/>
    <xf numFmtId="10" fontId="0" fillId="0" borderId="0" xfId="0" applyNumberFormat="1"/>
    <xf numFmtId="0" fontId="9" fillId="2" borderId="0" xfId="0" applyFont="1" applyFill="1"/>
    <xf numFmtId="0" fontId="4" fillId="2" borderId="0" xfId="0" applyFont="1" applyFill="1" applyAlignment="1">
      <alignment wrapText="1"/>
    </xf>
    <xf numFmtId="172" fontId="5" fillId="0" borderId="0" xfId="0" applyNumberFormat="1" applyFont="1"/>
    <xf numFmtId="173" fontId="5" fillId="0" borderId="0" xfId="2" applyNumberFormat="1" applyFont="1"/>
    <xf numFmtId="4" fontId="4" fillId="2" borderId="0" xfId="0" applyNumberFormat="1" applyFont="1" applyFill="1"/>
    <xf numFmtId="172" fontId="4" fillId="2" borderId="0" xfId="0" applyNumberFormat="1" applyFont="1" applyFill="1"/>
    <xf numFmtId="10" fontId="4" fillId="2" borderId="0" xfId="0" applyNumberFormat="1" applyFont="1" applyFill="1"/>
    <xf numFmtId="173" fontId="4" fillId="2" borderId="0" xfId="2" applyNumberFormat="1" applyFont="1" applyFill="1"/>
    <xf numFmtId="0" fontId="4" fillId="0" borderId="0" xfId="0" applyFont="1"/>
    <xf numFmtId="173" fontId="0" fillId="0" borderId="0" xfId="0" applyNumberFormat="1"/>
    <xf numFmtId="2" fontId="0" fillId="0" borderId="0" xfId="0" applyNumberFormat="1"/>
    <xf numFmtId="174" fontId="0" fillId="0" borderId="0" xfId="0" applyNumberFormat="1"/>
    <xf numFmtId="166" fontId="4" fillId="2" borderId="0" xfId="0" applyNumberFormat="1" applyFont="1" applyFill="1"/>
    <xf numFmtId="9" fontId="5" fillId="0" borderId="0" xfId="1" applyFont="1"/>
    <xf numFmtId="0" fontId="5" fillId="0" borderId="1" xfId="0" applyFont="1" applyBorder="1"/>
    <xf numFmtId="0" fontId="10" fillId="0" borderId="0" xfId="0" applyFont="1" applyAlignment="1">
      <alignment horizontal="center" wrapText="1"/>
    </xf>
    <xf numFmtId="9" fontId="5" fillId="0" borderId="1" xfId="1" applyFont="1" applyBorder="1"/>
    <xf numFmtId="9" fontId="4" fillId="2" borderId="0" xfId="0" applyNumberFormat="1" applyFont="1" applyFill="1"/>
    <xf numFmtId="0" fontId="19" fillId="2" borderId="0" xfId="0" applyFont="1" applyFill="1"/>
    <xf numFmtId="0" fontId="10" fillId="3" borderId="0" xfId="0" applyFont="1" applyFill="1"/>
    <xf numFmtId="166" fontId="0" fillId="0" borderId="0" xfId="0" applyNumberFormat="1"/>
    <xf numFmtId="10" fontId="18" fillId="0" borderId="0" xfId="0" applyNumberFormat="1" applyFont="1"/>
    <xf numFmtId="10" fontId="10" fillId="0" borderId="3" xfId="0" applyNumberFormat="1" applyFont="1" applyBorder="1"/>
    <xf numFmtId="10" fontId="18" fillId="0" borderId="0" xfId="1" applyNumberFormat="1" applyFont="1"/>
    <xf numFmtId="2" fontId="4" fillId="2" borderId="0" xfId="0" applyNumberFormat="1" applyFont="1" applyFill="1"/>
    <xf numFmtId="10" fontId="10" fillId="3" borderId="0" xfId="0" applyNumberFormat="1" applyFont="1" applyFill="1"/>
    <xf numFmtId="0" fontId="9" fillId="2" borderId="0" xfId="0" applyFont="1" applyFill="1" applyAlignment="1">
      <alignment horizontal="center" wrapText="1"/>
    </xf>
    <xf numFmtId="168" fontId="10" fillId="0" borderId="0" xfId="1" applyNumberFormat="1" applyFont="1"/>
    <xf numFmtId="173" fontId="20" fillId="0" borderId="0" xfId="2" applyNumberFormat="1" applyFont="1"/>
    <xf numFmtId="10" fontId="20" fillId="0" borderId="0" xfId="0" applyNumberFormat="1" applyFont="1"/>
    <xf numFmtId="1" fontId="18" fillId="0" borderId="0" xfId="0" applyNumberFormat="1" applyFont="1"/>
    <xf numFmtId="0" fontId="18" fillId="0" borderId="0" xfId="0" applyFont="1"/>
    <xf numFmtId="175" fontId="10" fillId="0" borderId="1" xfId="0" applyNumberFormat="1" applyFont="1" applyBorder="1"/>
    <xf numFmtId="14" fontId="16" fillId="0" borderId="0" xfId="0" applyNumberFormat="1" applyFont="1"/>
    <xf numFmtId="170" fontId="5" fillId="0" borderId="1" xfId="0" applyNumberFormat="1" applyFont="1" applyBorder="1"/>
    <xf numFmtId="170" fontId="10" fillId="0" borderId="0" xfId="0" applyNumberFormat="1" applyFont="1"/>
    <xf numFmtId="170" fontId="10" fillId="0" borderId="1" xfId="0" applyNumberFormat="1" applyFont="1" applyBorder="1"/>
    <xf numFmtId="43" fontId="10" fillId="0" borderId="3" xfId="0" applyNumberFormat="1" applyFont="1" applyBorder="1"/>
    <xf numFmtId="43" fontId="5" fillId="0" borderId="0" xfId="0" applyNumberFormat="1" applyFont="1"/>
    <xf numFmtId="170" fontId="0" fillId="0" borderId="1" xfId="0" applyNumberFormat="1" applyBorder="1"/>
    <xf numFmtId="176" fontId="10" fillId="4" borderId="0" xfId="0" applyNumberFormat="1" applyFont="1" applyFill="1"/>
    <xf numFmtId="0" fontId="0" fillId="0" borderId="3" xfId="0" applyBorder="1"/>
    <xf numFmtId="0" fontId="10" fillId="4" borderId="0" xfId="0" applyFont="1" applyFill="1"/>
    <xf numFmtId="176" fontId="0" fillId="0" borderId="0" xfId="0" applyNumberFormat="1"/>
    <xf numFmtId="168" fontId="10" fillId="0" borderId="3" xfId="1" applyNumberFormat="1" applyFont="1" applyBorder="1"/>
    <xf numFmtId="0" fontId="17" fillId="0" borderId="0" xfId="0" applyFont="1"/>
    <xf numFmtId="177" fontId="5" fillId="0" borderId="10" xfId="0" applyNumberFormat="1" applyFont="1" applyBorder="1"/>
    <xf numFmtId="169" fontId="10" fillId="0" borderId="0" xfId="0" applyNumberFormat="1" applyFont="1"/>
    <xf numFmtId="168" fontId="10" fillId="0" borderId="10" xfId="1" applyNumberFormat="1" applyFont="1" applyBorder="1"/>
    <xf numFmtId="177" fontId="10" fillId="0" borderId="10" xfId="0" applyNumberFormat="1" applyFont="1" applyBorder="1"/>
    <xf numFmtId="9" fontId="10" fillId="0" borderId="0" xfId="0" applyNumberFormat="1" applyFont="1"/>
    <xf numFmtId="0" fontId="19" fillId="0" borderId="0" xfId="0" applyFont="1" applyAlignment="1">
      <alignment wrapText="1"/>
    </xf>
    <xf numFmtId="172" fontId="0" fillId="0" borderId="0" xfId="0" applyNumberFormat="1"/>
    <xf numFmtId="4" fontId="5" fillId="2" borderId="0" xfId="0" applyNumberFormat="1" applyFont="1" applyFill="1"/>
    <xf numFmtId="166" fontId="5" fillId="2" borderId="0" xfId="0" applyNumberFormat="1" applyFont="1" applyFill="1"/>
    <xf numFmtId="166" fontId="10" fillId="2" borderId="0" xfId="0" applyNumberFormat="1" applyFont="1" applyFill="1"/>
    <xf numFmtId="0" fontId="0" fillId="2" borderId="0" xfId="0" applyFill="1"/>
    <xf numFmtId="0" fontId="26" fillId="2" borderId="0" xfId="0" applyFont="1" applyFill="1"/>
    <xf numFmtId="0" fontId="32" fillId="2" borderId="0" xfId="4" applyFont="1" applyFill="1"/>
    <xf numFmtId="170" fontId="21" fillId="0" borderId="0" xfId="0" applyNumberFormat="1" applyFont="1"/>
    <xf numFmtId="0" fontId="6" fillId="2" borderId="0" xfId="0" applyFont="1" applyFill="1"/>
    <xf numFmtId="0" fontId="0" fillId="0" borderId="0" xfId="0" applyAlignment="1">
      <alignment wrapText="1"/>
    </xf>
    <xf numFmtId="166" fontId="33" fillId="0" borderId="0" xfId="0" applyNumberFormat="1" applyFont="1"/>
    <xf numFmtId="4" fontId="33" fillId="0" borderId="0" xfId="0" applyNumberFormat="1" applyFont="1"/>
    <xf numFmtId="0" fontId="33" fillId="0" borderId="0" xfId="0" applyFont="1"/>
    <xf numFmtId="166" fontId="10" fillId="0" borderId="3" xfId="0" applyNumberFormat="1" applyFont="1" applyBorder="1"/>
    <xf numFmtId="0" fontId="34" fillId="0" borderId="0" xfId="0" applyFont="1"/>
    <xf numFmtId="170" fontId="33" fillId="0" borderId="0" xfId="0" applyNumberFormat="1" applyFont="1"/>
    <xf numFmtId="170" fontId="34" fillId="0" borderId="0" xfId="0" applyNumberFormat="1" applyFont="1"/>
    <xf numFmtId="14" fontId="34" fillId="0" borderId="0" xfId="0" applyNumberFormat="1" applyFont="1"/>
    <xf numFmtId="168" fontId="35" fillId="0" borderId="6" xfId="1" applyNumberFormat="1" applyFont="1" applyBorder="1"/>
    <xf numFmtId="10" fontId="33" fillId="0" borderId="0" xfId="0" applyNumberFormat="1" applyFont="1"/>
    <xf numFmtId="4" fontId="34" fillId="0" borderId="0" xfId="0" applyNumberFormat="1" applyFont="1"/>
    <xf numFmtId="2" fontId="5" fillId="0" borderId="0" xfId="0" applyNumberFormat="1" applyFont="1"/>
    <xf numFmtId="172" fontId="34" fillId="0" borderId="0" xfId="0" applyNumberFormat="1" applyFont="1"/>
    <xf numFmtId="171" fontId="34" fillId="0" borderId="0" xfId="0" applyNumberFormat="1" applyFont="1"/>
    <xf numFmtId="10" fontId="34" fillId="0" borderId="0" xfId="0" applyNumberFormat="1" applyFont="1"/>
    <xf numFmtId="172" fontId="4" fillId="0" borderId="0" xfId="0" applyNumberFormat="1" applyFont="1"/>
    <xf numFmtId="164" fontId="9" fillId="0" borderId="0" xfId="0" applyNumberFormat="1" applyFont="1"/>
    <xf numFmtId="165" fontId="9" fillId="0" borderId="0" xfId="0" applyNumberFormat="1" applyFont="1"/>
    <xf numFmtId="0" fontId="9" fillId="0" borderId="0" xfId="0" applyFont="1"/>
    <xf numFmtId="0" fontId="6" fillId="0" borderId="0" xfId="0" applyFont="1" applyAlignment="1">
      <alignment horizontal="center"/>
    </xf>
    <xf numFmtId="0" fontId="0" fillId="0" borderId="11" xfId="0" applyBorder="1"/>
    <xf numFmtId="175" fontId="10" fillId="0" borderId="12" xfId="0" applyNumberFormat="1" applyFont="1" applyBorder="1"/>
    <xf numFmtId="170" fontId="0" fillId="0" borderId="11" xfId="0" applyNumberFormat="1" applyBorder="1"/>
    <xf numFmtId="170" fontId="0" fillId="0" borderId="12" xfId="0" applyNumberFormat="1" applyBorder="1"/>
    <xf numFmtId="170" fontId="10" fillId="0" borderId="11" xfId="0" applyNumberFormat="1" applyFont="1" applyBorder="1"/>
    <xf numFmtId="0" fontId="16" fillId="3" borderId="0" xfId="0" applyFont="1" applyFill="1"/>
    <xf numFmtId="0" fontId="16" fillId="3" borderId="11" xfId="0" applyFont="1" applyFill="1" applyBorder="1"/>
    <xf numFmtId="0" fontId="0" fillId="3" borderId="0" xfId="0" applyFill="1"/>
    <xf numFmtId="0" fontId="0" fillId="3" borderId="11" xfId="0" applyFill="1" applyBorder="1"/>
    <xf numFmtId="0" fontId="6" fillId="2" borderId="0" xfId="0" applyFont="1" applyFill="1" applyAlignment="1">
      <alignment horizontal="center" vertical="center"/>
    </xf>
    <xf numFmtId="11" fontId="16" fillId="0" borderId="0" xfId="0" applyNumberFormat="1" applyFont="1"/>
    <xf numFmtId="9" fontId="0" fillId="0" borderId="0" xfId="1" applyFont="1"/>
    <xf numFmtId="178" fontId="0" fillId="0" borderId="0" xfId="0" applyNumberFormat="1"/>
    <xf numFmtId="168" fontId="0" fillId="0" borderId="0" xfId="1" applyNumberFormat="1" applyFont="1" applyFill="1"/>
    <xf numFmtId="0" fontId="0" fillId="0" borderId="0" xfId="0" applyAlignment="1">
      <alignment horizontal="center"/>
    </xf>
    <xf numFmtId="168" fontId="10" fillId="0" borderId="0" xfId="1" applyNumberFormat="1" applyFont="1" applyAlignment="1">
      <alignment horizontal="center"/>
    </xf>
    <xf numFmtId="9" fontId="0" fillId="0" borderId="0" xfId="0" applyNumberFormat="1" applyAlignment="1">
      <alignment horizontal="center"/>
    </xf>
    <xf numFmtId="0" fontId="0" fillId="0" borderId="0" xfId="0" applyAlignment="1">
      <alignment horizontal="left"/>
      <extLst>
        <ext xmlns:xfpb="http://schemas.microsoft.com/office/spreadsheetml/2022/featurepropertybag" uri="{C7286773-470A-42A8-94C5-96B5CB345126}">
          <xfpb:xfComplement i="0"/>
        </ext>
      </extLst>
    </xf>
    <xf numFmtId="0" fontId="10" fillId="0" borderId="0" xfId="0" applyFont="1" applyAlignment="1">
      <alignment horizontal="center"/>
    </xf>
    <xf numFmtId="0" fontId="10" fillId="0" borderId="3" xfId="0" applyFont="1" applyBorder="1" applyAlignment="1">
      <alignment horizontal="left"/>
      <extLst>
        <ext xmlns:xfpb="http://schemas.microsoft.com/office/spreadsheetml/2022/featurepropertybag" uri="{C7286773-470A-42A8-94C5-96B5CB345126}">
          <xfpb:xfComplement i="0"/>
        </ext>
      </extLst>
    </xf>
    <xf numFmtId="168" fontId="10" fillId="0" borderId="3" xfId="1" applyNumberFormat="1" applyFont="1" applyBorder="1" applyAlignment="1">
      <alignment horizontal="center"/>
    </xf>
    <xf numFmtId="10" fontId="10" fillId="3" borderId="3" xfId="0" applyNumberFormat="1" applyFont="1" applyFill="1" applyBorder="1" applyAlignment="1">
      <alignment horizontal="center"/>
    </xf>
    <xf numFmtId="4" fontId="0" fillId="0" borderId="0" xfId="0" applyNumberFormat="1" applyAlignment="1">
      <alignment horizontal="center"/>
    </xf>
    <xf numFmtId="4" fontId="5" fillId="0" borderId="0" xfId="0" applyNumberFormat="1" applyFont="1" applyAlignment="1">
      <alignment horizontal="center"/>
    </xf>
    <xf numFmtId="4" fontId="10" fillId="0" borderId="3" xfId="0" applyNumberFormat="1" applyFont="1" applyBorder="1" applyAlignment="1">
      <alignment horizontal="center"/>
    </xf>
    <xf numFmtId="0" fontId="10" fillId="0" borderId="0" xfId="0" applyFont="1" applyAlignment="1">
      <alignment horizontal="left"/>
      <extLst>
        <ext xmlns:xfpb="http://schemas.microsoft.com/office/spreadsheetml/2022/featurepropertybag" uri="{C7286773-470A-42A8-94C5-96B5CB345126}">
          <xfpb:xfComplement i="0"/>
        </ext>
      </extLst>
    </xf>
    <xf numFmtId="0" fontId="10" fillId="0" borderId="0" xfId="0" applyFont="1" applyAlignment="1">
      <alignment horizontal="left"/>
    </xf>
    <xf numFmtId="9" fontId="10" fillId="0" borderId="0" xfId="1" applyFont="1" applyAlignment="1">
      <alignment horizontal="center"/>
    </xf>
    <xf numFmtId="9" fontId="10" fillId="3" borderId="0" xfId="0" applyNumberFormat="1" applyFont="1" applyFill="1" applyAlignment="1">
      <alignment horizontal="center"/>
    </xf>
    <xf numFmtId="4" fontId="36" fillId="0" borderId="0" xfId="0" applyNumberFormat="1" applyFont="1"/>
    <xf numFmtId="172" fontId="20" fillId="0" borderId="0" xfId="0" applyNumberFormat="1" applyFont="1"/>
    <xf numFmtId="176" fontId="20" fillId="0" borderId="0" xfId="0" applyNumberFormat="1" applyFont="1"/>
    <xf numFmtId="166" fontId="20" fillId="0" borderId="0" xfId="0" applyNumberFormat="1" applyFont="1"/>
    <xf numFmtId="166" fontId="20" fillId="0" borderId="1" xfId="0" applyNumberFormat="1" applyFont="1" applyBorder="1"/>
    <xf numFmtId="168" fontId="20" fillId="0" borderId="0" xfId="1" applyNumberFormat="1" applyFont="1"/>
    <xf numFmtId="168" fontId="20" fillId="0" borderId="0" xfId="1" applyNumberFormat="1" applyFont="1" applyBorder="1"/>
    <xf numFmtId="178" fontId="5" fillId="0" borderId="0" xfId="0" applyNumberFormat="1" applyFont="1"/>
    <xf numFmtId="0" fontId="6" fillId="2" borderId="1" xfId="0" applyFont="1" applyFill="1" applyBorder="1" applyAlignment="1">
      <alignment horizontal="center" wrapText="1"/>
    </xf>
    <xf numFmtId="4" fontId="6" fillId="2" borderId="1" xfId="0" applyNumberFormat="1" applyFont="1" applyFill="1" applyBorder="1" applyAlignment="1">
      <alignment horizontal="center" wrapText="1"/>
    </xf>
    <xf numFmtId="166" fontId="6" fillId="2" borderId="1" xfId="0" applyNumberFormat="1" applyFont="1" applyFill="1" applyBorder="1" applyAlignment="1">
      <alignment horizontal="center" wrapText="1"/>
    </xf>
    <xf numFmtId="0" fontId="37" fillId="0" borderId="0" xfId="4" applyFont="1"/>
    <xf numFmtId="179" fontId="6" fillId="2" borderId="0" xfId="0" applyNumberFormat="1" applyFont="1" applyFill="1"/>
    <xf numFmtId="180" fontId="6" fillId="2" borderId="0" xfId="0" applyNumberFormat="1" applyFont="1" applyFill="1"/>
    <xf numFmtId="181" fontId="0" fillId="0" borderId="0" xfId="0" applyNumberFormat="1"/>
    <xf numFmtId="0" fontId="6" fillId="2" borderId="0" xfId="0" applyFont="1" applyFill="1" applyAlignment="1">
      <alignment vertical="center"/>
    </xf>
    <xf numFmtId="164" fontId="6" fillId="2" borderId="0" xfId="0" applyNumberFormat="1" applyFont="1" applyFill="1"/>
    <xf numFmtId="165" fontId="6" fillId="2" borderId="0" xfId="0" applyNumberFormat="1" applyFont="1" applyFill="1"/>
    <xf numFmtId="182" fontId="18" fillId="0" borderId="0" xfId="2" applyNumberFormat="1" applyFont="1"/>
    <xf numFmtId="0" fontId="40" fillId="0" borderId="0" xfId="0" applyFont="1"/>
    <xf numFmtId="43" fontId="18" fillId="0" borderId="0" xfId="2" applyFont="1"/>
    <xf numFmtId="0" fontId="10" fillId="3" borderId="1" xfId="0" applyFont="1" applyFill="1" applyBorder="1" applyAlignment="1">
      <alignment horizontal="center"/>
    </xf>
    <xf numFmtId="0" fontId="10" fillId="3" borderId="0" xfId="0" applyFont="1" applyFill="1" applyAlignment="1">
      <alignment horizontal="center" wrapText="1"/>
    </xf>
    <xf numFmtId="182" fontId="10" fillId="0" borderId="0" xfId="0" applyNumberFormat="1" applyFont="1"/>
    <xf numFmtId="182" fontId="0" fillId="0" borderId="0" xfId="0" applyNumberFormat="1"/>
    <xf numFmtId="10" fontId="10" fillId="3" borderId="0" xfId="1" applyNumberFormat="1" applyFont="1" applyFill="1"/>
    <xf numFmtId="10" fontId="34" fillId="0" borderId="0" xfId="1" applyNumberFormat="1" applyFont="1"/>
    <xf numFmtId="172" fontId="18" fillId="0" borderId="0" xfId="0" applyNumberFormat="1" applyFont="1"/>
    <xf numFmtId="1" fontId="0" fillId="3" borderId="0" xfId="0" applyNumberFormat="1" applyFill="1"/>
    <xf numFmtId="2" fontId="0" fillId="4" borderId="0" xfId="0" applyNumberFormat="1" applyFill="1"/>
    <xf numFmtId="0" fontId="0" fillId="0" borderId="0" xfId="0" applyAlignment="1">
      <alignment vertical="center"/>
    </xf>
    <xf numFmtId="0" fontId="0" fillId="0" borderId="8" xfId="0" applyBorder="1"/>
    <xf numFmtId="0" fontId="25" fillId="0" borderId="9" xfId="0" applyFont="1" applyBorder="1" applyAlignment="1">
      <alignment horizontal="center"/>
    </xf>
    <xf numFmtId="0" fontId="25" fillId="0" borderId="9" xfId="0" applyFont="1" applyBorder="1" applyAlignment="1">
      <alignment horizontal="centerContinuous"/>
    </xf>
    <xf numFmtId="0" fontId="0" fillId="3" borderId="8" xfId="0" applyFill="1" applyBorder="1"/>
    <xf numFmtId="183" fontId="6" fillId="2" borderId="0" xfId="0" applyNumberFormat="1" applyFont="1" applyFill="1"/>
    <xf numFmtId="184" fontId="16" fillId="0" borderId="0" xfId="0" applyNumberFormat="1" applyFont="1"/>
    <xf numFmtId="0" fontId="6" fillId="2" borderId="0" xfId="0" applyFont="1" applyFill="1" applyAlignment="1">
      <alignment horizontal="center" vertical="center"/>
    </xf>
    <xf numFmtId="0" fontId="5" fillId="0" borderId="0" xfId="0" applyFont="1" applyAlignment="1">
      <alignment horizontal="left" wrapText="1"/>
    </xf>
    <xf numFmtId="0" fontId="10" fillId="0" borderId="0" xfId="0" applyFont="1" applyAlignment="1">
      <alignment horizontal="center"/>
    </xf>
    <xf numFmtId="0" fontId="5" fillId="0" borderId="0" xfId="0" applyFont="1" applyAlignment="1">
      <alignment horizontal="left"/>
    </xf>
    <xf numFmtId="0" fontId="0" fillId="0" borderId="0" xfId="0" applyAlignment="1">
      <alignment horizontal="left" wrapText="1"/>
    </xf>
    <xf numFmtId="0" fontId="0" fillId="0" borderId="0" xfId="0" applyAlignment="1">
      <alignment horizontal="left" vertical="center"/>
    </xf>
    <xf numFmtId="0" fontId="0" fillId="3" borderId="0" xfId="0" applyFill="1" applyAlignment="1">
      <alignment horizontal="center"/>
    </xf>
    <xf numFmtId="0" fontId="6" fillId="2" borderId="0" xfId="0" applyFont="1" applyFill="1" applyAlignment="1">
      <alignment horizontal="center"/>
    </xf>
    <xf numFmtId="0" fontId="0" fillId="0" borderId="0" xfId="0" applyAlignment="1">
      <alignment horizontal="left"/>
    </xf>
    <xf numFmtId="0" fontId="27" fillId="2" borderId="0" xfId="0" applyFont="1" applyFill="1" applyAlignment="1">
      <alignment horizontal="center"/>
    </xf>
    <xf numFmtId="0" fontId="28" fillId="2" borderId="0" xfId="0" applyFont="1" applyFill="1" applyAlignment="1">
      <alignment horizontal="center"/>
    </xf>
    <xf numFmtId="0" fontId="5" fillId="2" borderId="0" xfId="0" applyFont="1" applyFill="1" applyAlignment="1">
      <alignment horizontal="center"/>
    </xf>
    <xf numFmtId="0" fontId="30" fillId="2" borderId="0" xfId="0" applyFont="1" applyFill="1" applyAlignment="1">
      <alignment horizontal="center"/>
    </xf>
    <xf numFmtId="0" fontId="5" fillId="6" borderId="0" xfId="0" applyFont="1" applyFill="1" applyAlignment="1">
      <alignment horizontal="left" vertical="top" wrapText="1"/>
    </xf>
    <xf numFmtId="0" fontId="10" fillId="3" borderId="0" xfId="0" applyFont="1" applyFill="1" applyAlignment="1">
      <alignment horizontal="center"/>
    </xf>
    <xf numFmtId="0" fontId="6" fillId="2" borderId="0" xfId="0" applyFont="1" applyFill="1" applyAlignment="1">
      <alignment horizontal="left"/>
    </xf>
    <xf numFmtId="170" fontId="10" fillId="0" borderId="0" xfId="0" applyNumberFormat="1" applyFont="1" applyAlignment="1">
      <alignment horizontal="center" vertical="center" wrapText="1"/>
    </xf>
    <xf numFmtId="170" fontId="6" fillId="5" borderId="0" xfId="0" applyNumberFormat="1" applyFont="1" applyFill="1" applyAlignment="1">
      <alignment horizontal="center"/>
    </xf>
    <xf numFmtId="170" fontId="10" fillId="0" borderId="1" xfId="0" applyNumberFormat="1" applyFont="1" applyBorder="1" applyAlignment="1">
      <alignment horizontal="center"/>
    </xf>
    <xf numFmtId="0" fontId="10" fillId="4" borderId="0" xfId="0" applyFont="1" applyFill="1" applyAlignment="1">
      <alignment horizontal="center"/>
    </xf>
    <xf numFmtId="0" fontId="10" fillId="4" borderId="11" xfId="0" applyFont="1" applyFill="1" applyBorder="1" applyAlignment="1">
      <alignment horizontal="center"/>
    </xf>
    <xf numFmtId="0" fontId="9" fillId="2" borderId="0" xfId="0" applyFont="1" applyFill="1" applyAlignment="1">
      <alignment horizontal="left"/>
    </xf>
    <xf numFmtId="0" fontId="0" fillId="0" borderId="0" xfId="0" applyAlignment="1">
      <alignment horizontal="center"/>
    </xf>
    <xf numFmtId="0" fontId="7" fillId="2" borderId="0" xfId="0" applyFont="1" applyFill="1" applyAlignment="1">
      <alignment horizontal="center"/>
    </xf>
    <xf numFmtId="0" fontId="7" fillId="2" borderId="0" xfId="0" applyFont="1" applyFill="1" applyAlignment="1">
      <alignment horizontal="center" wrapText="1"/>
    </xf>
  </cellXfs>
  <cellStyles count="5">
    <cellStyle name="Comma" xfId="2" builtinId="3"/>
    <cellStyle name="Comma 2" xfId="3" xr:uid="{609A9E5B-E9CA-49B1-BFE0-5FF943B751FA}"/>
    <cellStyle name="Hyperlink" xfId="4" builtinId="8"/>
    <cellStyle name="Normal" xfId="0" builtinId="0"/>
    <cellStyle name="Percent" xfId="1" builtinId="5"/>
  </cellStyles>
  <dxfs count="0"/>
  <tableStyles count="0" defaultTableStyle="TableStyleMedium2" defaultPivotStyle="PivotStyleLight16"/>
  <colors>
    <mruColors>
      <color rgb="FFA69FE9"/>
      <color rgb="FF66FF33"/>
      <color rgb="FF00B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Valuation Summary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tockChart>
        <c:ser>
          <c:idx val="0"/>
          <c:order val="0"/>
          <c:spPr>
            <a:ln w="38100" cap="rnd">
              <a:noFill/>
              <a:round/>
            </a:ln>
            <a:effectLst/>
          </c:spPr>
          <c:marker>
            <c:symbol val="none"/>
          </c:marker>
          <c:dLbls>
            <c:delete val="1"/>
          </c:dLbls>
          <c:cat>
            <c:strRef>
              <c:f>Summary!$F$6:$I$6</c:f>
              <c:strCache>
                <c:ptCount val="4"/>
                <c:pt idx="0">
                  <c:v>Comps</c:v>
                </c:pt>
                <c:pt idx="1">
                  <c:v>DCF</c:v>
                </c:pt>
                <c:pt idx="2">
                  <c:v>52-week High/Low</c:v>
                </c:pt>
                <c:pt idx="3">
                  <c:v>Market Consensus</c:v>
                </c:pt>
              </c:strCache>
            </c:strRef>
          </c:cat>
          <c:val>
            <c:numRef>
              <c:f>Summary!$F$7:$I$7</c:f>
              <c:numCache>
                <c:formatCode>#,##0.0;\(#,##0.0\);"-"</c:formatCode>
                <c:ptCount val="4"/>
                <c:pt idx="0">
                  <c:v>51.375092101412569</c:v>
                </c:pt>
                <c:pt idx="1">
                  <c:v>86.239066186675089</c:v>
                </c:pt>
                <c:pt idx="2">
                  <c:v>50.81</c:v>
                </c:pt>
                <c:pt idx="3">
                  <c:v>83</c:v>
                </c:pt>
              </c:numCache>
            </c:numRef>
          </c:val>
          <c:smooth val="0"/>
          <c:extLst>
            <c:ext xmlns:c16="http://schemas.microsoft.com/office/drawing/2014/chart" uri="{C3380CC4-5D6E-409C-BE32-E72D297353CC}">
              <c16:uniqueId val="{00000000-19A6-49C4-B60B-79AC01ACBDC7}"/>
            </c:ext>
          </c:extLst>
        </c:ser>
        <c:ser>
          <c:idx val="1"/>
          <c:order val="1"/>
          <c:spPr>
            <a:ln w="38100" cap="rnd">
              <a:noFill/>
              <a:round/>
            </a:ln>
            <a:effectLst/>
          </c:spPr>
          <c:marker>
            <c:symbol val="none"/>
          </c:marker>
          <c:dLbls>
            <c:numFmt formatCode="&quot;₹&quot;\ #,##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Summary!$F$6:$I$6</c:f>
              <c:strCache>
                <c:ptCount val="4"/>
                <c:pt idx="0">
                  <c:v>Comps</c:v>
                </c:pt>
                <c:pt idx="1">
                  <c:v>DCF</c:v>
                </c:pt>
                <c:pt idx="2">
                  <c:v>52-week High/Low</c:v>
                </c:pt>
                <c:pt idx="3">
                  <c:v>Market Consensus</c:v>
                </c:pt>
              </c:strCache>
            </c:strRef>
          </c:cat>
          <c:val>
            <c:numRef>
              <c:f>Summary!$F$8:$I$8</c:f>
              <c:numCache>
                <c:formatCode>#,##0.0;\(#,##0.0\);"-"</c:formatCode>
                <c:ptCount val="4"/>
                <c:pt idx="0">
                  <c:v>51.375092101412569</c:v>
                </c:pt>
                <c:pt idx="1">
                  <c:v>86.239066186675089</c:v>
                </c:pt>
                <c:pt idx="2">
                  <c:v>50.81</c:v>
                </c:pt>
                <c:pt idx="3">
                  <c:v>83</c:v>
                </c:pt>
              </c:numCache>
            </c:numRef>
          </c:val>
          <c:smooth val="0"/>
          <c:extLst>
            <c:ext xmlns:c16="http://schemas.microsoft.com/office/drawing/2014/chart" uri="{C3380CC4-5D6E-409C-BE32-E72D297353CC}">
              <c16:uniqueId val="{00000001-19A6-49C4-B60B-79AC01ACBDC7}"/>
            </c:ext>
          </c:extLst>
        </c:ser>
        <c:ser>
          <c:idx val="2"/>
          <c:order val="2"/>
          <c:spPr>
            <a:ln w="38100" cap="rnd">
              <a:noFill/>
              <a:round/>
            </a:ln>
            <a:effectLst/>
          </c:spPr>
          <c:marker>
            <c:symbol val="none"/>
          </c:marker>
          <c:dLbls>
            <c:delete val="1"/>
          </c:dLbls>
          <c:cat>
            <c:strRef>
              <c:f>Summary!$F$6:$I$6</c:f>
              <c:strCache>
                <c:ptCount val="4"/>
                <c:pt idx="0">
                  <c:v>Comps</c:v>
                </c:pt>
                <c:pt idx="1">
                  <c:v>DCF</c:v>
                </c:pt>
                <c:pt idx="2">
                  <c:v>52-week High/Low</c:v>
                </c:pt>
                <c:pt idx="3">
                  <c:v>Market Consensus</c:v>
                </c:pt>
              </c:strCache>
            </c:strRef>
          </c:cat>
          <c:val>
            <c:numRef>
              <c:f>Summary!$F$9:$I$9</c:f>
              <c:numCache>
                <c:formatCode>#,##0.0;\(#,##0.0\);"-"</c:formatCode>
                <c:ptCount val="4"/>
                <c:pt idx="0">
                  <c:v>6.8379945526586177</c:v>
                </c:pt>
                <c:pt idx="1">
                  <c:v>47.786620946263589</c:v>
                </c:pt>
                <c:pt idx="2">
                  <c:v>35.97</c:v>
                </c:pt>
                <c:pt idx="3">
                  <c:v>35</c:v>
                </c:pt>
              </c:numCache>
            </c:numRef>
          </c:val>
          <c:smooth val="0"/>
          <c:extLst>
            <c:ext xmlns:c16="http://schemas.microsoft.com/office/drawing/2014/chart" uri="{C3380CC4-5D6E-409C-BE32-E72D297353CC}">
              <c16:uniqueId val="{00000002-19A6-49C4-B60B-79AC01ACBDC7}"/>
            </c:ext>
          </c:extLst>
        </c:ser>
        <c:ser>
          <c:idx val="3"/>
          <c:order val="3"/>
          <c:spPr>
            <a:ln w="38100" cap="rnd">
              <a:noFill/>
              <a:round/>
            </a:ln>
            <a:effectLst/>
          </c:spPr>
          <c:marker>
            <c:symbol val="none"/>
          </c:marker>
          <c:dLbls>
            <c:dLbl>
              <c:idx val="0"/>
              <c:layout>
                <c:manualLayout>
                  <c:x val="-4.2305555555555582E-2"/>
                  <c:y val="3.93172207640709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9A6-49C4-B60B-79AC01ACBDC7}"/>
                </c:ext>
              </c:extLst>
            </c:dLbl>
            <c:dLbl>
              <c:idx val="1"/>
              <c:layout>
                <c:manualLayout>
                  <c:x val="-3.952777777777778E-2"/>
                  <c:y val="3.00579615048118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9A6-49C4-B60B-79AC01ACBDC7}"/>
                </c:ext>
              </c:extLst>
            </c:dLbl>
            <c:numFmt formatCode="&quot;₹&quot;\ #,##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Summary!$F$6:$I$6</c:f>
              <c:strCache>
                <c:ptCount val="4"/>
                <c:pt idx="0">
                  <c:v>Comps</c:v>
                </c:pt>
                <c:pt idx="1">
                  <c:v>DCF</c:v>
                </c:pt>
                <c:pt idx="2">
                  <c:v>52-week High/Low</c:v>
                </c:pt>
                <c:pt idx="3">
                  <c:v>Market Consensus</c:v>
                </c:pt>
              </c:strCache>
            </c:strRef>
          </c:cat>
          <c:val>
            <c:numRef>
              <c:f>Summary!$F$10:$I$10</c:f>
              <c:numCache>
                <c:formatCode>#,##0.0;\(#,##0.0\);"-"</c:formatCode>
                <c:ptCount val="4"/>
                <c:pt idx="0">
                  <c:v>6.8379945526586177</c:v>
                </c:pt>
                <c:pt idx="1">
                  <c:v>47.786620946263589</c:v>
                </c:pt>
                <c:pt idx="2">
                  <c:v>35.97</c:v>
                </c:pt>
                <c:pt idx="3">
                  <c:v>35</c:v>
                </c:pt>
              </c:numCache>
            </c:numRef>
          </c:val>
          <c:smooth val="0"/>
          <c:extLst>
            <c:ext xmlns:c16="http://schemas.microsoft.com/office/drawing/2014/chart" uri="{C3380CC4-5D6E-409C-BE32-E72D297353CC}">
              <c16:uniqueId val="{00000003-19A6-49C4-B60B-79AC01ACBDC7}"/>
            </c:ext>
          </c:extLst>
        </c:ser>
        <c:dLbls>
          <c:showLegendKey val="0"/>
          <c:showVal val="1"/>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7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989342496"/>
        <c:axId val="989357376"/>
      </c:stockChart>
      <c:catAx>
        <c:axId val="98934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357376"/>
        <c:crosses val="autoZero"/>
        <c:auto val="1"/>
        <c:lblAlgn val="ctr"/>
        <c:lblOffset val="100"/>
        <c:noMultiLvlLbl val="0"/>
      </c:catAx>
      <c:valAx>
        <c:axId val="989357376"/>
        <c:scaling>
          <c:orientation val="minMax"/>
        </c:scaling>
        <c:delete val="0"/>
        <c:axPos val="l"/>
        <c:majorGridlines>
          <c:spPr>
            <a:ln w="9525" cap="flat" cmpd="sng" algn="ctr">
              <a:solidFill>
                <a:schemeClr val="tx1">
                  <a:lumMod val="15000"/>
                  <a:lumOff val="85000"/>
                </a:schemeClr>
              </a:solidFill>
              <a:round/>
            </a:ln>
            <a:effectLst/>
          </c:spPr>
        </c:majorGridlines>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34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651389</xdr:colOff>
      <xdr:row>1</xdr:row>
      <xdr:rowOff>114289</xdr:rowOff>
    </xdr:from>
    <xdr:to>
      <xdr:col>3</xdr:col>
      <xdr:colOff>343201</xdr:colOff>
      <xdr:row>8</xdr:row>
      <xdr:rowOff>110613</xdr:rowOff>
    </xdr:to>
    <xdr:pic>
      <xdr:nvPicPr>
        <xdr:cNvPr id="2" name="Picture 1">
          <a:extLst>
            <a:ext uri="{FF2B5EF4-FFF2-40B4-BE49-F238E27FC236}">
              <a16:creationId xmlns:a16="http://schemas.microsoft.com/office/drawing/2014/main" id="{6C915EAD-28D3-C37F-898C-90DDD117B579}"/>
            </a:ext>
          </a:extLst>
        </xdr:cNvPr>
        <xdr:cNvPicPr>
          <a:picLocks noChangeAspect="1"/>
        </xdr:cNvPicPr>
      </xdr:nvPicPr>
      <xdr:blipFill>
        <a:blip xmlns:r="http://schemas.openxmlformats.org/officeDocument/2006/relationships" r:embed="rId1"/>
        <a:stretch>
          <a:fillRect/>
        </a:stretch>
      </xdr:blipFill>
      <xdr:spPr>
        <a:xfrm>
          <a:off x="1524002" y="310934"/>
          <a:ext cx="1437038" cy="13728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27214</xdr:colOff>
      <xdr:row>12</xdr:row>
      <xdr:rowOff>25949</xdr:rowOff>
    </xdr:from>
    <xdr:to>
      <xdr:col>12</xdr:col>
      <xdr:colOff>21771</xdr:colOff>
      <xdr:row>45</xdr:row>
      <xdr:rowOff>51393</xdr:rowOff>
    </xdr:to>
    <xdr:pic>
      <xdr:nvPicPr>
        <xdr:cNvPr id="2" name="Picture 1">
          <a:extLst>
            <a:ext uri="{FF2B5EF4-FFF2-40B4-BE49-F238E27FC236}">
              <a16:creationId xmlns:a16="http://schemas.microsoft.com/office/drawing/2014/main" id="{7AC15838-26AC-0C39-D59F-4CF239AE246B}"/>
            </a:ext>
          </a:extLst>
        </xdr:cNvPr>
        <xdr:cNvPicPr>
          <a:picLocks noChangeAspect="1"/>
        </xdr:cNvPicPr>
      </xdr:nvPicPr>
      <xdr:blipFill>
        <a:blip xmlns:r="http://schemas.openxmlformats.org/officeDocument/2006/relationships" r:embed="rId1"/>
        <a:stretch>
          <a:fillRect/>
        </a:stretch>
      </xdr:blipFill>
      <xdr:spPr>
        <a:xfrm>
          <a:off x="451757" y="3825063"/>
          <a:ext cx="8528957" cy="613233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1028700</xdr:colOff>
      <xdr:row>16</xdr:row>
      <xdr:rowOff>3809</xdr:rowOff>
    </xdr:from>
    <xdr:to>
      <xdr:col>9</xdr:col>
      <xdr:colOff>43295</xdr:colOff>
      <xdr:row>33</xdr:row>
      <xdr:rowOff>60613</xdr:rowOff>
    </xdr:to>
    <xdr:graphicFrame macro="">
      <xdr:nvGraphicFramePr>
        <xdr:cNvPr id="2" name="Chart 1">
          <a:extLst>
            <a:ext uri="{FF2B5EF4-FFF2-40B4-BE49-F238E27FC236}">
              <a16:creationId xmlns:a16="http://schemas.microsoft.com/office/drawing/2014/main" id="{D4734B89-8FBC-08ED-EB6A-2D9D7FF133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1468130</xdr:colOff>
      <xdr:row>26</xdr:row>
      <xdr:rowOff>107275</xdr:rowOff>
    </xdr:from>
    <xdr:to>
      <xdr:col>9</xdr:col>
      <xdr:colOff>47307</xdr:colOff>
      <xdr:row>26</xdr:row>
      <xdr:rowOff>107712</xdr:rowOff>
    </xdr:to>
    <xdr:cxnSp macro="">
      <xdr:nvCxnSpPr>
        <xdr:cNvPr id="4" name="Straight Connector 3">
          <a:extLst>
            <a:ext uri="{FF2B5EF4-FFF2-40B4-BE49-F238E27FC236}">
              <a16:creationId xmlns:a16="http://schemas.microsoft.com/office/drawing/2014/main" id="{196069A0-8F8D-8540-D388-5148153DD4CB}"/>
            </a:ext>
          </a:extLst>
        </xdr:cNvPr>
        <xdr:cNvCxnSpPr/>
      </xdr:nvCxnSpPr>
      <xdr:spPr>
        <a:xfrm>
          <a:off x="1734460" y="5411683"/>
          <a:ext cx="5429779" cy="437"/>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17137-C21F-499E-9251-3F3168E59B02}">
  <dimension ref="A2:L36"/>
  <sheetViews>
    <sheetView showGridLines="0" topLeftCell="A8" zoomScale="82" workbookViewId="0">
      <selection activeCell="C28" sqref="C28"/>
    </sheetView>
  </sheetViews>
  <sheetFormatPr defaultColWidth="12.77734375" defaultRowHeight="15" customHeight="1" x14ac:dyDescent="0.3"/>
  <cols>
    <col min="4" max="4" width="12.77734375" customWidth="1"/>
  </cols>
  <sheetData>
    <row r="2" spans="1:12" ht="15" customHeight="1" x14ac:dyDescent="0.3">
      <c r="A2" s="9"/>
      <c r="B2" s="3"/>
      <c r="C2" s="3"/>
      <c r="D2" s="3"/>
      <c r="E2" s="3"/>
      <c r="F2" s="110"/>
      <c r="G2" s="3"/>
      <c r="H2" s="111"/>
      <c r="I2" s="111"/>
      <c r="J2" s="110"/>
      <c r="K2" s="111"/>
      <c r="L2" s="111"/>
    </row>
    <row r="3" spans="1:12" ht="15" customHeight="1" x14ac:dyDescent="0.3">
      <c r="A3" s="9"/>
      <c r="B3" s="216"/>
      <c r="C3" s="216"/>
      <c r="D3" s="3"/>
      <c r="E3" s="3"/>
      <c r="F3" s="3"/>
      <c r="G3" s="3"/>
      <c r="H3" s="111"/>
      <c r="I3" s="111"/>
      <c r="J3" s="3"/>
      <c r="K3" s="111"/>
      <c r="L3" s="111"/>
    </row>
    <row r="4" spans="1:12" ht="15" customHeight="1" x14ac:dyDescent="0.3">
      <c r="A4" s="10"/>
      <c r="B4" s="216"/>
      <c r="C4" s="216"/>
      <c r="D4" s="214" t="s">
        <v>1</v>
      </c>
      <c r="E4" s="214"/>
      <c r="F4" s="214"/>
      <c r="G4" s="214"/>
      <c r="H4" s="214"/>
      <c r="I4" s="214"/>
      <c r="J4" s="214"/>
      <c r="K4" s="112"/>
      <c r="L4" s="112"/>
    </row>
    <row r="5" spans="1:12" ht="15" customHeight="1" x14ac:dyDescent="0.3">
      <c r="A5" s="9"/>
      <c r="B5" s="216"/>
      <c r="C5" s="216"/>
      <c r="D5" s="214"/>
      <c r="E5" s="214"/>
      <c r="F5" s="214"/>
      <c r="G5" s="214"/>
      <c r="H5" s="214"/>
      <c r="I5" s="214"/>
      <c r="J5" s="214"/>
      <c r="K5" s="111"/>
      <c r="L5" s="111"/>
    </row>
    <row r="6" spans="1:12" ht="15" customHeight="1" x14ac:dyDescent="0.3">
      <c r="A6" s="9"/>
      <c r="B6" s="216"/>
      <c r="C6" s="216"/>
      <c r="D6" s="214"/>
      <c r="E6" s="214"/>
      <c r="F6" s="214"/>
      <c r="G6" s="214"/>
      <c r="H6" s="214"/>
      <c r="I6" s="214"/>
      <c r="J6" s="214"/>
      <c r="K6" s="111"/>
      <c r="L6" s="111"/>
    </row>
    <row r="7" spans="1:12" ht="15" customHeight="1" x14ac:dyDescent="0.35">
      <c r="A7" s="9"/>
      <c r="B7" s="216"/>
      <c r="C7" s="216"/>
      <c r="D7" s="3"/>
      <c r="E7" s="215" t="s">
        <v>383</v>
      </c>
      <c r="F7" s="215"/>
      <c r="G7" s="215"/>
      <c r="H7" s="215"/>
      <c r="I7" s="215"/>
      <c r="J7" s="110"/>
      <c r="K7" s="111"/>
      <c r="L7" s="111"/>
    </row>
    <row r="8" spans="1:12" ht="15" customHeight="1" x14ac:dyDescent="0.3">
      <c r="A8" s="9"/>
      <c r="B8" s="3"/>
      <c r="C8" s="3"/>
      <c r="D8" s="3"/>
      <c r="E8" s="3"/>
      <c r="F8" s="110"/>
      <c r="G8" s="3"/>
      <c r="H8" s="111"/>
      <c r="I8" s="111"/>
      <c r="J8" s="110"/>
      <c r="K8" s="111"/>
      <c r="L8" s="111"/>
    </row>
    <row r="9" spans="1:12" ht="15" customHeight="1" x14ac:dyDescent="0.3">
      <c r="A9" s="9"/>
      <c r="B9" s="3"/>
      <c r="C9" s="3"/>
      <c r="D9" s="3"/>
      <c r="E9" s="3"/>
      <c r="F9" s="110"/>
      <c r="G9" s="3"/>
      <c r="H9" s="111"/>
      <c r="I9" s="111"/>
      <c r="J9" s="110"/>
      <c r="K9" s="111"/>
      <c r="L9" s="111"/>
    </row>
    <row r="10" spans="1:12" ht="15" customHeight="1" x14ac:dyDescent="0.3">
      <c r="B10" s="113"/>
      <c r="C10" s="218" t="s">
        <v>477</v>
      </c>
      <c r="D10" s="218"/>
      <c r="E10" s="218"/>
      <c r="F10" s="218"/>
      <c r="G10" s="113"/>
      <c r="H10" s="113"/>
      <c r="I10" s="123" t="s">
        <v>384</v>
      </c>
      <c r="J10" t="s">
        <v>385</v>
      </c>
      <c r="L10" s="113"/>
    </row>
    <row r="11" spans="1:12" ht="15" customHeight="1" x14ac:dyDescent="0.3">
      <c r="B11" s="113"/>
      <c r="C11" s="218" t="s">
        <v>478</v>
      </c>
      <c r="D11" s="218"/>
      <c r="E11" s="218"/>
      <c r="F11" s="218"/>
      <c r="G11" s="113"/>
      <c r="H11" s="113"/>
      <c r="I11" t="s">
        <v>384</v>
      </c>
      <c r="J11" t="s">
        <v>386</v>
      </c>
      <c r="L11" s="113"/>
    </row>
    <row r="12" spans="1:12" ht="15" customHeight="1" x14ac:dyDescent="0.3">
      <c r="B12" s="113"/>
      <c r="C12" s="218" t="s">
        <v>476</v>
      </c>
      <c r="D12" s="218"/>
      <c r="E12" s="218"/>
      <c r="F12" s="218"/>
      <c r="G12" s="113"/>
      <c r="H12" s="113"/>
      <c r="I12" s="88" t="s">
        <v>384</v>
      </c>
      <c r="J12" t="s">
        <v>387</v>
      </c>
      <c r="L12" s="113"/>
    </row>
    <row r="13" spans="1:12" ht="15" customHeight="1" x14ac:dyDescent="0.3">
      <c r="B13" s="113"/>
      <c r="C13" s="218" t="s">
        <v>473</v>
      </c>
      <c r="D13" s="218"/>
      <c r="E13" s="218"/>
      <c r="F13" s="218"/>
      <c r="G13" s="113"/>
      <c r="H13" s="113"/>
      <c r="I13" s="113"/>
      <c r="J13" s="113"/>
      <c r="K13" s="113"/>
      <c r="L13" s="113"/>
    </row>
    <row r="14" spans="1:12" ht="15" customHeight="1" x14ac:dyDescent="0.3">
      <c r="B14" s="113"/>
      <c r="C14" s="218" t="s">
        <v>474</v>
      </c>
      <c r="D14" s="218"/>
      <c r="E14" s="218"/>
      <c r="F14" s="218"/>
      <c r="G14" s="113"/>
      <c r="H14" s="113"/>
      <c r="I14" s="113"/>
      <c r="J14" s="113"/>
      <c r="K14" s="113"/>
      <c r="L14" s="113"/>
    </row>
    <row r="15" spans="1:12" ht="15" customHeight="1" x14ac:dyDescent="0.3">
      <c r="B15" s="113"/>
      <c r="C15" s="218" t="s">
        <v>475</v>
      </c>
      <c r="D15" s="218"/>
      <c r="E15" s="218"/>
      <c r="F15" s="218"/>
      <c r="G15" s="113"/>
      <c r="H15" s="113"/>
      <c r="I15" s="113"/>
      <c r="J15" s="113"/>
      <c r="K15" s="113"/>
      <c r="L15" s="113"/>
    </row>
    <row r="16" spans="1:12" ht="15" customHeight="1" x14ac:dyDescent="0.3">
      <c r="B16" s="113"/>
      <c r="C16" s="113"/>
      <c r="D16" s="113"/>
      <c r="E16" s="113"/>
      <c r="F16" s="113"/>
      <c r="G16" s="113"/>
      <c r="H16" s="113"/>
      <c r="I16" s="113"/>
      <c r="J16" s="113"/>
      <c r="K16" s="113"/>
      <c r="L16" s="113"/>
    </row>
    <row r="17" spans="2:12" ht="23.4" x14ac:dyDescent="0.45">
      <c r="B17" s="113"/>
      <c r="C17" s="113"/>
      <c r="D17" s="113"/>
      <c r="E17" s="113"/>
      <c r="F17" s="217" t="s">
        <v>388</v>
      </c>
      <c r="G17" s="217"/>
      <c r="H17" s="217"/>
      <c r="I17" s="113"/>
      <c r="J17" s="113"/>
      <c r="K17" s="113"/>
      <c r="L17" s="113"/>
    </row>
    <row r="18" spans="2:12" ht="15" customHeight="1" x14ac:dyDescent="0.3">
      <c r="B18" s="113"/>
      <c r="C18" s="113"/>
      <c r="D18" s="114"/>
      <c r="E18" s="113"/>
      <c r="F18" s="113"/>
      <c r="G18" s="113"/>
      <c r="H18" s="113"/>
      <c r="I18" s="113"/>
      <c r="J18" s="113"/>
      <c r="K18" s="113"/>
      <c r="L18" s="113"/>
    </row>
    <row r="19" spans="2:12" ht="15" customHeight="1" x14ac:dyDescent="0.3">
      <c r="B19" s="113"/>
      <c r="C19" s="115"/>
      <c r="D19" s="115" t="s">
        <v>337</v>
      </c>
      <c r="E19" s="114"/>
      <c r="F19" s="114"/>
      <c r="G19" s="113"/>
      <c r="H19" s="113"/>
      <c r="I19" s="113"/>
      <c r="J19" s="113"/>
      <c r="K19" s="113"/>
      <c r="L19" s="113"/>
    </row>
    <row r="20" spans="2:12" ht="15" customHeight="1" x14ac:dyDescent="0.3">
      <c r="B20" s="113"/>
      <c r="C20" s="114"/>
      <c r="D20" s="115" t="s">
        <v>204</v>
      </c>
      <c r="E20" s="114"/>
      <c r="F20" s="114"/>
      <c r="G20" s="113"/>
      <c r="H20" s="113"/>
      <c r="I20" s="113"/>
      <c r="J20" s="113"/>
      <c r="K20" s="113"/>
      <c r="L20" s="113"/>
    </row>
    <row r="21" spans="2:12" ht="15" customHeight="1" x14ac:dyDescent="0.3">
      <c r="B21" s="113"/>
      <c r="C21" s="114"/>
      <c r="D21" s="115" t="s">
        <v>2</v>
      </c>
      <c r="E21" s="114"/>
      <c r="F21" s="114"/>
      <c r="G21" s="113"/>
      <c r="H21" s="113"/>
      <c r="I21" s="113"/>
      <c r="J21" s="113"/>
      <c r="K21" s="113"/>
      <c r="L21" s="113"/>
    </row>
    <row r="22" spans="2:12" ht="15" customHeight="1" x14ac:dyDescent="0.3">
      <c r="B22" s="113"/>
      <c r="C22" s="114"/>
      <c r="D22" s="115" t="s">
        <v>508</v>
      </c>
      <c r="E22" s="114"/>
      <c r="F22" s="114"/>
      <c r="G22" s="113"/>
      <c r="H22" s="113"/>
      <c r="I22" s="113"/>
      <c r="J22" s="113"/>
      <c r="K22" s="113"/>
      <c r="L22" s="113"/>
    </row>
    <row r="23" spans="2:12" ht="15" customHeight="1" x14ac:dyDescent="0.3">
      <c r="B23" s="113"/>
      <c r="C23" s="114"/>
      <c r="D23" s="115" t="s">
        <v>509</v>
      </c>
      <c r="E23" s="114"/>
      <c r="F23" s="114"/>
      <c r="G23" s="113"/>
      <c r="H23" s="113"/>
      <c r="I23" s="113"/>
      <c r="J23" s="113"/>
      <c r="K23" s="113"/>
      <c r="L23" s="113"/>
    </row>
    <row r="24" spans="2:12" ht="15" customHeight="1" x14ac:dyDescent="0.3">
      <c r="B24" s="113"/>
      <c r="C24" s="114"/>
      <c r="D24" s="115" t="s">
        <v>510</v>
      </c>
      <c r="E24" s="114"/>
      <c r="F24" s="114"/>
      <c r="G24" s="113"/>
      <c r="H24" s="113"/>
      <c r="I24" s="113"/>
      <c r="J24" s="113"/>
      <c r="K24" s="113"/>
      <c r="L24" s="113"/>
    </row>
    <row r="25" spans="2:12" ht="15" customHeight="1" x14ac:dyDescent="0.3">
      <c r="B25" s="113"/>
      <c r="C25" s="114"/>
      <c r="D25" s="115" t="s">
        <v>511</v>
      </c>
      <c r="E25" s="114"/>
      <c r="F25" s="114"/>
      <c r="G25" s="113"/>
      <c r="H25" s="113"/>
      <c r="I25" s="113"/>
      <c r="J25" s="113"/>
      <c r="K25" s="113"/>
      <c r="L25" s="113"/>
    </row>
    <row r="26" spans="2:12" ht="15" customHeight="1" x14ac:dyDescent="0.3">
      <c r="B26" s="113"/>
      <c r="C26" s="114"/>
      <c r="D26" s="115" t="s">
        <v>389</v>
      </c>
      <c r="E26" s="114"/>
      <c r="F26" s="114"/>
      <c r="G26" s="113"/>
      <c r="H26" s="113"/>
      <c r="I26" s="113"/>
      <c r="J26" s="113"/>
      <c r="K26" s="113"/>
      <c r="L26" s="113"/>
    </row>
    <row r="27" spans="2:12" ht="15" customHeight="1" x14ac:dyDescent="0.3">
      <c r="B27" s="113"/>
      <c r="C27" s="114"/>
      <c r="D27" s="115" t="s">
        <v>371</v>
      </c>
      <c r="E27" s="114"/>
      <c r="F27" s="114"/>
      <c r="G27" s="113"/>
      <c r="H27" s="113"/>
      <c r="I27" s="113"/>
      <c r="J27" s="113"/>
      <c r="K27" s="113"/>
      <c r="L27" s="113"/>
    </row>
    <row r="28" spans="2:12" ht="15" customHeight="1" x14ac:dyDescent="0.3">
      <c r="B28" s="113"/>
      <c r="C28" s="114"/>
      <c r="D28" s="115" t="s">
        <v>212</v>
      </c>
      <c r="E28" s="114"/>
      <c r="F28" s="114"/>
      <c r="G28" s="113"/>
      <c r="H28" s="113"/>
      <c r="I28" s="113"/>
      <c r="J28" s="113"/>
      <c r="K28" s="113"/>
      <c r="L28" s="113"/>
    </row>
    <row r="29" spans="2:12" ht="15" customHeight="1" x14ac:dyDescent="0.3">
      <c r="B29" s="113"/>
      <c r="C29" s="114"/>
      <c r="D29" s="115" t="s">
        <v>479</v>
      </c>
      <c r="E29" s="114"/>
      <c r="F29" s="114"/>
      <c r="G29" s="113"/>
      <c r="H29" s="113"/>
      <c r="I29" s="113"/>
      <c r="J29" s="113"/>
      <c r="K29" s="113"/>
      <c r="L29" s="113"/>
    </row>
    <row r="30" spans="2:12" ht="15" customHeight="1" x14ac:dyDescent="0.3">
      <c r="B30" s="113"/>
      <c r="C30" s="114"/>
      <c r="D30" s="115" t="s">
        <v>277</v>
      </c>
      <c r="E30" s="114"/>
      <c r="F30" s="114"/>
      <c r="G30" s="113"/>
      <c r="H30" s="113"/>
      <c r="I30" s="113"/>
      <c r="J30" s="113"/>
      <c r="K30" s="113"/>
      <c r="L30" s="113"/>
    </row>
    <row r="31" spans="2:12" ht="15" customHeight="1" x14ac:dyDescent="0.3">
      <c r="B31" s="113"/>
      <c r="C31" s="114"/>
      <c r="D31" s="115" t="s">
        <v>302</v>
      </c>
      <c r="E31" s="114"/>
      <c r="F31" s="114"/>
      <c r="G31" s="113"/>
      <c r="H31" s="113"/>
      <c r="I31" s="113"/>
      <c r="J31" s="113"/>
      <c r="K31" s="113"/>
      <c r="L31" s="113"/>
    </row>
    <row r="32" spans="2:12" ht="15" customHeight="1" x14ac:dyDescent="0.3">
      <c r="B32" s="113"/>
      <c r="C32" s="114"/>
      <c r="D32" s="115" t="s">
        <v>390</v>
      </c>
      <c r="E32" s="114"/>
      <c r="F32" s="114"/>
      <c r="G32" s="113"/>
      <c r="H32" s="113"/>
      <c r="I32" s="113"/>
      <c r="J32" s="113"/>
      <c r="K32" s="113"/>
      <c r="L32" s="113"/>
    </row>
    <row r="33" spans="2:12" ht="15" customHeight="1" x14ac:dyDescent="0.3">
      <c r="B33" s="113"/>
      <c r="C33" s="114"/>
      <c r="D33" s="115" t="s">
        <v>391</v>
      </c>
      <c r="E33" s="114"/>
      <c r="F33" s="113"/>
      <c r="G33" s="113"/>
      <c r="H33" s="113"/>
      <c r="I33" s="113"/>
      <c r="J33" s="113"/>
      <c r="K33" s="113"/>
      <c r="L33" s="113"/>
    </row>
    <row r="34" spans="2:12" ht="15" customHeight="1" x14ac:dyDescent="0.3">
      <c r="B34" s="113"/>
      <c r="C34" s="114"/>
      <c r="D34" s="114"/>
      <c r="E34" s="114"/>
      <c r="F34" s="113"/>
      <c r="G34" s="113"/>
      <c r="H34" s="113"/>
      <c r="I34" s="113"/>
      <c r="J34" s="113"/>
      <c r="K34" s="113"/>
      <c r="L34" s="113"/>
    </row>
    <row r="35" spans="2:12" ht="15" customHeight="1" x14ac:dyDescent="0.3">
      <c r="B35" s="113"/>
      <c r="C35" s="113"/>
      <c r="D35" s="113"/>
      <c r="E35" s="113"/>
      <c r="F35" s="113"/>
      <c r="G35" s="113"/>
      <c r="H35" s="113"/>
      <c r="I35" s="113"/>
      <c r="J35" s="113"/>
      <c r="K35" s="113"/>
      <c r="L35" s="113"/>
    </row>
    <row r="36" spans="2:12" ht="15" customHeight="1" x14ac:dyDescent="0.3">
      <c r="B36" s="113"/>
      <c r="C36" s="113"/>
      <c r="D36" s="113"/>
      <c r="E36" s="113"/>
      <c r="F36" s="113"/>
      <c r="G36" s="113"/>
      <c r="H36" s="113"/>
      <c r="I36" s="113"/>
      <c r="J36" s="113"/>
      <c r="K36" s="113"/>
      <c r="L36" s="113"/>
    </row>
  </sheetData>
  <mergeCells count="10">
    <mergeCell ref="D4:J6"/>
    <mergeCell ref="E7:I7"/>
    <mergeCell ref="B3:C7"/>
    <mergeCell ref="F17:H17"/>
    <mergeCell ref="C10:F10"/>
    <mergeCell ref="C11:F11"/>
    <mergeCell ref="C12:F12"/>
    <mergeCell ref="C13:F13"/>
    <mergeCell ref="C14:F14"/>
    <mergeCell ref="C15:F15"/>
  </mergeCells>
  <hyperlinks>
    <hyperlink ref="D21" location="Historicals!A2" display="Historical Information" xr:uid="{43F4A643-60F6-45A7-8AAC-FC59DA2DEDE5}"/>
    <hyperlink ref="D25" location="Model!A1" display="Modelling" xr:uid="{8276E680-B1B8-4488-8A0F-BE9B3E46FF69}"/>
    <hyperlink ref="D24" location="Model!A88" display="Supporting Schedules" xr:uid="{AE10E125-2CC1-4798-9673-E77BFC5603A1}"/>
    <hyperlink ref="D26" location="Model!A110" display="DCF Valuation" xr:uid="{A6401219-5A0D-48AA-9062-4573B2880039}"/>
    <hyperlink ref="D27" location="DCF!A47" display="Sensitivity Analysis" xr:uid="{A68BC71B-9B95-458D-B1FA-7679D2E4046B}"/>
    <hyperlink ref="D29" location="'Ratio Analysis &amp; Interpretation'!A1" display="Ratio Analysis &amp; Interpretation" xr:uid="{550F71EB-BF53-414F-AF51-F107688B037A}"/>
    <hyperlink ref="D20" location="'Rev Growth Scenarios'!A1" display="Revenue Scenarios" xr:uid="{511B51CB-5910-41F2-A290-24FA44252104}"/>
    <hyperlink ref="D28" location="'Comps Valuation'!A1" display="Comps Valuation" xr:uid="{5187EDE3-349D-4CF3-B24C-4571D17E3F02}"/>
    <hyperlink ref="D30" location="Market_Returns!A1" display="Market Returns" xr:uid="{D640DBF2-F961-4811-9716-F98CD6947142}"/>
    <hyperlink ref="D31" location="WACC!A1" display="WACC" xr:uid="{C8377B43-B7DE-4C42-940D-EFB5685A2829}"/>
    <hyperlink ref="D32" location="Beta!A1" display="Beta" xr:uid="{2300E5C5-11F7-41F7-ABE3-BCD76E8301F5}"/>
    <hyperlink ref="D33" location="Summary!A1" display="Valuation Summary- Football Analysis" xr:uid="{22B46406-0F34-4F52-8E70-5C70016C43DF}"/>
    <hyperlink ref="D19" location="Assumptions!D50" display="Assumptions" xr:uid="{A84F9739-F45B-4F21-B7D2-CD513000CA62}"/>
    <hyperlink ref="D22" location="'Comps (Data)'!A1" display="Comps Data" xr:uid="{59913DB1-176E-45CD-ACDA-0435628C9A2F}"/>
    <hyperlink ref="D23" location="'Assumptions (Data)'!A1" display="Assumptions Data" xr:uid="{065FAD35-E15C-43C9-B30B-F30D1FD5473A}"/>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30B3A-CCD5-4AA4-974B-4064A0C5D0D4}">
  <sheetPr>
    <tabColor rgb="FFA69FE9"/>
  </sheetPr>
  <dimension ref="A1"/>
  <sheetViews>
    <sheetView topLeftCell="A10" workbookViewId="0">
      <selection activeCell="E24" sqref="E24"/>
    </sheetView>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A7C5E-65FF-49CF-AED6-88D8E149F0E8}">
  <sheetPr>
    <tabColor rgb="FFA69FE9"/>
  </sheetPr>
  <dimension ref="A1:S91"/>
  <sheetViews>
    <sheetView topLeftCell="A77" zoomScale="88" workbookViewId="0">
      <selection activeCell="E89" sqref="E89:S89"/>
    </sheetView>
  </sheetViews>
  <sheetFormatPr defaultColWidth="11.77734375" defaultRowHeight="14.4" x14ac:dyDescent="0.3"/>
  <cols>
    <col min="1" max="3" width="2.109375" customWidth="1"/>
    <col min="4" max="4" width="26.77734375" customWidth="1"/>
    <col min="7" max="7" width="15.44140625" bestFit="1" customWidth="1"/>
  </cols>
  <sheetData>
    <row r="1" spans="1:17" ht="32.4" x14ac:dyDescent="0.6">
      <c r="A1" s="1" t="str">
        <f>'Historical Info'!A1</f>
        <v>Ugar Sugar Works Ltd.</v>
      </c>
      <c r="B1" s="2"/>
      <c r="C1" s="2"/>
      <c r="D1" s="2"/>
      <c r="E1" s="3"/>
      <c r="F1" s="3"/>
      <c r="G1" s="3"/>
      <c r="H1" s="205"/>
      <c r="I1" s="205"/>
      <c r="J1" s="205"/>
      <c r="K1" s="205"/>
      <c r="L1" s="205"/>
      <c r="M1" s="205"/>
      <c r="N1" s="205"/>
      <c r="O1" s="205"/>
      <c r="P1" s="205"/>
      <c r="Q1" s="205"/>
    </row>
    <row r="2" spans="1:17" ht="15.6" x14ac:dyDescent="0.3">
      <c r="A2" s="4" t="s">
        <v>337</v>
      </c>
      <c r="B2" s="4"/>
      <c r="C2" s="4"/>
      <c r="D2" s="4"/>
      <c r="E2" s="5"/>
      <c r="F2" s="5"/>
      <c r="G2" s="5"/>
      <c r="H2" s="6"/>
      <c r="I2" s="6"/>
      <c r="J2" s="6"/>
      <c r="K2" s="6"/>
      <c r="L2" s="6"/>
      <c r="M2" s="6"/>
      <c r="N2" s="6"/>
      <c r="O2" s="6"/>
      <c r="P2" s="6"/>
      <c r="Q2" s="6"/>
    </row>
    <row r="4" spans="1:17" x14ac:dyDescent="0.3">
      <c r="D4" s="117" t="s">
        <v>424</v>
      </c>
      <c r="E4" s="208" t="s">
        <v>1</v>
      </c>
      <c r="F4" s="208"/>
      <c r="G4" s="208"/>
      <c r="H4" s="208"/>
      <c r="I4" s="208"/>
      <c r="J4" s="208"/>
      <c r="K4" s="208"/>
      <c r="L4" s="208"/>
    </row>
    <row r="5" spans="1:17" x14ac:dyDescent="0.3">
      <c r="D5" s="117" t="s">
        <v>425</v>
      </c>
      <c r="E5" s="208" t="s">
        <v>430</v>
      </c>
      <c r="F5" s="208"/>
      <c r="G5" s="208"/>
      <c r="H5" s="208"/>
      <c r="I5" s="208"/>
      <c r="J5" s="208"/>
      <c r="K5" s="208"/>
      <c r="L5" s="208"/>
    </row>
    <row r="6" spans="1:17" x14ac:dyDescent="0.3">
      <c r="D6" s="117" t="s">
        <v>426</v>
      </c>
      <c r="E6" s="208" t="s">
        <v>481</v>
      </c>
      <c r="F6" s="208"/>
      <c r="G6" s="208"/>
      <c r="H6" s="208"/>
      <c r="I6" s="208"/>
      <c r="J6" s="208"/>
      <c r="K6" s="208"/>
      <c r="L6" s="208"/>
    </row>
    <row r="7" spans="1:17" x14ac:dyDescent="0.3">
      <c r="D7" s="117" t="s">
        <v>427</v>
      </c>
      <c r="E7" s="208" t="s">
        <v>506</v>
      </c>
      <c r="F7" s="208"/>
      <c r="G7" s="208"/>
      <c r="H7" s="208"/>
      <c r="I7" s="208"/>
      <c r="J7" s="208"/>
      <c r="K7" s="208"/>
      <c r="L7" s="208"/>
    </row>
    <row r="8" spans="1:17" x14ac:dyDescent="0.3">
      <c r="D8" s="117" t="s">
        <v>428</v>
      </c>
      <c r="E8" s="208" t="s">
        <v>431</v>
      </c>
      <c r="F8" s="208"/>
      <c r="G8" s="208"/>
      <c r="H8" s="208"/>
      <c r="I8" s="208"/>
      <c r="J8" s="208"/>
      <c r="K8" s="208"/>
      <c r="L8" s="208"/>
    </row>
    <row r="9" spans="1:17" x14ac:dyDescent="0.3">
      <c r="D9" s="117" t="s">
        <v>429</v>
      </c>
      <c r="E9" s="208" t="s">
        <v>432</v>
      </c>
      <c r="F9" s="208"/>
      <c r="G9" s="208"/>
      <c r="H9" s="208"/>
      <c r="I9" s="208"/>
      <c r="J9" s="208"/>
      <c r="K9" s="208"/>
      <c r="L9" s="208"/>
    </row>
    <row r="10" spans="1:17" ht="120" customHeight="1" x14ac:dyDescent="0.3">
      <c r="D10" s="183" t="s">
        <v>424</v>
      </c>
      <c r="E10" s="206" t="s">
        <v>433</v>
      </c>
      <c r="F10" s="206"/>
      <c r="G10" s="206"/>
      <c r="H10" s="206"/>
      <c r="I10" s="206"/>
      <c r="J10" s="206"/>
      <c r="K10" s="206"/>
      <c r="L10" s="206"/>
    </row>
    <row r="11" spans="1:17" x14ac:dyDescent="0.3">
      <c r="D11" s="117" t="s">
        <v>344</v>
      </c>
      <c r="E11" s="207">
        <v>39.33</v>
      </c>
      <c r="F11" s="207"/>
      <c r="G11" s="207"/>
      <c r="H11" s="207"/>
      <c r="I11" s="207"/>
      <c r="J11" s="207"/>
      <c r="K11" s="207"/>
      <c r="L11" s="207"/>
    </row>
    <row r="50" spans="4:7" x14ac:dyDescent="0.3">
      <c r="D50" s="212" t="s">
        <v>483</v>
      </c>
      <c r="E50" s="212"/>
      <c r="F50" s="212"/>
      <c r="G50" s="212"/>
    </row>
    <row r="51" spans="4:7" x14ac:dyDescent="0.3">
      <c r="D51" s="211" t="s">
        <v>206</v>
      </c>
      <c r="E51" s="211"/>
      <c r="F51" s="211">
        <v>1</v>
      </c>
      <c r="G51" s="211"/>
    </row>
    <row r="54" spans="4:7" x14ac:dyDescent="0.3">
      <c r="D54" s="212" t="s">
        <v>484</v>
      </c>
      <c r="E54" s="212"/>
      <c r="F54" s="212"/>
      <c r="G54" s="212"/>
    </row>
    <row r="55" spans="4:7" x14ac:dyDescent="0.3">
      <c r="D55" s="189" t="s">
        <v>485</v>
      </c>
      <c r="E55" s="189"/>
      <c r="F55" s="189"/>
      <c r="G55" s="189" t="s">
        <v>486</v>
      </c>
    </row>
    <row r="56" spans="4:7" x14ac:dyDescent="0.3">
      <c r="D56" t="s">
        <v>487</v>
      </c>
      <c r="E56" t="s">
        <v>491</v>
      </c>
      <c r="G56" s="186">
        <f>'Comps (Data)'!D11*10^5</f>
        <v>112530634.00000001</v>
      </c>
    </row>
    <row r="57" spans="4:7" x14ac:dyDescent="0.3">
      <c r="D57" t="s">
        <v>488</v>
      </c>
      <c r="E57" t="s">
        <v>489</v>
      </c>
      <c r="G57" s="187">
        <v>1</v>
      </c>
    </row>
    <row r="58" spans="4:7" x14ac:dyDescent="0.3">
      <c r="D58" t="s">
        <v>344</v>
      </c>
      <c r="E58" t="s">
        <v>489</v>
      </c>
      <c r="G58">
        <f>E11</f>
        <v>39.33</v>
      </c>
    </row>
    <row r="59" spans="4:7" x14ac:dyDescent="0.3">
      <c r="D59" t="s">
        <v>490</v>
      </c>
      <c r="E59" t="s">
        <v>493</v>
      </c>
      <c r="G59" s="188">
        <f>'Comps (Data)'!E11</f>
        <v>44258.298352199999</v>
      </c>
    </row>
    <row r="62" spans="4:7" x14ac:dyDescent="0.3">
      <c r="D62" s="212" t="s">
        <v>337</v>
      </c>
      <c r="E62" s="212"/>
      <c r="F62" s="212"/>
      <c r="G62" s="212"/>
    </row>
    <row r="63" spans="4:7" x14ac:dyDescent="0.3">
      <c r="D63" t="s">
        <v>494</v>
      </c>
      <c r="E63" t="s">
        <v>113</v>
      </c>
      <c r="G63" s="78">
        <f>DCF!E11</f>
        <v>0.04</v>
      </c>
    </row>
    <row r="64" spans="4:7" x14ac:dyDescent="0.3">
      <c r="D64" t="s">
        <v>495</v>
      </c>
      <c r="E64" t="s">
        <v>113</v>
      </c>
      <c r="G64" s="80">
        <f>Market_Returns!F7</f>
        <v>6.9610000000000005E-2</v>
      </c>
    </row>
    <row r="65" spans="4:19" x14ac:dyDescent="0.3">
      <c r="D65" t="s">
        <v>496</v>
      </c>
      <c r="E65" t="s">
        <v>113</v>
      </c>
      <c r="G65" s="78">
        <f>'Comps (Data)'!K11</f>
        <v>0.27409762065207005</v>
      </c>
    </row>
    <row r="68" spans="4:19" x14ac:dyDescent="0.3">
      <c r="D68" s="117" t="s">
        <v>499</v>
      </c>
      <c r="E68" s="212" t="s">
        <v>337</v>
      </c>
      <c r="F68" s="212"/>
      <c r="G68" s="212"/>
      <c r="H68" s="212"/>
      <c r="I68" s="212"/>
      <c r="J68" s="212"/>
      <c r="K68" s="212"/>
      <c r="L68" s="212"/>
      <c r="M68" s="212"/>
      <c r="N68" s="212"/>
      <c r="O68" s="212"/>
      <c r="P68" s="212"/>
      <c r="Q68" s="212"/>
      <c r="R68" s="212"/>
      <c r="S68" s="212"/>
    </row>
    <row r="69" spans="4:19" ht="58.2" customHeight="1" x14ac:dyDescent="0.3">
      <c r="D69" s="198" t="s">
        <v>500</v>
      </c>
      <c r="E69" s="209" t="s">
        <v>512</v>
      </c>
      <c r="F69" s="213"/>
      <c r="G69" s="213"/>
      <c r="H69" s="213"/>
      <c r="I69" s="213"/>
      <c r="J69" s="213"/>
      <c r="K69" s="213"/>
      <c r="L69" s="213"/>
      <c r="M69" s="213"/>
      <c r="N69" s="213"/>
      <c r="O69" s="213"/>
      <c r="P69" s="213"/>
      <c r="Q69" s="213"/>
      <c r="R69" s="213"/>
      <c r="S69" s="213"/>
    </row>
    <row r="70" spans="4:19" ht="28.2" customHeight="1" x14ac:dyDescent="0.3">
      <c r="D70" s="210" t="s">
        <v>501</v>
      </c>
      <c r="E70" s="209" t="s">
        <v>537</v>
      </c>
      <c r="F70" s="213"/>
      <c r="G70" s="213"/>
      <c r="H70" s="213"/>
      <c r="I70" s="213"/>
      <c r="J70" s="213"/>
      <c r="K70" s="213"/>
      <c r="L70" s="213"/>
      <c r="M70" s="213"/>
      <c r="N70" s="213"/>
      <c r="O70" s="213"/>
      <c r="P70" s="213"/>
      <c r="Q70" s="213"/>
      <c r="R70" s="213"/>
      <c r="S70" s="213"/>
    </row>
    <row r="71" spans="4:19" ht="43.2" customHeight="1" x14ac:dyDescent="0.3">
      <c r="D71" s="210"/>
      <c r="E71" s="209" t="s">
        <v>535</v>
      </c>
      <c r="F71" s="209"/>
      <c r="G71" s="209"/>
      <c r="H71" s="209"/>
      <c r="I71" s="209"/>
      <c r="J71" s="209"/>
      <c r="K71" s="209"/>
      <c r="L71" s="209"/>
      <c r="M71" s="209"/>
      <c r="N71" s="209"/>
      <c r="O71" s="209"/>
      <c r="P71" s="209"/>
      <c r="Q71" s="209"/>
      <c r="R71" s="209"/>
      <c r="S71" s="209"/>
    </row>
    <row r="72" spans="4:19" ht="41.4" customHeight="1" x14ac:dyDescent="0.3">
      <c r="D72" s="210"/>
      <c r="E72" s="209" t="s">
        <v>538</v>
      </c>
      <c r="F72" s="213"/>
      <c r="G72" s="213"/>
      <c r="H72" s="213"/>
      <c r="I72" s="213"/>
      <c r="J72" s="213"/>
      <c r="K72" s="213"/>
      <c r="L72" s="213"/>
      <c r="M72" s="213"/>
      <c r="N72" s="213"/>
      <c r="O72" s="213"/>
      <c r="P72" s="213"/>
      <c r="Q72" s="213"/>
      <c r="R72" s="213"/>
      <c r="S72" s="213"/>
    </row>
    <row r="73" spans="4:19" ht="15.6" customHeight="1" x14ac:dyDescent="0.3">
      <c r="D73" s="210"/>
      <c r="E73" s="209" t="s">
        <v>536</v>
      </c>
      <c r="F73" s="209"/>
      <c r="G73" s="209"/>
      <c r="H73" s="209"/>
      <c r="I73" s="209"/>
      <c r="J73" s="209"/>
      <c r="K73" s="209"/>
      <c r="L73" s="209"/>
      <c r="M73" s="209"/>
      <c r="N73" s="209"/>
      <c r="O73" s="209"/>
      <c r="P73" s="209"/>
      <c r="Q73" s="209"/>
      <c r="R73" s="209"/>
      <c r="S73" s="209"/>
    </row>
    <row r="74" spans="4:19" ht="43.8" customHeight="1" x14ac:dyDescent="0.3">
      <c r="D74" s="210"/>
      <c r="E74" s="209" t="s">
        <v>502</v>
      </c>
      <c r="F74" s="209"/>
      <c r="G74" s="209"/>
      <c r="H74" s="209"/>
      <c r="I74" s="209"/>
      <c r="J74" s="209"/>
      <c r="K74" s="209"/>
      <c r="L74" s="209"/>
      <c r="M74" s="209"/>
      <c r="N74" s="209"/>
      <c r="O74" s="209"/>
      <c r="P74" s="209"/>
      <c r="Q74" s="209"/>
      <c r="R74" s="209"/>
      <c r="S74" s="209"/>
    </row>
    <row r="75" spans="4:19" ht="28.8" customHeight="1" x14ac:dyDescent="0.3">
      <c r="D75" s="210" t="s">
        <v>503</v>
      </c>
      <c r="E75" s="209" t="s">
        <v>539</v>
      </c>
      <c r="F75" s="213"/>
      <c r="G75" s="213"/>
      <c r="H75" s="213"/>
      <c r="I75" s="213"/>
      <c r="J75" s="213"/>
      <c r="K75" s="213"/>
      <c r="L75" s="213"/>
      <c r="M75" s="213"/>
      <c r="N75" s="213"/>
      <c r="O75" s="213"/>
      <c r="P75" s="213"/>
      <c r="Q75" s="213"/>
      <c r="R75" s="213"/>
      <c r="S75" s="213"/>
    </row>
    <row r="76" spans="4:19" ht="28.8" customHeight="1" x14ac:dyDescent="0.3">
      <c r="D76" s="210"/>
      <c r="E76" s="209" t="s">
        <v>540</v>
      </c>
      <c r="F76" s="209"/>
      <c r="G76" s="209"/>
      <c r="H76" s="209"/>
      <c r="I76" s="209"/>
      <c r="J76" s="209"/>
      <c r="K76" s="209"/>
      <c r="L76" s="209"/>
      <c r="M76" s="209"/>
      <c r="N76" s="209"/>
      <c r="O76" s="209"/>
      <c r="P76" s="209"/>
      <c r="Q76" s="209"/>
      <c r="R76" s="209"/>
      <c r="S76" s="209"/>
    </row>
    <row r="77" spans="4:19" ht="28.8" customHeight="1" x14ac:dyDescent="0.3">
      <c r="D77" s="210"/>
      <c r="E77" s="209" t="s">
        <v>541</v>
      </c>
      <c r="F77" s="213"/>
      <c r="G77" s="213"/>
      <c r="H77" s="213"/>
      <c r="I77" s="213"/>
      <c r="J77" s="213"/>
      <c r="K77" s="213"/>
      <c r="L77" s="213"/>
      <c r="M77" s="213"/>
      <c r="N77" s="213"/>
      <c r="O77" s="213"/>
      <c r="P77" s="213"/>
      <c r="Q77" s="213"/>
      <c r="R77" s="213"/>
      <c r="S77" s="213"/>
    </row>
    <row r="78" spans="4:19" ht="28.8" customHeight="1" x14ac:dyDescent="0.3">
      <c r="D78" s="210"/>
      <c r="E78" s="209" t="s">
        <v>542</v>
      </c>
      <c r="F78" s="213"/>
      <c r="G78" s="213"/>
      <c r="H78" s="213"/>
      <c r="I78" s="213"/>
      <c r="J78" s="213"/>
      <c r="K78" s="213"/>
      <c r="L78" s="213"/>
      <c r="M78" s="213"/>
      <c r="N78" s="213"/>
      <c r="O78" s="213"/>
      <c r="P78" s="213"/>
      <c r="Q78" s="213"/>
      <c r="R78" s="213"/>
      <c r="S78" s="213"/>
    </row>
    <row r="79" spans="4:19" ht="28.2" customHeight="1" x14ac:dyDescent="0.3">
      <c r="D79" s="210"/>
      <c r="E79" s="209" t="s">
        <v>543</v>
      </c>
      <c r="F79" s="213"/>
      <c r="G79" s="213"/>
      <c r="H79" s="213"/>
      <c r="I79" s="213"/>
      <c r="J79" s="213"/>
      <c r="K79" s="213"/>
      <c r="L79" s="213"/>
      <c r="M79" s="213"/>
      <c r="N79" s="213"/>
      <c r="O79" s="213"/>
      <c r="P79" s="213"/>
      <c r="Q79" s="213"/>
      <c r="R79" s="213"/>
      <c r="S79" s="213"/>
    </row>
    <row r="80" spans="4:19" ht="28.8" customHeight="1" x14ac:dyDescent="0.3">
      <c r="D80" s="210"/>
      <c r="E80" s="209" t="s">
        <v>544</v>
      </c>
      <c r="F80" s="213"/>
      <c r="G80" s="213"/>
      <c r="H80" s="213"/>
      <c r="I80" s="213"/>
      <c r="J80" s="213"/>
      <c r="K80" s="213"/>
      <c r="L80" s="213"/>
      <c r="M80" s="213"/>
      <c r="N80" s="213"/>
      <c r="O80" s="213"/>
      <c r="P80" s="213"/>
      <c r="Q80" s="213"/>
      <c r="R80" s="213"/>
      <c r="S80" s="213"/>
    </row>
    <row r="81" spans="4:19" ht="28.8" customHeight="1" x14ac:dyDescent="0.3">
      <c r="D81" s="210"/>
      <c r="E81" s="209" t="s">
        <v>545</v>
      </c>
      <c r="F81" s="213"/>
      <c r="G81" s="213"/>
      <c r="H81" s="213"/>
      <c r="I81" s="213"/>
      <c r="J81" s="213"/>
      <c r="K81" s="213"/>
      <c r="L81" s="213"/>
      <c r="M81" s="213"/>
      <c r="N81" s="213"/>
      <c r="O81" s="213"/>
      <c r="P81" s="213"/>
      <c r="Q81" s="213"/>
      <c r="R81" s="213"/>
      <c r="S81" s="213"/>
    </row>
    <row r="82" spans="4:19" ht="30.6" customHeight="1" x14ac:dyDescent="0.3">
      <c r="D82" s="210"/>
      <c r="E82" s="209" t="s">
        <v>546</v>
      </c>
      <c r="F82" s="213"/>
      <c r="G82" s="213"/>
      <c r="H82" s="213"/>
      <c r="I82" s="213"/>
      <c r="J82" s="213"/>
      <c r="K82" s="213"/>
      <c r="L82" s="213"/>
      <c r="M82" s="213"/>
      <c r="N82" s="213"/>
      <c r="O82" s="213"/>
      <c r="P82" s="213"/>
      <c r="Q82" s="213"/>
      <c r="R82" s="213"/>
      <c r="S82" s="213"/>
    </row>
    <row r="83" spans="4:19" ht="28.8" customHeight="1" x14ac:dyDescent="0.3">
      <c r="D83" s="198" t="s">
        <v>504</v>
      </c>
      <c r="E83" s="209" t="s">
        <v>547</v>
      </c>
      <c r="F83" s="213"/>
      <c r="G83" s="213"/>
      <c r="H83" s="213"/>
      <c r="I83" s="213"/>
      <c r="J83" s="213"/>
      <c r="K83" s="213"/>
      <c r="L83" s="213"/>
      <c r="M83" s="213"/>
      <c r="N83" s="213"/>
      <c r="O83" s="213"/>
      <c r="P83" s="213"/>
      <c r="Q83" s="213"/>
      <c r="R83" s="213"/>
      <c r="S83" s="213"/>
    </row>
    <row r="84" spans="4:19" ht="29.4" customHeight="1" x14ac:dyDescent="0.3">
      <c r="D84" s="210" t="s">
        <v>548</v>
      </c>
      <c r="E84" s="209" t="s">
        <v>549</v>
      </c>
      <c r="F84" s="213"/>
      <c r="G84" s="213"/>
      <c r="H84" s="213"/>
      <c r="I84" s="213"/>
      <c r="J84" s="213"/>
      <c r="K84" s="213"/>
      <c r="L84" s="213"/>
      <c r="M84" s="213"/>
      <c r="N84" s="213"/>
      <c r="O84" s="213"/>
      <c r="P84" s="213"/>
      <c r="Q84" s="213"/>
      <c r="R84" s="213"/>
      <c r="S84" s="213"/>
    </row>
    <row r="85" spans="4:19" ht="15" customHeight="1" x14ac:dyDescent="0.3">
      <c r="D85" s="210"/>
      <c r="E85" s="209" t="s">
        <v>550</v>
      </c>
      <c r="F85" s="213"/>
      <c r="G85" s="213"/>
      <c r="H85" s="213"/>
      <c r="I85" s="213"/>
      <c r="J85" s="213"/>
      <c r="K85" s="213"/>
      <c r="L85" s="213"/>
      <c r="M85" s="213"/>
      <c r="N85" s="213"/>
      <c r="O85" s="213"/>
      <c r="P85" s="213"/>
      <c r="Q85" s="213"/>
      <c r="R85" s="213"/>
      <c r="S85" s="213"/>
    </row>
    <row r="86" spans="4:19" ht="28.2" customHeight="1" x14ac:dyDescent="0.3">
      <c r="D86" s="210"/>
      <c r="E86" s="209" t="s">
        <v>551</v>
      </c>
      <c r="F86" s="213"/>
      <c r="G86" s="213"/>
      <c r="H86" s="213"/>
      <c r="I86" s="213"/>
      <c r="J86" s="213"/>
      <c r="K86" s="213"/>
      <c r="L86" s="213"/>
      <c r="M86" s="213"/>
      <c r="N86" s="213"/>
      <c r="O86" s="213"/>
      <c r="P86" s="213"/>
      <c r="Q86" s="213"/>
      <c r="R86" s="213"/>
      <c r="S86" s="213"/>
    </row>
    <row r="87" spans="4:19" ht="28.2" customHeight="1" x14ac:dyDescent="0.3">
      <c r="D87" s="210"/>
      <c r="E87" s="209" t="s">
        <v>555</v>
      </c>
      <c r="F87" s="213"/>
      <c r="G87" s="213"/>
      <c r="H87" s="213"/>
      <c r="I87" s="213"/>
      <c r="J87" s="213"/>
      <c r="K87" s="213"/>
      <c r="L87" s="213"/>
      <c r="M87" s="213"/>
      <c r="N87" s="213"/>
      <c r="O87" s="213"/>
      <c r="P87" s="213"/>
      <c r="Q87" s="213"/>
      <c r="R87" s="213"/>
      <c r="S87" s="213"/>
    </row>
    <row r="88" spans="4:19" ht="15.6" customHeight="1" x14ac:dyDescent="0.3">
      <c r="D88" s="210"/>
      <c r="E88" s="209" t="s">
        <v>556</v>
      </c>
      <c r="F88" s="213"/>
      <c r="G88" s="213"/>
      <c r="H88" s="213"/>
      <c r="I88" s="213"/>
      <c r="J88" s="213"/>
      <c r="K88" s="213"/>
      <c r="L88" s="213"/>
      <c r="M88" s="213"/>
      <c r="N88" s="213"/>
      <c r="O88" s="213"/>
      <c r="P88" s="213"/>
      <c r="Q88" s="213"/>
      <c r="R88" s="213"/>
      <c r="S88" s="213"/>
    </row>
    <row r="89" spans="4:19" ht="43.8" customHeight="1" x14ac:dyDescent="0.3">
      <c r="D89" s="210" t="s">
        <v>552</v>
      </c>
      <c r="E89" s="209" t="s">
        <v>557</v>
      </c>
      <c r="F89" s="209"/>
      <c r="G89" s="209"/>
      <c r="H89" s="209"/>
      <c r="I89" s="209"/>
      <c r="J89" s="209"/>
      <c r="K89" s="209"/>
      <c r="L89" s="209"/>
      <c r="M89" s="209"/>
      <c r="N89" s="209"/>
      <c r="O89" s="209"/>
      <c r="P89" s="209"/>
      <c r="Q89" s="209"/>
      <c r="R89" s="209"/>
      <c r="S89" s="209"/>
    </row>
    <row r="90" spans="4:19" ht="14.4" customHeight="1" x14ac:dyDescent="0.3">
      <c r="D90" s="210"/>
      <c r="E90" s="209" t="s">
        <v>553</v>
      </c>
      <c r="F90" s="209"/>
      <c r="G90" s="209"/>
      <c r="H90" s="209"/>
      <c r="I90" s="209"/>
      <c r="J90" s="209"/>
      <c r="K90" s="209"/>
      <c r="L90" s="209"/>
      <c r="M90" s="209"/>
      <c r="N90" s="209"/>
      <c r="O90" s="209"/>
      <c r="P90" s="209"/>
      <c r="Q90" s="209"/>
      <c r="R90" s="209"/>
      <c r="S90" s="209"/>
    </row>
    <row r="91" spans="4:19" ht="13.8" customHeight="1" x14ac:dyDescent="0.3">
      <c r="D91" s="210"/>
      <c r="E91" s="209" t="s">
        <v>554</v>
      </c>
      <c r="F91" s="209"/>
      <c r="G91" s="209"/>
      <c r="H91" s="209"/>
      <c r="I91" s="209"/>
      <c r="J91" s="209"/>
      <c r="K91" s="209"/>
      <c r="L91" s="209"/>
      <c r="M91" s="209"/>
      <c r="N91" s="209"/>
      <c r="O91" s="209"/>
      <c r="P91" s="209"/>
      <c r="Q91" s="209"/>
      <c r="R91" s="209"/>
      <c r="S91" s="209"/>
    </row>
  </sheetData>
  <mergeCells count="43">
    <mergeCell ref="E87:S87"/>
    <mergeCell ref="E88:S88"/>
    <mergeCell ref="D84:D88"/>
    <mergeCell ref="E82:S82"/>
    <mergeCell ref="E83:S83"/>
    <mergeCell ref="E84:S84"/>
    <mergeCell ref="E85:S85"/>
    <mergeCell ref="E86:S86"/>
    <mergeCell ref="E80:S80"/>
    <mergeCell ref="E81:S81"/>
    <mergeCell ref="E76:S76"/>
    <mergeCell ref="E73:S73"/>
    <mergeCell ref="E70:S70"/>
    <mergeCell ref="E72:S72"/>
    <mergeCell ref="E75:S75"/>
    <mergeCell ref="E77:S77"/>
    <mergeCell ref="E71:S71"/>
    <mergeCell ref="E74:S74"/>
    <mergeCell ref="E90:S90"/>
    <mergeCell ref="D89:D91"/>
    <mergeCell ref="D75:D82"/>
    <mergeCell ref="D70:D74"/>
    <mergeCell ref="E9:L9"/>
    <mergeCell ref="D51:E51"/>
    <mergeCell ref="D50:G50"/>
    <mergeCell ref="F51:G51"/>
    <mergeCell ref="D54:G54"/>
    <mergeCell ref="D62:G62"/>
    <mergeCell ref="E89:S89"/>
    <mergeCell ref="E91:S91"/>
    <mergeCell ref="E68:S68"/>
    <mergeCell ref="E69:S69"/>
    <mergeCell ref="E78:S78"/>
    <mergeCell ref="E79:S79"/>
    <mergeCell ref="H1:L1"/>
    <mergeCell ref="M1:Q1"/>
    <mergeCell ref="E10:L10"/>
    <mergeCell ref="E11:L11"/>
    <mergeCell ref="E4:L4"/>
    <mergeCell ref="E5:L5"/>
    <mergeCell ref="E6:L6"/>
    <mergeCell ref="E7:L7"/>
    <mergeCell ref="E8:L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05D43-F0A5-4DC1-8EDB-DDD14AF20F2C}">
  <sheetPr>
    <tabColor rgb="FFA69FE9"/>
  </sheetPr>
  <dimension ref="A1:Z41"/>
  <sheetViews>
    <sheetView workbookViewId="0">
      <selection activeCell="E24" sqref="E24"/>
    </sheetView>
  </sheetViews>
  <sheetFormatPr defaultColWidth="11.77734375" defaultRowHeight="14.4" x14ac:dyDescent="0.3"/>
  <cols>
    <col min="1" max="3" width="1.33203125" customWidth="1"/>
    <col min="4" max="4" width="40.77734375" customWidth="1"/>
    <col min="5" max="6" width="12.77734375" customWidth="1"/>
    <col min="7" max="7" width="2.77734375" customWidth="1"/>
    <col min="8" max="8" width="10.6640625" bestFit="1" customWidth="1"/>
    <col min="13" max="13" width="11.44140625" customWidth="1"/>
    <col min="14" max="14" width="11.5546875" customWidth="1"/>
  </cols>
  <sheetData>
    <row r="1" spans="1:26" ht="32.4" x14ac:dyDescent="0.6">
      <c r="A1" s="1" t="str">
        <f>'Historical Info'!A1</f>
        <v>Ugar Sugar Works Ltd.</v>
      </c>
      <c r="B1" s="2"/>
      <c r="C1" s="2"/>
      <c r="D1" s="2"/>
      <c r="E1" s="3"/>
      <c r="F1" s="3"/>
      <c r="G1" s="3"/>
      <c r="H1" s="205"/>
      <c r="I1" s="205"/>
      <c r="J1" s="205"/>
      <c r="K1" s="205"/>
      <c r="L1" s="205"/>
      <c r="M1" s="205"/>
      <c r="N1" s="205"/>
      <c r="O1" s="205"/>
      <c r="P1" s="205"/>
      <c r="Q1" s="205"/>
    </row>
    <row r="2" spans="1:26" ht="15.6" x14ac:dyDescent="0.3">
      <c r="A2" s="4" t="s">
        <v>204</v>
      </c>
      <c r="B2" s="4"/>
      <c r="C2" s="4"/>
      <c r="D2" s="4"/>
      <c r="E2" s="5"/>
      <c r="F2" s="5"/>
      <c r="G2" s="5"/>
      <c r="H2" s="6"/>
      <c r="I2" s="6"/>
      <c r="J2" s="6"/>
      <c r="K2" s="6"/>
      <c r="L2" s="6"/>
      <c r="M2" s="6"/>
      <c r="N2" s="6"/>
      <c r="O2" s="6"/>
      <c r="P2" s="6"/>
      <c r="Q2" s="6"/>
    </row>
    <row r="4" spans="1:26" ht="15.6" x14ac:dyDescent="0.3">
      <c r="A4" s="9"/>
      <c r="B4" s="9"/>
      <c r="C4" s="9"/>
      <c r="D4" s="30" t="s">
        <v>209</v>
      </c>
      <c r="E4" s="30" t="s">
        <v>205</v>
      </c>
      <c r="F4" s="29"/>
      <c r="G4" s="29"/>
      <c r="H4" s="30">
        <f>'Financial Statements'!M2</f>
        <v>2026</v>
      </c>
      <c r="I4" s="30">
        <f>'Financial Statements'!N2</f>
        <v>2027</v>
      </c>
      <c r="J4" s="30">
        <f>'Financial Statements'!O2</f>
        <v>2028</v>
      </c>
      <c r="K4" s="30">
        <f>'Financial Statements'!P2</f>
        <v>2029</v>
      </c>
      <c r="L4" s="30">
        <f>'Financial Statements'!Q2</f>
        <v>2030</v>
      </c>
      <c r="M4" s="30">
        <f>'Financial Statements'!R2</f>
        <v>2031</v>
      </c>
      <c r="N4" s="30">
        <f>'Financial Statements'!S2</f>
        <v>2032</v>
      </c>
      <c r="O4" s="30">
        <f>'Financial Statements'!T2</f>
        <v>2033</v>
      </c>
      <c r="P4" s="30">
        <f>'Financial Statements'!U2</f>
        <v>2034</v>
      </c>
      <c r="Q4" s="30">
        <f>'Financial Statements'!V2</f>
        <v>2035</v>
      </c>
    </row>
    <row r="5" spans="1:26" ht="15.6" x14ac:dyDescent="0.3">
      <c r="A5" s="9"/>
      <c r="B5" s="9"/>
      <c r="C5" s="9"/>
      <c r="D5" s="29" t="s">
        <v>206</v>
      </c>
      <c r="E5" s="127">
        <v>9.8639711666887717E-2</v>
      </c>
      <c r="F5" s="29"/>
      <c r="G5" s="29"/>
      <c r="H5" s="32">
        <f>E5</f>
        <v>9.8639711666887717E-2</v>
      </c>
      <c r="I5" s="33">
        <f t="shared" ref="I5:L7" si="0">H5*(1-$E$8)</f>
        <v>8.9268939058533392E-2</v>
      </c>
      <c r="J5" s="33">
        <f t="shared" si="0"/>
        <v>8.0788389847972722E-2</v>
      </c>
      <c r="K5" s="33">
        <f t="shared" si="0"/>
        <v>7.3113492812415318E-2</v>
      </c>
      <c r="L5" s="33">
        <f t="shared" si="0"/>
        <v>6.6167710995235871E-2</v>
      </c>
      <c r="M5" s="33">
        <f t="shared" ref="M5:M7" si="1">L5*(1-$E$8)</f>
        <v>5.9881778450688462E-2</v>
      </c>
      <c r="N5" s="33">
        <f t="shared" ref="N5:N7" si="2">M5*(1-$E$8)</f>
        <v>5.4193009497873063E-2</v>
      </c>
      <c r="O5" s="33">
        <f t="shared" ref="O5:O7" si="3">N5*(1-$E$8)</f>
        <v>4.9044673595575121E-2</v>
      </c>
      <c r="P5" s="33">
        <f t="shared" ref="P5:P7" si="4">O5*(1-$E$8)</f>
        <v>4.4385429603995483E-2</v>
      </c>
      <c r="Q5" s="33">
        <f t="shared" ref="Q5:Q7" si="5">P5*(1-$E$8)</f>
        <v>4.0168813791615916E-2</v>
      </c>
      <c r="Z5" s="34"/>
    </row>
    <row r="6" spans="1:26" ht="15.6" x14ac:dyDescent="0.3">
      <c r="A6" s="10"/>
      <c r="B6" s="10"/>
      <c r="C6" s="10"/>
      <c r="D6" s="29" t="s">
        <v>207</v>
      </c>
      <c r="E6" s="31">
        <f>E5+0.05</f>
        <v>0.14863971166688772</v>
      </c>
      <c r="F6" s="29"/>
      <c r="G6" s="29"/>
      <c r="H6" s="32">
        <f>E6</f>
        <v>0.14863971166688772</v>
      </c>
      <c r="I6" s="33">
        <f t="shared" si="0"/>
        <v>0.13451893905853338</v>
      </c>
      <c r="J6" s="33">
        <f t="shared" si="0"/>
        <v>0.1217396398479727</v>
      </c>
      <c r="K6" s="33">
        <f t="shared" si="0"/>
        <v>0.1101743740624153</v>
      </c>
      <c r="L6" s="33">
        <f t="shared" si="0"/>
        <v>9.970780852648585E-2</v>
      </c>
      <c r="M6" s="33">
        <f t="shared" si="1"/>
        <v>9.0235566716469692E-2</v>
      </c>
      <c r="N6" s="33">
        <f t="shared" si="2"/>
        <v>8.1663187878405069E-2</v>
      </c>
      <c r="O6" s="33">
        <f t="shared" si="3"/>
        <v>7.3905185029956591E-2</v>
      </c>
      <c r="P6" s="33">
        <f t="shared" si="4"/>
        <v>6.6884192452110719E-2</v>
      </c>
      <c r="Q6" s="33">
        <f t="shared" si="5"/>
        <v>6.0530194169160202E-2</v>
      </c>
    </row>
    <row r="7" spans="1:26" ht="15.6" x14ac:dyDescent="0.3">
      <c r="A7" s="9"/>
      <c r="B7" s="9"/>
      <c r="C7" s="10"/>
      <c r="D7" s="29" t="s">
        <v>111</v>
      </c>
      <c r="E7" s="31">
        <f>E5-0.05</f>
        <v>4.8639711666887714E-2</v>
      </c>
      <c r="F7" s="29"/>
      <c r="G7" s="29"/>
      <c r="H7" s="32">
        <f>E7</f>
        <v>4.8639711666887714E-2</v>
      </c>
      <c r="I7" s="33">
        <f t="shared" si="0"/>
        <v>4.401893905853338E-2</v>
      </c>
      <c r="J7" s="33">
        <f t="shared" si="0"/>
        <v>3.9837139847972707E-2</v>
      </c>
      <c r="K7" s="33">
        <f t="shared" si="0"/>
        <v>3.60526115624153E-2</v>
      </c>
      <c r="L7" s="33">
        <f t="shared" si="0"/>
        <v>3.2627613463985849E-2</v>
      </c>
      <c r="M7" s="33">
        <f t="shared" si="1"/>
        <v>2.9527990184907194E-2</v>
      </c>
      <c r="N7" s="33">
        <f t="shared" si="2"/>
        <v>2.6722831117341011E-2</v>
      </c>
      <c r="O7" s="33">
        <f t="shared" si="3"/>
        <v>2.4184162161193616E-2</v>
      </c>
      <c r="P7" s="33">
        <f t="shared" si="4"/>
        <v>2.1886666755880222E-2</v>
      </c>
      <c r="Q7" s="33">
        <f t="shared" si="5"/>
        <v>1.9807433414071603E-2</v>
      </c>
      <c r="Z7" s="34"/>
    </row>
    <row r="8" spans="1:26" ht="15.6" x14ac:dyDescent="0.3">
      <c r="A8" s="9"/>
      <c r="B8" s="9"/>
      <c r="C8" s="9"/>
      <c r="D8" s="29" t="s">
        <v>208</v>
      </c>
      <c r="E8" s="127">
        <v>9.5000000000000001E-2</v>
      </c>
      <c r="F8" s="29"/>
      <c r="G8" s="29"/>
      <c r="H8" s="29"/>
      <c r="I8" s="29"/>
      <c r="J8" s="29"/>
      <c r="K8" s="29"/>
      <c r="L8" s="29"/>
    </row>
    <row r="9" spans="1:26" x14ac:dyDescent="0.3">
      <c r="A9" s="9"/>
      <c r="B9" s="9"/>
      <c r="C9" s="9"/>
      <c r="D9" s="9"/>
      <c r="E9" s="9"/>
      <c r="F9" s="11"/>
      <c r="G9" s="9"/>
      <c r="H9" s="12"/>
      <c r="I9" s="12"/>
      <c r="J9" s="11"/>
      <c r="K9" s="12"/>
      <c r="L9" s="12"/>
      <c r="Z9" s="34"/>
    </row>
    <row r="10" spans="1:26" x14ac:dyDescent="0.3">
      <c r="A10" s="9"/>
      <c r="B10" s="9"/>
      <c r="C10" s="9"/>
      <c r="D10" s="9"/>
      <c r="E10" s="9"/>
      <c r="F10" s="11"/>
      <c r="G10" s="9"/>
      <c r="H10" s="12"/>
      <c r="I10" s="12"/>
      <c r="J10" s="11"/>
      <c r="K10" s="12"/>
      <c r="L10" s="12"/>
    </row>
    <row r="11" spans="1:26" x14ac:dyDescent="0.3">
      <c r="A11" s="9"/>
      <c r="B11" s="9"/>
      <c r="C11" s="9"/>
      <c r="D11" s="179" t="s">
        <v>392</v>
      </c>
      <c r="E11" s="9"/>
      <c r="F11" s="11"/>
      <c r="G11" s="9"/>
      <c r="H11" s="12"/>
      <c r="I11" s="12"/>
      <c r="J11" s="11"/>
      <c r="K11" s="12"/>
      <c r="L11" s="12"/>
      <c r="Z11" s="34"/>
    </row>
    <row r="12" spans="1:26" x14ac:dyDescent="0.3">
      <c r="A12" s="9"/>
      <c r="B12" s="9"/>
      <c r="C12" s="9"/>
      <c r="D12" s="9"/>
      <c r="E12" s="9"/>
      <c r="F12" s="11"/>
      <c r="G12" s="9"/>
      <c r="H12" s="12"/>
      <c r="I12" s="12"/>
      <c r="J12" s="11"/>
      <c r="K12" s="12"/>
      <c r="L12" s="12"/>
    </row>
    <row r="13" spans="1:26" x14ac:dyDescent="0.3">
      <c r="Z13" s="34"/>
    </row>
    <row r="41" spans="14:14" x14ac:dyDescent="0.3">
      <c r="N41" s="34"/>
    </row>
  </sheetData>
  <mergeCells count="2">
    <mergeCell ref="H1:L1"/>
    <mergeCell ref="M1:Q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9D1CF-E04E-46A2-A882-7BCBF2F0AED0}">
  <sheetPr>
    <tabColor theme="5" tint="0.59999389629810485"/>
  </sheetPr>
  <dimension ref="A1"/>
  <sheetViews>
    <sheetView workbookViewId="0">
      <selection activeCell="L28" sqref="L28"/>
    </sheetView>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B93F2-125A-4F76-9849-417F68B15243}">
  <sheetPr>
    <tabColor theme="5" tint="0.59999389629810485"/>
  </sheetPr>
  <dimension ref="A1:Q127"/>
  <sheetViews>
    <sheetView topLeftCell="A32" zoomScale="99" zoomScaleNormal="80" workbookViewId="0">
      <selection activeCell="L44" activeCellId="2" sqref="L39 L43 L44"/>
    </sheetView>
  </sheetViews>
  <sheetFormatPr defaultColWidth="11.77734375" defaultRowHeight="14.4" x14ac:dyDescent="0.3"/>
  <cols>
    <col min="1" max="3" width="1.33203125" customWidth="1"/>
    <col min="4" max="4" width="40.77734375" customWidth="1"/>
    <col min="5" max="6" width="12.77734375" customWidth="1"/>
    <col min="7" max="7" width="2.77734375" customWidth="1"/>
    <col min="8" max="8" width="10.6640625" bestFit="1" customWidth="1"/>
  </cols>
  <sheetData>
    <row r="1" spans="1:17" ht="32.4" x14ac:dyDescent="0.6">
      <c r="A1" s="1" t="s">
        <v>1</v>
      </c>
      <c r="B1" s="2"/>
      <c r="C1" s="2"/>
      <c r="D1" s="2"/>
      <c r="E1" s="3"/>
      <c r="F1" s="3"/>
      <c r="G1" s="3"/>
      <c r="H1" s="205"/>
      <c r="I1" s="205"/>
      <c r="J1" s="205"/>
      <c r="K1" s="205"/>
      <c r="L1" s="205"/>
      <c r="M1" s="205"/>
      <c r="N1" s="205"/>
      <c r="O1" s="205"/>
      <c r="P1" s="205"/>
      <c r="Q1" s="205"/>
    </row>
    <row r="2" spans="1:17" ht="15.6" x14ac:dyDescent="0.3">
      <c r="A2" s="4" t="s">
        <v>2</v>
      </c>
      <c r="B2" s="4"/>
      <c r="C2" s="4"/>
      <c r="D2" s="4"/>
      <c r="E2" s="5"/>
      <c r="F2" s="5"/>
      <c r="G2" s="5"/>
      <c r="H2" s="6"/>
      <c r="I2" s="6"/>
      <c r="J2" s="6"/>
      <c r="K2" s="6"/>
      <c r="L2" s="6"/>
      <c r="M2" s="7"/>
      <c r="N2" s="7"/>
      <c r="O2" s="7"/>
      <c r="P2" s="7"/>
      <c r="Q2" s="7"/>
    </row>
    <row r="4" spans="1:17" x14ac:dyDescent="0.3">
      <c r="A4" s="8" t="s">
        <v>3</v>
      </c>
      <c r="B4" s="8"/>
      <c r="C4" s="8"/>
      <c r="D4" s="8"/>
      <c r="E4" s="8"/>
      <c r="F4" s="8"/>
      <c r="G4" s="8"/>
      <c r="H4" s="8">
        <v>2021</v>
      </c>
      <c r="I4" s="8">
        <f>H4+1</f>
        <v>2022</v>
      </c>
      <c r="J4" s="8">
        <f>I4+1</f>
        <v>2023</v>
      </c>
      <c r="K4" s="8">
        <f t="shared" ref="K4:L4" si="0">J4+1</f>
        <v>2024</v>
      </c>
      <c r="L4" s="8">
        <f t="shared" si="0"/>
        <v>2025</v>
      </c>
    </row>
    <row r="5" spans="1:17" x14ac:dyDescent="0.3">
      <c r="A5" s="9"/>
      <c r="B5" s="9"/>
      <c r="C5" s="10" t="s">
        <v>4</v>
      </c>
      <c r="D5" s="9"/>
      <c r="E5" s="9"/>
      <c r="F5" s="9"/>
      <c r="G5" s="9"/>
      <c r="H5" s="9"/>
      <c r="I5" s="9"/>
      <c r="J5" s="9"/>
      <c r="K5" s="9"/>
      <c r="L5" s="9"/>
    </row>
    <row r="6" spans="1:17" x14ac:dyDescent="0.3">
      <c r="A6" s="9"/>
      <c r="B6" s="9"/>
      <c r="C6" s="9"/>
      <c r="D6" s="9" t="s">
        <v>5</v>
      </c>
      <c r="E6" s="9"/>
      <c r="F6" s="11"/>
      <c r="G6" s="9"/>
      <c r="H6" s="119">
        <v>111796.48</v>
      </c>
      <c r="I6" s="119">
        <v>130158.9</v>
      </c>
      <c r="J6" s="120">
        <v>194014.95</v>
      </c>
      <c r="K6" s="119">
        <v>127723.66</v>
      </c>
      <c r="L6" s="119">
        <v>140741.26999999999</v>
      </c>
    </row>
    <row r="7" spans="1:17" x14ac:dyDescent="0.3">
      <c r="A7" s="9"/>
      <c r="B7" s="9"/>
      <c r="C7" s="9"/>
      <c r="D7" s="9" t="s">
        <v>6</v>
      </c>
      <c r="E7" s="9"/>
      <c r="F7" s="9"/>
      <c r="G7" s="9"/>
      <c r="H7" s="119">
        <v>586.52</v>
      </c>
      <c r="I7" s="119">
        <v>224.47</v>
      </c>
      <c r="J7" s="121">
        <v>642.30999999999995</v>
      </c>
      <c r="K7" s="119">
        <v>3307.94</v>
      </c>
      <c r="L7" s="119">
        <v>1339.29</v>
      </c>
    </row>
    <row r="8" spans="1:17" x14ac:dyDescent="0.3">
      <c r="A8" s="10"/>
      <c r="B8" s="10"/>
      <c r="C8" s="10"/>
      <c r="D8" s="10" t="s">
        <v>7</v>
      </c>
      <c r="E8" s="10"/>
      <c r="F8" s="13"/>
      <c r="G8" s="10"/>
      <c r="H8" s="14">
        <f>SUM(H6:H7)</f>
        <v>112383</v>
      </c>
      <c r="I8" s="14">
        <f t="shared" ref="I8:L8" si="1">SUM(I6:I7)</f>
        <v>130383.37</v>
      </c>
      <c r="J8" s="14">
        <f t="shared" si="1"/>
        <v>194657.26</v>
      </c>
      <c r="K8" s="14">
        <f t="shared" si="1"/>
        <v>131031.6</v>
      </c>
      <c r="L8" s="14">
        <f t="shared" si="1"/>
        <v>142080.56</v>
      </c>
    </row>
    <row r="9" spans="1:17" x14ac:dyDescent="0.3">
      <c r="A9" s="9"/>
      <c r="B9" s="9"/>
      <c r="C9" s="10" t="s">
        <v>8</v>
      </c>
      <c r="D9" s="9"/>
      <c r="E9" s="9"/>
      <c r="F9" s="9"/>
      <c r="G9" s="9"/>
      <c r="H9" s="12"/>
      <c r="I9" s="12"/>
      <c r="J9" s="9"/>
      <c r="K9" s="12"/>
      <c r="L9" s="12"/>
    </row>
    <row r="10" spans="1:17" x14ac:dyDescent="0.3">
      <c r="A10" s="9"/>
      <c r="B10" s="9"/>
      <c r="C10" s="9"/>
      <c r="D10" s="10" t="s">
        <v>9</v>
      </c>
      <c r="E10" s="9"/>
      <c r="F10" s="11"/>
      <c r="G10" s="9"/>
      <c r="H10" s="119">
        <v>77572.52</v>
      </c>
      <c r="I10" s="119">
        <v>98413.84</v>
      </c>
      <c r="J10" s="120">
        <v>92449.88</v>
      </c>
      <c r="K10" s="119">
        <v>94241.600000000006</v>
      </c>
      <c r="L10" s="119">
        <v>105950.84</v>
      </c>
    </row>
    <row r="11" spans="1:17" x14ac:dyDescent="0.3">
      <c r="A11" s="9"/>
      <c r="B11" s="9"/>
      <c r="C11" s="9"/>
      <c r="D11" s="9" t="s">
        <v>10</v>
      </c>
      <c r="E11" s="9"/>
      <c r="F11" s="11"/>
      <c r="G11" s="9"/>
      <c r="H11" s="119">
        <v>2219.92</v>
      </c>
      <c r="I11" s="119">
        <v>3195.97</v>
      </c>
      <c r="J11" s="120">
        <v>3512.82</v>
      </c>
      <c r="K11" s="119">
        <v>4432.82</v>
      </c>
      <c r="L11" s="119">
        <v>5352.22</v>
      </c>
    </row>
    <row r="12" spans="1:17" x14ac:dyDescent="0.3">
      <c r="A12" s="9"/>
      <c r="B12" s="9"/>
      <c r="C12" s="9"/>
      <c r="D12" s="9" t="s">
        <v>11</v>
      </c>
      <c r="E12" s="9"/>
      <c r="F12" s="11"/>
      <c r="G12" s="9"/>
      <c r="H12" s="119">
        <v>3930.52</v>
      </c>
      <c r="I12" s="119">
        <v>4670.84</v>
      </c>
      <c r="J12" s="120">
        <v>7352.83</v>
      </c>
      <c r="K12" s="119">
        <v>6422.66</v>
      </c>
      <c r="L12" s="119">
        <v>4021.48</v>
      </c>
    </row>
    <row r="13" spans="1:17" x14ac:dyDescent="0.3">
      <c r="A13" s="9"/>
      <c r="B13" s="9"/>
      <c r="C13" s="9"/>
      <c r="D13" s="9" t="s">
        <v>12</v>
      </c>
      <c r="E13" s="9"/>
      <c r="F13" s="11"/>
      <c r="G13" s="9"/>
      <c r="H13" s="119">
        <v>-4320.5600000000004</v>
      </c>
      <c r="I13" s="119">
        <v>-13653.24</v>
      </c>
      <c r="J13" s="120">
        <v>40257.980000000003</v>
      </c>
      <c r="K13" s="119">
        <v>-10557.71</v>
      </c>
      <c r="L13" s="119">
        <v>1395.61</v>
      </c>
    </row>
    <row r="14" spans="1:17" x14ac:dyDescent="0.3">
      <c r="A14" s="9"/>
      <c r="B14" s="9"/>
      <c r="C14" s="9"/>
      <c r="D14" s="9" t="s">
        <v>13</v>
      </c>
      <c r="E14" s="9"/>
      <c r="F14" s="11"/>
      <c r="G14" s="9"/>
      <c r="H14" s="119">
        <v>6949.56</v>
      </c>
      <c r="I14" s="119">
        <v>7843.89</v>
      </c>
      <c r="J14" s="120">
        <v>10793.89</v>
      </c>
      <c r="K14" s="119">
        <v>9452.44</v>
      </c>
      <c r="L14" s="119">
        <v>8846.52</v>
      </c>
    </row>
    <row r="15" spans="1:17" x14ac:dyDescent="0.3">
      <c r="A15" s="9"/>
      <c r="B15" s="9"/>
      <c r="C15" s="9"/>
      <c r="D15" s="9" t="s">
        <v>14</v>
      </c>
      <c r="E15" s="9"/>
      <c r="F15" s="13"/>
      <c r="G15" s="9"/>
      <c r="H15" s="119">
        <v>4261.32</v>
      </c>
      <c r="I15" s="119">
        <v>4353.84</v>
      </c>
      <c r="J15" s="120">
        <v>4859.5200000000004</v>
      </c>
      <c r="K15" s="119">
        <v>4440.26</v>
      </c>
      <c r="L15" s="119">
        <v>4843.3900000000003</v>
      </c>
    </row>
    <row r="16" spans="1:17" x14ac:dyDescent="0.3">
      <c r="A16" s="10"/>
      <c r="B16" s="10"/>
      <c r="C16" s="10"/>
      <c r="D16" s="9" t="s">
        <v>15</v>
      </c>
      <c r="E16" s="10"/>
      <c r="F16" s="11"/>
      <c r="G16" s="10"/>
      <c r="H16" s="119">
        <v>16245.12</v>
      </c>
      <c r="I16" s="119">
        <v>16412.939999999999</v>
      </c>
      <c r="J16" s="120">
        <v>14597.38</v>
      </c>
      <c r="K16" s="119">
        <v>12602.51</v>
      </c>
      <c r="L16" s="119">
        <v>7758.32</v>
      </c>
    </row>
    <row r="17" spans="1:12" x14ac:dyDescent="0.3">
      <c r="A17" s="9"/>
      <c r="B17" s="9"/>
      <c r="C17" s="9"/>
      <c r="D17" s="9" t="s">
        <v>16</v>
      </c>
      <c r="E17" s="9"/>
      <c r="F17" s="11"/>
      <c r="G17" s="9"/>
      <c r="H17" s="119">
        <v>1242.6199999999999</v>
      </c>
      <c r="I17" s="119">
        <v>1148.05</v>
      </c>
      <c r="J17" s="120">
        <v>1807.97</v>
      </c>
      <c r="K17" s="119">
        <v>2908.21</v>
      </c>
      <c r="L17" s="119">
        <v>2750.21</v>
      </c>
    </row>
    <row r="18" spans="1:12" x14ac:dyDescent="0.3">
      <c r="A18" s="9"/>
      <c r="B18" s="9"/>
      <c r="C18" s="9"/>
      <c r="D18" t="s">
        <v>17</v>
      </c>
      <c r="E18" s="9"/>
      <c r="F18" s="13"/>
      <c r="G18" s="9"/>
      <c r="H18" s="119">
        <v>2421.85</v>
      </c>
      <c r="I18" s="119">
        <v>3360.4</v>
      </c>
      <c r="J18" s="120">
        <v>4185.75</v>
      </c>
      <c r="K18" s="119">
        <v>4108.67</v>
      </c>
      <c r="L18" s="119">
        <v>3373.08</v>
      </c>
    </row>
    <row r="19" spans="1:12" x14ac:dyDescent="0.3">
      <c r="A19" s="10"/>
      <c r="B19" s="10"/>
      <c r="C19" s="10"/>
      <c r="D19" s="10" t="s">
        <v>18</v>
      </c>
      <c r="E19" s="10"/>
      <c r="F19" s="13"/>
      <c r="G19" s="10"/>
      <c r="H19" s="14">
        <f>SUM(H10:H18)</f>
        <v>110522.87</v>
      </c>
      <c r="I19" s="14">
        <f t="shared" ref="I19:L19" si="2">SUM(I10:I18)</f>
        <v>125746.52999999998</v>
      </c>
      <c r="J19" s="14">
        <f t="shared" si="2"/>
        <v>179818.02000000002</v>
      </c>
      <c r="K19" s="14">
        <f t="shared" si="2"/>
        <v>128051.46000000002</v>
      </c>
      <c r="L19" s="14">
        <f t="shared" si="2"/>
        <v>144291.66999999998</v>
      </c>
    </row>
    <row r="20" spans="1:12" x14ac:dyDescent="0.3">
      <c r="A20" s="10"/>
      <c r="B20" s="10"/>
      <c r="C20" s="10"/>
      <c r="D20" s="9" t="s">
        <v>19</v>
      </c>
      <c r="E20" s="10"/>
      <c r="F20" s="11"/>
      <c r="G20" s="10"/>
      <c r="H20" s="119">
        <v>1860.13</v>
      </c>
      <c r="I20" s="119">
        <v>4636.84</v>
      </c>
      <c r="J20" s="120">
        <v>14839.24</v>
      </c>
      <c r="K20" s="119">
        <v>2980.14</v>
      </c>
      <c r="L20" s="119">
        <v>-2211.11</v>
      </c>
    </row>
    <row r="21" spans="1:12" x14ac:dyDescent="0.3">
      <c r="A21" s="10"/>
      <c r="B21" s="10"/>
      <c r="C21" s="10"/>
      <c r="D21" s="9" t="s">
        <v>20</v>
      </c>
      <c r="E21" s="10"/>
      <c r="F21" s="10"/>
      <c r="G21" s="10"/>
      <c r="H21" s="119">
        <v>0</v>
      </c>
      <c r="I21" s="119">
        <v>0</v>
      </c>
      <c r="J21" s="119">
        <v>0</v>
      </c>
      <c r="K21" s="119">
        <v>0</v>
      </c>
      <c r="L21" s="119">
        <v>0</v>
      </c>
    </row>
    <row r="22" spans="1:12" x14ac:dyDescent="0.3">
      <c r="A22" s="9"/>
      <c r="B22" s="9"/>
      <c r="C22" s="9"/>
      <c r="D22" s="9" t="s">
        <v>21</v>
      </c>
      <c r="E22" s="9"/>
      <c r="F22" s="11"/>
      <c r="G22" s="9"/>
      <c r="H22" s="119">
        <v>1860.13</v>
      </c>
      <c r="I22" s="119">
        <v>4636.84</v>
      </c>
      <c r="J22" s="120">
        <v>14839.24</v>
      </c>
      <c r="K22" s="119">
        <v>2980.14</v>
      </c>
      <c r="L22" s="119">
        <v>-2211.11</v>
      </c>
    </row>
    <row r="23" spans="1:12" x14ac:dyDescent="0.3">
      <c r="A23" s="9"/>
      <c r="B23" s="9"/>
      <c r="C23" s="9"/>
      <c r="D23" s="10" t="s">
        <v>22</v>
      </c>
      <c r="E23" s="9"/>
      <c r="F23" s="9"/>
      <c r="G23" s="9"/>
      <c r="H23" s="119"/>
      <c r="I23" s="121"/>
      <c r="J23" s="121"/>
      <c r="K23" s="119"/>
      <c r="L23" s="119"/>
    </row>
    <row r="24" spans="1:12" x14ac:dyDescent="0.3">
      <c r="A24" s="9"/>
      <c r="B24" s="9"/>
      <c r="C24" s="9"/>
      <c r="D24" s="9" t="s">
        <v>23</v>
      </c>
      <c r="E24" s="9"/>
      <c r="F24" s="9"/>
      <c r="G24" s="9"/>
      <c r="H24" s="119">
        <v>309.44</v>
      </c>
      <c r="I24" s="119">
        <v>1272.1600000000001</v>
      </c>
      <c r="J24" s="120">
        <v>3555.61</v>
      </c>
      <c r="K24" s="119">
        <v>793.96</v>
      </c>
      <c r="L24" s="119">
        <v>0</v>
      </c>
    </row>
    <row r="25" spans="1:12" x14ac:dyDescent="0.3">
      <c r="A25" s="9"/>
      <c r="B25" s="9"/>
      <c r="C25" s="9"/>
      <c r="D25" s="9" t="s">
        <v>24</v>
      </c>
      <c r="E25" s="9"/>
      <c r="F25" s="9"/>
      <c r="G25" s="9"/>
      <c r="H25" s="119">
        <v>0</v>
      </c>
      <c r="I25" s="119">
        <v>-952.36</v>
      </c>
      <c r="J25" s="119">
        <v>0</v>
      </c>
      <c r="K25" s="119">
        <v>0</v>
      </c>
      <c r="L25" s="119">
        <v>0</v>
      </c>
    </row>
    <row r="26" spans="1:12" x14ac:dyDescent="0.3">
      <c r="A26" s="9"/>
      <c r="B26" s="9"/>
      <c r="C26" s="9"/>
      <c r="D26" s="9" t="s">
        <v>25</v>
      </c>
      <c r="E26" s="9"/>
      <c r="F26" s="9"/>
      <c r="G26" s="9"/>
      <c r="H26" s="119">
        <v>0</v>
      </c>
      <c r="I26" s="119">
        <v>0</v>
      </c>
      <c r="J26" s="121">
        <v>818.23</v>
      </c>
      <c r="K26" s="119">
        <v>0</v>
      </c>
      <c r="L26" s="119">
        <v>0</v>
      </c>
    </row>
    <row r="27" spans="1:12" x14ac:dyDescent="0.3">
      <c r="A27" s="9"/>
      <c r="B27" s="9"/>
      <c r="C27" s="9"/>
      <c r="D27" s="9" t="s">
        <v>26</v>
      </c>
      <c r="E27" s="9"/>
      <c r="F27" s="9"/>
      <c r="G27" s="9"/>
      <c r="H27" s="119">
        <v>-154.37</v>
      </c>
      <c r="I27" s="119">
        <v>-15.8</v>
      </c>
      <c r="J27" s="121">
        <v>160.6</v>
      </c>
      <c r="K27" s="119">
        <v>71.930000000000007</v>
      </c>
      <c r="L27" s="119">
        <v>-586.16</v>
      </c>
    </row>
    <row r="28" spans="1:12" x14ac:dyDescent="0.3">
      <c r="A28" s="9"/>
      <c r="B28" s="9"/>
      <c r="C28" s="9"/>
      <c r="D28" s="9" t="s">
        <v>233</v>
      </c>
      <c r="E28" s="9"/>
      <c r="F28" s="9"/>
      <c r="G28" s="9"/>
      <c r="H28" s="119">
        <f>H24+H25+H26+H27</f>
        <v>155.07</v>
      </c>
      <c r="I28" s="119">
        <f>I24+I25+I26+I27</f>
        <v>304.00000000000006</v>
      </c>
      <c r="J28" s="119">
        <f>J24+J25+J26+J27</f>
        <v>4534.4400000000005</v>
      </c>
      <c r="K28" s="119">
        <f>K24+K25+K26+K27</f>
        <v>865.8900000000001</v>
      </c>
      <c r="L28" s="119">
        <f t="shared" ref="L28" si="3">L24+L25+L26+L27</f>
        <v>-586.16</v>
      </c>
    </row>
    <row r="29" spans="1:12" x14ac:dyDescent="0.3">
      <c r="A29" s="10"/>
      <c r="B29" s="10"/>
      <c r="C29" s="10"/>
      <c r="D29" s="10" t="s">
        <v>27</v>
      </c>
      <c r="E29" s="10"/>
      <c r="F29" s="13"/>
      <c r="G29" s="10"/>
      <c r="H29" s="14">
        <f t="shared" ref="H29:L29" si="4">H22-SUM(H24:H27)</f>
        <v>1705.0600000000002</v>
      </c>
      <c r="I29" s="13">
        <f t="shared" si="4"/>
        <v>4332.84</v>
      </c>
      <c r="J29" s="13">
        <f t="shared" si="4"/>
        <v>10304.799999999999</v>
      </c>
      <c r="K29" s="14">
        <f t="shared" si="4"/>
        <v>2114.25</v>
      </c>
      <c r="L29" s="14">
        <f t="shared" si="4"/>
        <v>-1624.9500000000003</v>
      </c>
    </row>
    <row r="30" spans="1:12" x14ac:dyDescent="0.3">
      <c r="A30" s="9"/>
      <c r="B30" s="9"/>
      <c r="C30" s="9"/>
      <c r="D30" s="9"/>
      <c r="E30" s="9"/>
      <c r="F30" s="9"/>
      <c r="G30" s="9"/>
      <c r="H30" s="11"/>
      <c r="I30" s="11"/>
      <c r="J30" s="11"/>
      <c r="K30" s="9"/>
      <c r="L30" s="9"/>
    </row>
    <row r="31" spans="1:12" x14ac:dyDescent="0.3">
      <c r="A31" s="9"/>
      <c r="B31" s="9"/>
      <c r="C31" s="9"/>
      <c r="D31" s="9"/>
      <c r="E31" s="9"/>
      <c r="F31" s="9"/>
      <c r="G31" s="9"/>
      <c r="H31" s="9"/>
      <c r="I31" s="11"/>
      <c r="J31" s="9"/>
      <c r="K31" s="9"/>
      <c r="L31" s="9"/>
    </row>
    <row r="32" spans="1:12" x14ac:dyDescent="0.3">
      <c r="A32" s="9"/>
      <c r="B32" s="9"/>
      <c r="C32" s="9"/>
      <c r="D32" s="9"/>
      <c r="E32" s="9"/>
      <c r="F32" s="9"/>
      <c r="G32" s="9"/>
      <c r="H32" s="9"/>
      <c r="I32" s="9"/>
      <c r="J32" s="9"/>
      <c r="K32" s="9"/>
      <c r="L32" s="9"/>
    </row>
    <row r="33" spans="1:12" x14ac:dyDescent="0.3">
      <c r="A33" s="8" t="s">
        <v>28</v>
      </c>
      <c r="B33" s="8"/>
      <c r="C33" s="8"/>
      <c r="D33" s="8"/>
      <c r="E33" s="8"/>
      <c r="F33" s="8"/>
      <c r="G33" s="8"/>
      <c r="H33" s="8">
        <f>H4</f>
        <v>2021</v>
      </c>
      <c r="I33" s="8">
        <f>I4</f>
        <v>2022</v>
      </c>
      <c r="J33" s="8">
        <f>J4</f>
        <v>2023</v>
      </c>
      <c r="K33" s="8">
        <f>K4</f>
        <v>2024</v>
      </c>
      <c r="L33" s="8">
        <f>L4</f>
        <v>2025</v>
      </c>
    </row>
    <row r="34" spans="1:12" x14ac:dyDescent="0.3">
      <c r="A34" s="9"/>
      <c r="B34" s="10" t="s">
        <v>29</v>
      </c>
      <c r="C34" s="9"/>
      <c r="D34" s="9"/>
      <c r="E34" s="9"/>
      <c r="F34" s="9"/>
      <c r="G34" s="9"/>
      <c r="H34" s="9"/>
      <c r="I34" s="9"/>
      <c r="J34" s="9"/>
      <c r="K34" s="9"/>
      <c r="L34" s="9"/>
    </row>
    <row r="35" spans="1:12" x14ac:dyDescent="0.3">
      <c r="A35" s="9"/>
      <c r="B35" s="9"/>
      <c r="C35" s="10" t="s">
        <v>30</v>
      </c>
      <c r="D35" s="9"/>
      <c r="E35" s="9"/>
      <c r="F35" s="9"/>
      <c r="G35" s="9"/>
      <c r="H35" s="11"/>
      <c r="I35" s="11"/>
      <c r="J35" s="11"/>
      <c r="K35" s="11"/>
      <c r="L35" s="9"/>
    </row>
    <row r="36" spans="1:12" x14ac:dyDescent="0.3">
      <c r="A36" s="9"/>
      <c r="B36" s="9"/>
      <c r="C36" s="9"/>
      <c r="D36" s="10" t="s">
        <v>31</v>
      </c>
      <c r="E36" s="9"/>
      <c r="F36" s="9"/>
      <c r="G36" s="9"/>
      <c r="H36" s="9"/>
      <c r="I36" s="11"/>
      <c r="J36" s="11"/>
      <c r="K36" s="11"/>
      <c r="L36" s="9"/>
    </row>
    <row r="37" spans="1:12" x14ac:dyDescent="0.3">
      <c r="A37" s="9"/>
      <c r="B37" s="9"/>
      <c r="C37" s="9"/>
      <c r="D37" s="9" t="s">
        <v>32</v>
      </c>
      <c r="E37" s="9"/>
      <c r="F37" s="11"/>
      <c r="G37" s="9"/>
      <c r="H37" s="119">
        <v>12833.05</v>
      </c>
      <c r="I37" s="119">
        <v>11867.63</v>
      </c>
      <c r="J37" s="119">
        <v>22356.39</v>
      </c>
      <c r="K37" s="119">
        <v>25365.01</v>
      </c>
      <c r="L37" s="119">
        <v>23390.18</v>
      </c>
    </row>
    <row r="38" spans="1:12" x14ac:dyDescent="0.3">
      <c r="A38" s="9"/>
      <c r="B38" s="9"/>
      <c r="C38" s="9"/>
      <c r="D38" s="9" t="s">
        <v>33</v>
      </c>
      <c r="E38" s="9"/>
      <c r="F38" s="9"/>
      <c r="G38" s="9"/>
      <c r="H38" s="119">
        <v>259.61</v>
      </c>
      <c r="I38" s="119">
        <v>11222.81</v>
      </c>
      <c r="J38" s="119">
        <v>3785.97</v>
      </c>
      <c r="K38" s="119">
        <v>7928.47</v>
      </c>
      <c r="L38" s="119">
        <v>14829.11</v>
      </c>
    </row>
    <row r="39" spans="1:12" x14ac:dyDescent="0.3">
      <c r="A39" s="9"/>
      <c r="B39" s="9"/>
      <c r="C39" s="9"/>
      <c r="D39" s="9" t="s">
        <v>34</v>
      </c>
      <c r="E39" s="9"/>
      <c r="F39" s="9"/>
      <c r="G39" s="9"/>
      <c r="H39" s="119">
        <v>7.56</v>
      </c>
      <c r="I39" s="119">
        <v>7.12</v>
      </c>
      <c r="J39" s="119">
        <v>6.7</v>
      </c>
      <c r="K39" s="119">
        <v>6.33</v>
      </c>
      <c r="L39" s="119">
        <v>5.97</v>
      </c>
    </row>
    <row r="40" spans="1:12" x14ac:dyDescent="0.3">
      <c r="A40" s="9"/>
      <c r="B40" s="9"/>
      <c r="C40" s="9"/>
      <c r="D40" s="9" t="s">
        <v>35</v>
      </c>
      <c r="E40" s="9"/>
      <c r="F40" s="9"/>
      <c r="G40" s="9"/>
      <c r="H40" s="119">
        <v>0</v>
      </c>
      <c r="I40" s="119"/>
      <c r="J40" s="119">
        <v>0</v>
      </c>
      <c r="K40" s="119">
        <v>0</v>
      </c>
      <c r="L40" s="119">
        <v>0</v>
      </c>
    </row>
    <row r="41" spans="1:12" x14ac:dyDescent="0.3">
      <c r="A41" s="9"/>
      <c r="B41" s="9"/>
      <c r="C41" s="9"/>
      <c r="D41" s="9" t="s">
        <v>36</v>
      </c>
      <c r="E41" s="9"/>
      <c r="F41" s="9"/>
      <c r="G41" s="9"/>
      <c r="H41" s="119">
        <v>2.8</v>
      </c>
      <c r="I41" s="119">
        <v>2.52</v>
      </c>
      <c r="J41" s="119">
        <v>9.1</v>
      </c>
      <c r="K41" s="119">
        <v>7.65</v>
      </c>
      <c r="L41" s="119">
        <v>3.5200000000291038</v>
      </c>
    </row>
    <row r="42" spans="1:12" x14ac:dyDescent="0.3">
      <c r="A42" s="9"/>
      <c r="B42" s="9"/>
      <c r="C42" s="9"/>
      <c r="D42" s="10" t="s">
        <v>37</v>
      </c>
      <c r="E42" s="9"/>
      <c r="F42" s="9"/>
      <c r="G42" s="9"/>
      <c r="H42" s="119"/>
      <c r="I42" s="119"/>
      <c r="J42" s="119"/>
      <c r="K42" s="119"/>
      <c r="L42" s="119"/>
    </row>
    <row r="43" spans="1:12" x14ac:dyDescent="0.3">
      <c r="A43" s="9"/>
      <c r="B43" s="9"/>
      <c r="C43" s="9"/>
      <c r="D43" s="9" t="s">
        <v>38</v>
      </c>
      <c r="E43" s="9"/>
      <c r="F43" s="9"/>
      <c r="G43" s="9"/>
      <c r="H43" s="119">
        <v>371.85</v>
      </c>
      <c r="I43" s="119">
        <v>366.97</v>
      </c>
      <c r="J43" s="119">
        <v>358.57</v>
      </c>
      <c r="K43" s="119">
        <v>353.57</v>
      </c>
      <c r="L43" s="119">
        <v>508.53</v>
      </c>
    </row>
    <row r="44" spans="1:12" x14ac:dyDescent="0.3">
      <c r="A44" s="9"/>
      <c r="B44" s="9"/>
      <c r="C44" s="9"/>
      <c r="D44" s="9" t="s">
        <v>39</v>
      </c>
      <c r="E44" s="9"/>
      <c r="F44" s="9"/>
      <c r="G44" s="9"/>
      <c r="H44" s="119">
        <v>3.5</v>
      </c>
      <c r="I44" s="119">
        <v>3.5</v>
      </c>
      <c r="J44" s="119">
        <v>0</v>
      </c>
      <c r="K44" s="119">
        <v>0</v>
      </c>
      <c r="L44" s="119">
        <v>0</v>
      </c>
    </row>
    <row r="45" spans="1:12" x14ac:dyDescent="0.3">
      <c r="A45" s="9"/>
      <c r="B45" s="9"/>
      <c r="C45" s="9"/>
      <c r="D45" s="9" t="s">
        <v>40</v>
      </c>
      <c r="E45" s="9"/>
      <c r="F45" s="9"/>
      <c r="G45" s="9"/>
      <c r="H45" s="119">
        <v>326.10000000000002</v>
      </c>
      <c r="I45" s="119">
        <v>612.13</v>
      </c>
      <c r="J45" s="119">
        <v>1670.12</v>
      </c>
      <c r="K45" s="119">
        <v>1877.94</v>
      </c>
      <c r="L45" s="119">
        <v>1949.93</v>
      </c>
    </row>
    <row r="46" spans="1:12" x14ac:dyDescent="0.3">
      <c r="A46" s="9"/>
      <c r="B46" s="9"/>
      <c r="C46" s="10" t="s">
        <v>41</v>
      </c>
      <c r="D46" s="9"/>
      <c r="E46" s="9"/>
      <c r="F46" s="9"/>
      <c r="G46" s="9"/>
      <c r="H46" s="119"/>
      <c r="I46" s="119"/>
      <c r="J46" s="119"/>
      <c r="K46" s="119"/>
      <c r="L46" s="119"/>
    </row>
    <row r="47" spans="1:12" x14ac:dyDescent="0.3">
      <c r="A47" s="9"/>
      <c r="B47" s="9"/>
      <c r="C47" s="9"/>
      <c r="D47" s="9" t="s">
        <v>42</v>
      </c>
      <c r="E47" s="9"/>
      <c r="F47" s="11"/>
      <c r="G47" s="9"/>
      <c r="H47" s="119">
        <v>63511.28</v>
      </c>
      <c r="I47" s="119">
        <v>76948.56</v>
      </c>
      <c r="J47" s="119">
        <v>36530.42</v>
      </c>
      <c r="K47" s="119">
        <v>48506.78</v>
      </c>
      <c r="L47" s="119">
        <v>52631.9</v>
      </c>
    </row>
    <row r="48" spans="1:12" x14ac:dyDescent="0.3">
      <c r="A48" s="9"/>
      <c r="B48" s="9"/>
      <c r="C48" s="9"/>
      <c r="D48" s="10" t="s">
        <v>43</v>
      </c>
      <c r="E48" s="9"/>
      <c r="F48" s="9"/>
      <c r="G48" s="9"/>
      <c r="H48" s="119"/>
      <c r="I48" s="119"/>
      <c r="J48" s="119"/>
      <c r="K48" s="119"/>
      <c r="L48" s="119"/>
    </row>
    <row r="49" spans="1:12" x14ac:dyDescent="0.3">
      <c r="A49" s="9"/>
      <c r="B49" s="9"/>
      <c r="C49" s="9"/>
      <c r="D49" s="9" t="s">
        <v>44</v>
      </c>
      <c r="E49" s="9"/>
      <c r="F49" s="11"/>
      <c r="G49" s="9"/>
      <c r="H49" s="119">
        <v>4933.93</v>
      </c>
      <c r="I49" s="119">
        <v>8887.4599999999991</v>
      </c>
      <c r="J49" s="119">
        <v>18730.41</v>
      </c>
      <c r="K49" s="119">
        <v>14209.78</v>
      </c>
      <c r="L49" s="119">
        <v>12042.87</v>
      </c>
    </row>
    <row r="50" spans="1:12" x14ac:dyDescent="0.3">
      <c r="A50" s="9"/>
      <c r="B50" s="9"/>
      <c r="C50" s="9"/>
      <c r="D50" s="9" t="s">
        <v>45</v>
      </c>
      <c r="E50" s="9"/>
      <c r="F50" s="9"/>
      <c r="G50" s="9"/>
      <c r="H50" s="119">
        <v>542.09</v>
      </c>
      <c r="I50" s="119">
        <v>624.26</v>
      </c>
      <c r="J50" s="119">
        <v>576.04999999999995</v>
      </c>
      <c r="K50" s="119">
        <v>93.84</v>
      </c>
      <c r="L50" s="119">
        <v>168.78</v>
      </c>
    </row>
    <row r="51" spans="1:12" x14ac:dyDescent="0.3">
      <c r="A51" s="9"/>
      <c r="B51" s="9"/>
      <c r="C51" s="9"/>
      <c r="D51" s="9" t="s">
        <v>46</v>
      </c>
      <c r="E51" s="9"/>
      <c r="F51" s="9"/>
      <c r="G51" s="9"/>
      <c r="H51" s="119">
        <v>128.69</v>
      </c>
      <c r="I51" s="119">
        <v>146.38999999999999</v>
      </c>
      <c r="J51" s="119">
        <v>1260.95</v>
      </c>
      <c r="K51" s="119">
        <v>3968.06</v>
      </c>
      <c r="L51" s="119">
        <v>1724.5</v>
      </c>
    </row>
    <row r="52" spans="1:12" x14ac:dyDescent="0.3">
      <c r="A52" s="9"/>
      <c r="B52" s="9"/>
      <c r="C52" s="9"/>
      <c r="D52" s="9" t="s">
        <v>47</v>
      </c>
      <c r="E52" s="9"/>
      <c r="F52" s="9"/>
      <c r="G52" s="9"/>
      <c r="H52" s="119">
        <v>125.8</v>
      </c>
      <c r="I52" s="119">
        <v>145.01</v>
      </c>
      <c r="J52" s="119">
        <v>166.29</v>
      </c>
      <c r="K52" s="119">
        <v>330.02</v>
      </c>
      <c r="L52" s="119">
        <v>276.83999999999997</v>
      </c>
    </row>
    <row r="53" spans="1:12" x14ac:dyDescent="0.3">
      <c r="A53" s="9"/>
      <c r="B53" s="9"/>
      <c r="C53" s="9"/>
      <c r="D53" s="9" t="s">
        <v>48</v>
      </c>
      <c r="E53" s="9"/>
      <c r="F53" s="9"/>
      <c r="G53" s="9"/>
      <c r="H53" s="119">
        <v>100.78</v>
      </c>
      <c r="I53" s="119">
        <v>231.49</v>
      </c>
      <c r="J53" s="119">
        <v>0</v>
      </c>
      <c r="K53" s="119">
        <v>0</v>
      </c>
      <c r="L53" s="119">
        <v>0</v>
      </c>
    </row>
    <row r="54" spans="1:12" x14ac:dyDescent="0.3">
      <c r="A54" s="9"/>
      <c r="B54" s="9"/>
      <c r="C54" s="9"/>
      <c r="D54" s="9" t="s">
        <v>49</v>
      </c>
      <c r="E54" s="9"/>
      <c r="F54" s="13"/>
      <c r="G54" s="9"/>
      <c r="H54" s="119">
        <v>6195.7</v>
      </c>
      <c r="I54" s="119">
        <v>5298.96</v>
      </c>
      <c r="J54" s="119">
        <v>6186.97</v>
      </c>
      <c r="K54" s="119">
        <v>5877.63</v>
      </c>
      <c r="L54" s="119">
        <v>5530.53</v>
      </c>
    </row>
    <row r="55" spans="1:12" x14ac:dyDescent="0.3">
      <c r="A55" s="10"/>
      <c r="B55" s="10"/>
      <c r="C55" s="10"/>
      <c r="D55" s="10" t="s">
        <v>50</v>
      </c>
      <c r="E55" s="10"/>
      <c r="F55" s="13"/>
      <c r="G55" s="10"/>
      <c r="H55" s="14">
        <f>SUM(H37:H54)</f>
        <v>89342.739999999991</v>
      </c>
      <c r="I55" s="14">
        <f t="shared" ref="I55:L55" si="5">SUM(I37:I54)</f>
        <v>116364.80999999998</v>
      </c>
      <c r="J55" s="14">
        <f t="shared" si="5"/>
        <v>91637.939999999988</v>
      </c>
      <c r="K55" s="14">
        <f t="shared" si="5"/>
        <v>108525.08</v>
      </c>
      <c r="L55" s="14">
        <f t="shared" si="5"/>
        <v>113062.66000000002</v>
      </c>
    </row>
    <row r="56" spans="1:12" x14ac:dyDescent="0.3">
      <c r="A56" s="9"/>
      <c r="B56" s="10" t="s">
        <v>51</v>
      </c>
      <c r="C56" s="9"/>
      <c r="D56" s="9"/>
      <c r="E56" s="9"/>
      <c r="F56" s="9"/>
      <c r="G56" s="9"/>
      <c r="H56" s="12"/>
      <c r="I56" s="12"/>
      <c r="J56" s="12"/>
      <c r="K56" s="12"/>
      <c r="L56" s="12"/>
    </row>
    <row r="57" spans="1:12" x14ac:dyDescent="0.3">
      <c r="A57" s="9"/>
      <c r="B57" s="9"/>
      <c r="C57" s="10" t="s">
        <v>52</v>
      </c>
      <c r="D57" s="9"/>
      <c r="E57" s="9"/>
      <c r="F57" s="9"/>
      <c r="G57" s="9"/>
      <c r="H57" s="12"/>
      <c r="I57" s="12"/>
      <c r="J57" s="12"/>
      <c r="K57" s="12"/>
      <c r="L57" s="12"/>
    </row>
    <row r="58" spans="1:12" x14ac:dyDescent="0.3">
      <c r="A58" s="9"/>
      <c r="B58" s="9"/>
      <c r="C58" s="9"/>
      <c r="D58" s="9" t="s">
        <v>53</v>
      </c>
      <c r="E58" s="9"/>
      <c r="F58" s="11"/>
      <c r="G58" s="9"/>
      <c r="H58" s="119">
        <v>1125</v>
      </c>
      <c r="I58" s="119">
        <v>1125</v>
      </c>
      <c r="J58" s="119">
        <v>1125</v>
      </c>
      <c r="K58" s="119">
        <v>1125</v>
      </c>
      <c r="L58" s="119">
        <v>1125</v>
      </c>
    </row>
    <row r="59" spans="1:12" x14ac:dyDescent="0.3">
      <c r="A59" s="9"/>
      <c r="B59" s="9"/>
      <c r="C59" s="9"/>
      <c r="D59" s="10" t="s">
        <v>54</v>
      </c>
      <c r="E59" s="9"/>
      <c r="F59" s="11"/>
      <c r="G59" s="9"/>
      <c r="H59" s="119"/>
      <c r="I59" s="119"/>
      <c r="J59" s="119"/>
      <c r="K59" s="119"/>
      <c r="L59" s="119"/>
    </row>
    <row r="60" spans="1:12" x14ac:dyDescent="0.3">
      <c r="A60" s="9"/>
      <c r="B60" s="9"/>
      <c r="C60" s="9"/>
      <c r="D60" s="9" t="s">
        <v>55</v>
      </c>
      <c r="E60" s="9"/>
      <c r="F60" s="11"/>
      <c r="G60" s="9"/>
      <c r="H60" s="119">
        <v>1575</v>
      </c>
      <c r="I60" s="119">
        <v>1575</v>
      </c>
      <c r="J60" s="119">
        <v>1575</v>
      </c>
      <c r="K60" s="119">
        <v>1575</v>
      </c>
      <c r="L60" s="119">
        <v>1575</v>
      </c>
    </row>
    <row r="61" spans="1:12" x14ac:dyDescent="0.3">
      <c r="A61" s="9"/>
      <c r="B61" s="9"/>
      <c r="C61" s="9"/>
      <c r="D61" s="9" t="s">
        <v>56</v>
      </c>
      <c r="E61" s="9"/>
      <c r="F61" s="11"/>
      <c r="G61" s="9"/>
      <c r="H61" s="119">
        <v>2969.45</v>
      </c>
      <c r="I61" s="119">
        <v>7077.33</v>
      </c>
      <c r="J61" s="119">
        <v>17100.87</v>
      </c>
      <c r="K61" s="119">
        <v>18652.62</v>
      </c>
      <c r="L61" s="119">
        <v>16746.45</v>
      </c>
    </row>
    <row r="62" spans="1:12" x14ac:dyDescent="0.3">
      <c r="A62" s="9"/>
      <c r="B62" s="9"/>
      <c r="C62" s="9"/>
      <c r="D62" s="9" t="s">
        <v>57</v>
      </c>
      <c r="E62" s="9"/>
      <c r="F62" s="11"/>
      <c r="G62" s="9"/>
      <c r="H62" s="119">
        <v>2391.6</v>
      </c>
      <c r="I62" s="119">
        <v>2391.6</v>
      </c>
      <c r="J62" s="119">
        <v>2391.6</v>
      </c>
      <c r="K62" s="119">
        <v>2392.67</v>
      </c>
      <c r="L62" s="119">
        <v>2392.67</v>
      </c>
    </row>
    <row r="63" spans="1:12" x14ac:dyDescent="0.3">
      <c r="A63" s="10"/>
      <c r="B63" s="10"/>
      <c r="C63" s="10"/>
      <c r="D63" s="9" t="s">
        <v>58</v>
      </c>
      <c r="E63" s="9"/>
      <c r="F63" s="9"/>
      <c r="G63" s="9"/>
      <c r="H63" s="119">
        <v>-11.06</v>
      </c>
      <c r="I63" s="119">
        <v>7.31</v>
      </c>
      <c r="J63" s="119">
        <v>-109.03</v>
      </c>
      <c r="K63" s="119">
        <v>-248.48</v>
      </c>
      <c r="L63" s="119">
        <v>-239.01</v>
      </c>
    </row>
    <row r="64" spans="1:12" x14ac:dyDescent="0.3">
      <c r="A64" s="9"/>
      <c r="B64" s="9"/>
      <c r="C64" s="10" t="s">
        <v>59</v>
      </c>
      <c r="D64" s="9"/>
      <c r="E64" s="9"/>
      <c r="F64" s="9"/>
      <c r="G64" s="9"/>
      <c r="H64" s="119"/>
      <c r="I64" s="119"/>
      <c r="J64" s="119"/>
      <c r="K64" s="119"/>
      <c r="L64" s="119"/>
    </row>
    <row r="65" spans="1:12" x14ac:dyDescent="0.3">
      <c r="A65" s="9"/>
      <c r="B65" s="9"/>
      <c r="C65" s="9"/>
      <c r="D65" s="10" t="s">
        <v>60</v>
      </c>
      <c r="E65" s="9"/>
      <c r="F65" s="11"/>
      <c r="G65" s="9"/>
      <c r="H65" s="119"/>
      <c r="I65" s="119"/>
      <c r="J65" s="119"/>
      <c r="K65" s="119"/>
      <c r="L65" s="119"/>
    </row>
    <row r="66" spans="1:12" x14ac:dyDescent="0.3">
      <c r="A66" s="9"/>
      <c r="B66" s="9"/>
      <c r="C66" s="9"/>
      <c r="D66" s="9" t="s">
        <v>61</v>
      </c>
      <c r="E66" s="9"/>
      <c r="F66" s="9"/>
      <c r="G66" s="9"/>
      <c r="H66" s="119">
        <v>7038.43</v>
      </c>
      <c r="I66" s="119">
        <v>12410.12</v>
      </c>
      <c r="J66" s="119">
        <v>14004.32</v>
      </c>
      <c r="K66" s="119">
        <v>8364.58</v>
      </c>
      <c r="L66" s="119">
        <v>9210.2999999999993</v>
      </c>
    </row>
    <row r="67" spans="1:12" x14ac:dyDescent="0.3">
      <c r="A67" s="9"/>
      <c r="B67" s="9"/>
      <c r="C67" s="9"/>
      <c r="D67" s="9" t="s">
        <v>62</v>
      </c>
      <c r="E67" s="9"/>
      <c r="F67" s="9"/>
      <c r="G67" s="9"/>
      <c r="H67" s="119">
        <v>371.76</v>
      </c>
      <c r="I67" s="119">
        <v>364.41</v>
      </c>
      <c r="J67" s="119">
        <v>385.7</v>
      </c>
      <c r="K67" s="119">
        <v>343.88</v>
      </c>
      <c r="L67" s="119">
        <v>364.72</v>
      </c>
    </row>
    <row r="68" spans="1:12" x14ac:dyDescent="0.3">
      <c r="A68" s="9"/>
      <c r="B68" s="9"/>
      <c r="C68" s="9"/>
      <c r="D68" s="9" t="s">
        <v>63</v>
      </c>
      <c r="E68" s="9"/>
      <c r="F68" s="9"/>
      <c r="G68" s="9"/>
      <c r="H68" s="119">
        <v>934.26</v>
      </c>
      <c r="I68" s="119">
        <v>926.76</v>
      </c>
      <c r="J68" s="119">
        <v>1046.99</v>
      </c>
      <c r="K68" s="119">
        <v>1070.92</v>
      </c>
      <c r="L68" s="119">
        <v>487.94</v>
      </c>
    </row>
    <row r="69" spans="1:12" x14ac:dyDescent="0.3">
      <c r="A69" s="9"/>
      <c r="B69" s="10"/>
      <c r="C69" s="10" t="s">
        <v>64</v>
      </c>
      <c r="D69" s="9"/>
      <c r="E69" s="9"/>
      <c r="F69" s="9"/>
      <c r="G69" s="9"/>
      <c r="H69" s="119"/>
      <c r="I69" s="119"/>
      <c r="J69" s="119"/>
      <c r="K69" s="119"/>
      <c r="L69" s="119"/>
    </row>
    <row r="70" spans="1:12" x14ac:dyDescent="0.3">
      <c r="A70" s="9"/>
      <c r="B70" s="9"/>
      <c r="C70" s="9"/>
      <c r="D70" s="10" t="s">
        <v>60</v>
      </c>
      <c r="E70" s="9"/>
      <c r="F70" s="11"/>
      <c r="G70" s="9"/>
      <c r="H70" s="119"/>
      <c r="I70" s="119"/>
      <c r="J70" s="119"/>
      <c r="K70" s="119"/>
      <c r="L70" s="119"/>
    </row>
    <row r="71" spans="1:12" x14ac:dyDescent="0.3">
      <c r="A71" s="9"/>
      <c r="B71" s="9"/>
      <c r="C71" s="9"/>
      <c r="D71" s="9" t="s">
        <v>65</v>
      </c>
      <c r="E71" s="9"/>
      <c r="F71" s="9"/>
      <c r="G71" s="9"/>
      <c r="H71" s="119">
        <v>48377.69</v>
      </c>
      <c r="I71" s="119">
        <v>51558.21</v>
      </c>
      <c r="J71" s="119">
        <v>20714.03</v>
      </c>
      <c r="K71" s="119">
        <v>43019.25</v>
      </c>
      <c r="L71" s="119">
        <v>51887.66</v>
      </c>
    </row>
    <row r="72" spans="1:12" x14ac:dyDescent="0.3">
      <c r="A72" s="9"/>
      <c r="B72" s="9"/>
      <c r="C72" s="9"/>
      <c r="D72" s="10" t="s">
        <v>66</v>
      </c>
      <c r="E72" s="9"/>
      <c r="F72" s="9"/>
      <c r="G72" s="9"/>
      <c r="H72" s="119"/>
      <c r="I72" s="119"/>
      <c r="J72" s="119"/>
      <c r="K72" s="119"/>
      <c r="L72" s="119"/>
    </row>
    <row r="73" spans="1:12" x14ac:dyDescent="0.3">
      <c r="A73" s="9"/>
      <c r="B73" s="9"/>
      <c r="C73" s="9"/>
      <c r="D73" s="9" t="s">
        <v>67</v>
      </c>
      <c r="E73" s="9"/>
      <c r="F73" s="9"/>
      <c r="G73" s="9"/>
      <c r="H73" s="119">
        <v>19.66</v>
      </c>
      <c r="I73" s="119">
        <v>81.03</v>
      </c>
      <c r="J73" s="119">
        <v>575.79</v>
      </c>
      <c r="K73" s="119">
        <v>40.25</v>
      </c>
      <c r="L73" s="119">
        <v>122.97</v>
      </c>
    </row>
    <row r="74" spans="1:12" x14ac:dyDescent="0.3">
      <c r="A74" s="9"/>
      <c r="B74" s="9"/>
      <c r="C74" s="9"/>
      <c r="D74" s="9" t="s">
        <v>68</v>
      </c>
      <c r="E74" s="9"/>
      <c r="F74" s="9"/>
      <c r="G74" s="9"/>
      <c r="H74" s="119">
        <v>11517.06</v>
      </c>
      <c r="I74" s="119">
        <v>22349.34</v>
      </c>
      <c r="J74" s="119">
        <v>14404.08</v>
      </c>
      <c r="K74" s="119">
        <v>16704.41</v>
      </c>
      <c r="L74" s="119">
        <v>11179.11</v>
      </c>
    </row>
    <row r="75" spans="1:12" x14ac:dyDescent="0.3">
      <c r="A75" s="9"/>
      <c r="B75" s="9"/>
      <c r="C75" s="9"/>
      <c r="D75" s="9" t="s">
        <v>69</v>
      </c>
      <c r="E75" s="9"/>
      <c r="F75" s="9"/>
      <c r="G75" s="9"/>
      <c r="H75" s="119">
        <v>0</v>
      </c>
      <c r="I75" s="119">
        <v>0</v>
      </c>
      <c r="J75" s="119">
        <v>0</v>
      </c>
      <c r="K75" s="119">
        <v>0</v>
      </c>
      <c r="L75" s="119">
        <v>0</v>
      </c>
    </row>
    <row r="76" spans="1:12" x14ac:dyDescent="0.3">
      <c r="A76" s="9"/>
      <c r="B76" s="9"/>
      <c r="C76" s="9"/>
      <c r="D76" s="9" t="s">
        <v>67</v>
      </c>
      <c r="E76" s="9"/>
      <c r="F76" s="9"/>
      <c r="G76" s="9"/>
      <c r="H76" s="119">
        <v>0</v>
      </c>
      <c r="I76" s="119">
        <v>0</v>
      </c>
      <c r="J76" s="119">
        <v>0</v>
      </c>
      <c r="K76" s="119">
        <v>0</v>
      </c>
      <c r="L76" s="119">
        <v>0</v>
      </c>
    </row>
    <row r="77" spans="1:12" x14ac:dyDescent="0.3">
      <c r="A77" s="9"/>
      <c r="B77" s="9"/>
      <c r="C77" s="9"/>
      <c r="D77" s="9" t="s">
        <v>68</v>
      </c>
      <c r="E77" s="9"/>
      <c r="F77" s="9"/>
      <c r="G77" s="9"/>
      <c r="H77" s="119">
        <v>213.09</v>
      </c>
      <c r="I77" s="119">
        <v>738.66</v>
      </c>
      <c r="J77" s="119">
        <v>631.79</v>
      </c>
      <c r="K77" s="119">
        <v>1756.21</v>
      </c>
      <c r="L77" s="119">
        <v>528.44000000000005</v>
      </c>
    </row>
    <row r="78" spans="1:12" x14ac:dyDescent="0.3">
      <c r="A78" s="9"/>
      <c r="B78" s="9"/>
      <c r="C78" s="9"/>
      <c r="D78" s="9" t="s">
        <v>70</v>
      </c>
      <c r="E78" s="9"/>
      <c r="F78" s="9"/>
      <c r="G78" s="9"/>
      <c r="H78" s="119">
        <v>6398.2</v>
      </c>
      <c r="I78" s="119">
        <v>6922.74</v>
      </c>
      <c r="J78" s="119">
        <v>8461.35</v>
      </c>
      <c r="K78" s="119">
        <v>6806.59</v>
      </c>
      <c r="L78" s="119">
        <v>8515.7099999999991</v>
      </c>
    </row>
    <row r="79" spans="1:12" x14ac:dyDescent="0.3">
      <c r="A79" s="9"/>
      <c r="B79" s="9"/>
      <c r="C79" s="9"/>
      <c r="D79" s="9" t="s">
        <v>71</v>
      </c>
      <c r="E79" s="9"/>
      <c r="F79" s="9"/>
      <c r="G79" s="9"/>
      <c r="H79" s="119">
        <v>1459.31</v>
      </c>
      <c r="I79" s="119">
        <v>1367.22</v>
      </c>
      <c r="J79" s="119">
        <v>1123.67</v>
      </c>
      <c r="K79" s="119">
        <v>1466.98</v>
      </c>
      <c r="L79" s="119">
        <v>1693.2</v>
      </c>
    </row>
    <row r="80" spans="1:12" x14ac:dyDescent="0.3">
      <c r="A80" s="9"/>
      <c r="B80" s="9"/>
      <c r="C80" s="9"/>
      <c r="D80" s="9" t="s">
        <v>72</v>
      </c>
      <c r="E80" s="9"/>
      <c r="F80" s="9"/>
      <c r="G80" s="9"/>
      <c r="H80" s="119">
        <v>4963.29</v>
      </c>
      <c r="I80" s="119">
        <v>7470.08</v>
      </c>
      <c r="J80" s="119">
        <v>5652.85</v>
      </c>
      <c r="K80" s="119">
        <v>4820.54</v>
      </c>
      <c r="L80" s="119">
        <v>7461.19</v>
      </c>
    </row>
    <row r="81" spans="1:12" x14ac:dyDescent="0.3">
      <c r="A81" s="9"/>
      <c r="B81" s="9"/>
      <c r="C81" s="9"/>
      <c r="D81" s="9" t="s">
        <v>73</v>
      </c>
      <c r="E81" s="9"/>
      <c r="F81" s="9"/>
      <c r="G81" s="9"/>
      <c r="H81" s="119">
        <v>0</v>
      </c>
      <c r="I81" s="119">
        <v>0</v>
      </c>
      <c r="J81" s="119">
        <v>2553.9299999999998</v>
      </c>
      <c r="K81" s="119">
        <v>634.66</v>
      </c>
      <c r="L81" s="119">
        <v>11.31</v>
      </c>
    </row>
    <row r="82" spans="1:12" x14ac:dyDescent="0.3">
      <c r="A82" s="10"/>
      <c r="B82" s="10"/>
      <c r="C82" s="10"/>
      <c r="D82" s="10" t="s">
        <v>74</v>
      </c>
      <c r="E82" s="10"/>
      <c r="F82" s="10"/>
      <c r="G82" s="10"/>
      <c r="H82" s="12">
        <f>SUM(H66:H81)</f>
        <v>81292.749999999985</v>
      </c>
      <c r="I82" s="12">
        <f t="shared" ref="I82:L82" si="6">SUM(I66:I81)</f>
        <v>104188.57</v>
      </c>
      <c r="J82" s="12">
        <f t="shared" si="6"/>
        <v>69554.5</v>
      </c>
      <c r="K82" s="12">
        <f t="shared" si="6"/>
        <v>85028.26999999999</v>
      </c>
      <c r="L82" s="12">
        <f t="shared" si="6"/>
        <v>91462.55</v>
      </c>
    </row>
    <row r="83" spans="1:12" x14ac:dyDescent="0.3">
      <c r="A83" s="10"/>
      <c r="B83" s="10"/>
      <c r="C83" s="10"/>
      <c r="D83" s="10" t="s">
        <v>75</v>
      </c>
      <c r="E83" s="10"/>
      <c r="F83" s="10"/>
      <c r="G83" s="10"/>
      <c r="H83" s="14">
        <f>SUM(H82,H58:H63)</f>
        <v>89342.739999999991</v>
      </c>
      <c r="I83" s="14">
        <f t="shared" ref="I83:L83" si="7">SUM(I82,I58:I63)</f>
        <v>116364.81000000001</v>
      </c>
      <c r="J83" s="14">
        <f t="shared" si="7"/>
        <v>91637.94</v>
      </c>
      <c r="K83" s="14">
        <f t="shared" si="7"/>
        <v>108525.07999999999</v>
      </c>
      <c r="L83" s="14">
        <f t="shared" si="7"/>
        <v>113062.66</v>
      </c>
    </row>
    <row r="84" spans="1:12" x14ac:dyDescent="0.3">
      <c r="A84" s="10"/>
      <c r="B84" s="10"/>
      <c r="C84" s="10"/>
      <c r="D84" s="10"/>
      <c r="E84" s="10"/>
      <c r="F84" s="10"/>
      <c r="G84" s="10"/>
      <c r="H84" s="10"/>
      <c r="I84" s="10"/>
      <c r="J84" s="10"/>
      <c r="K84" s="10"/>
      <c r="L84" s="10"/>
    </row>
    <row r="85" spans="1:12" x14ac:dyDescent="0.3">
      <c r="A85" s="10"/>
      <c r="B85" s="10"/>
      <c r="C85" s="10"/>
      <c r="D85" s="10"/>
      <c r="E85" s="10"/>
      <c r="F85" s="10"/>
      <c r="G85" s="10"/>
      <c r="H85" s="14"/>
      <c r="I85" s="14"/>
      <c r="J85" s="14"/>
      <c r="K85" s="14"/>
      <c r="L85" s="14"/>
    </row>
    <row r="86" spans="1:12" x14ac:dyDescent="0.3">
      <c r="A86" s="9"/>
      <c r="B86" s="9"/>
      <c r="C86" s="9"/>
      <c r="D86" s="9"/>
      <c r="E86" s="9"/>
      <c r="F86" s="9"/>
      <c r="G86" s="9"/>
      <c r="H86" s="9"/>
      <c r="I86" s="9"/>
      <c r="J86" s="9"/>
      <c r="K86" s="9"/>
      <c r="L86" s="9"/>
    </row>
    <row r="87" spans="1:12" x14ac:dyDescent="0.3">
      <c r="A87" s="8" t="s">
        <v>76</v>
      </c>
      <c r="B87" s="8"/>
      <c r="C87" s="8"/>
      <c r="D87" s="8"/>
      <c r="E87" s="8"/>
      <c r="F87" s="8"/>
      <c r="G87" s="8"/>
      <c r="H87" s="8">
        <f t="shared" ref="H87:L87" si="8">H4</f>
        <v>2021</v>
      </c>
      <c r="I87" s="8">
        <f t="shared" si="8"/>
        <v>2022</v>
      </c>
      <c r="J87" s="8">
        <f t="shared" si="8"/>
        <v>2023</v>
      </c>
      <c r="K87" s="8">
        <f t="shared" si="8"/>
        <v>2024</v>
      </c>
      <c r="L87" s="8">
        <f t="shared" si="8"/>
        <v>2025</v>
      </c>
    </row>
    <row r="88" spans="1:12" x14ac:dyDescent="0.3">
      <c r="A88" s="9"/>
      <c r="B88" s="9"/>
      <c r="C88" s="9"/>
      <c r="D88" s="9" t="s">
        <v>77</v>
      </c>
      <c r="E88" s="9"/>
      <c r="F88" s="9"/>
      <c r="G88" s="9"/>
      <c r="H88" s="119">
        <v>1860.13</v>
      </c>
      <c r="I88" s="119">
        <v>4636.84</v>
      </c>
      <c r="J88" s="119">
        <v>14839.24</v>
      </c>
      <c r="K88" s="119">
        <v>2980.14</v>
      </c>
      <c r="L88" s="119">
        <v>-2211.11</v>
      </c>
    </row>
    <row r="89" spans="1:12" x14ac:dyDescent="0.3">
      <c r="A89" s="9"/>
      <c r="B89" s="9"/>
      <c r="C89" s="9"/>
      <c r="D89" s="10" t="s">
        <v>78</v>
      </c>
      <c r="E89" s="9"/>
      <c r="F89" s="9"/>
      <c r="G89" s="9"/>
      <c r="H89" s="119"/>
      <c r="I89" s="119"/>
      <c r="J89" s="119"/>
      <c r="K89" s="119"/>
      <c r="L89" s="119"/>
    </row>
    <row r="90" spans="1:12" x14ac:dyDescent="0.3">
      <c r="A90" s="9"/>
      <c r="B90" s="9"/>
      <c r="C90" s="9"/>
      <c r="D90" s="9" t="s">
        <v>79</v>
      </c>
      <c r="E90" s="9"/>
      <c r="F90" s="9"/>
      <c r="G90" s="9"/>
      <c r="H90" s="119">
        <v>1242.6199999999999</v>
      </c>
      <c r="I90" s="119">
        <v>1148.05</v>
      </c>
      <c r="J90" s="119">
        <v>1807.98</v>
      </c>
      <c r="K90" s="119">
        <v>2908.21</v>
      </c>
      <c r="L90" s="119">
        <v>2750.2</v>
      </c>
    </row>
    <row r="91" spans="1:12" x14ac:dyDescent="0.3">
      <c r="A91" s="9"/>
      <c r="B91" s="9"/>
      <c r="C91" s="9"/>
      <c r="D91" s="9" t="s">
        <v>80</v>
      </c>
      <c r="E91" s="9"/>
      <c r="F91" s="9"/>
      <c r="G91" s="9"/>
      <c r="H91" s="119">
        <v>6.03</v>
      </c>
      <c r="I91" s="119">
        <v>143.74</v>
      </c>
      <c r="J91" s="119">
        <v>53.53</v>
      </c>
      <c r="K91" s="119">
        <v>90.97</v>
      </c>
      <c r="L91" s="119">
        <v>21.63</v>
      </c>
    </row>
    <row r="92" spans="1:12" x14ac:dyDescent="0.3">
      <c r="A92" s="9"/>
      <c r="B92" s="9"/>
      <c r="C92" s="9"/>
      <c r="D92" s="9" t="s">
        <v>81</v>
      </c>
      <c r="E92" s="9"/>
      <c r="F92" s="9"/>
      <c r="G92" s="9"/>
      <c r="H92" s="119">
        <v>21.67</v>
      </c>
      <c r="I92" s="119">
        <v>144.57</v>
      </c>
      <c r="J92" s="119">
        <v>9.23</v>
      </c>
      <c r="K92" s="119">
        <v>0.03</v>
      </c>
      <c r="L92" s="119">
        <v>0.02</v>
      </c>
    </row>
    <row r="93" spans="1:12" x14ac:dyDescent="0.3">
      <c r="A93" s="9"/>
      <c r="B93" s="9"/>
      <c r="C93" s="9"/>
      <c r="D93" s="9" t="s">
        <v>82</v>
      </c>
      <c r="E93" s="9"/>
      <c r="F93" s="9"/>
      <c r="G93" s="9"/>
      <c r="H93" s="119">
        <v>15.49</v>
      </c>
      <c r="I93" s="119">
        <v>34.83</v>
      </c>
      <c r="J93" s="119">
        <v>0</v>
      </c>
      <c r="K93" s="119">
        <v>19.149999999999999</v>
      </c>
      <c r="L93" s="119">
        <v>1.36</v>
      </c>
    </row>
    <row r="94" spans="1:12" x14ac:dyDescent="0.3">
      <c r="A94" s="9"/>
      <c r="B94" s="9"/>
      <c r="C94" s="9"/>
      <c r="D94" s="9" t="s">
        <v>83</v>
      </c>
      <c r="E94" s="9"/>
      <c r="F94" s="9"/>
      <c r="G94" s="9"/>
      <c r="H94" s="119">
        <v>4261.3</v>
      </c>
      <c r="I94" s="119">
        <v>4353.84</v>
      </c>
      <c r="J94" s="119">
        <v>4834.5200000000004</v>
      </c>
      <c r="K94" s="119">
        <v>4440.26</v>
      </c>
      <c r="L94" s="119">
        <v>4843.38</v>
      </c>
    </row>
    <row r="95" spans="1:12" x14ac:dyDescent="0.3">
      <c r="A95" s="9"/>
      <c r="B95" s="9"/>
      <c r="C95" s="9"/>
      <c r="D95" s="9" t="s">
        <v>84</v>
      </c>
      <c r="E95" s="9"/>
      <c r="F95" s="9"/>
      <c r="G95" s="9"/>
      <c r="H95" s="119">
        <v>4.62</v>
      </c>
      <c r="I95" s="119">
        <v>7.31</v>
      </c>
      <c r="J95" s="119">
        <v>9.7100000000000009</v>
      </c>
      <c r="K95" s="119">
        <v>10.85</v>
      </c>
      <c r="L95" s="119">
        <v>-239.23</v>
      </c>
    </row>
    <row r="96" spans="1:12" x14ac:dyDescent="0.3">
      <c r="A96" s="9"/>
      <c r="B96" s="9"/>
      <c r="C96" s="9"/>
      <c r="D96" s="9" t="s">
        <v>85</v>
      </c>
      <c r="E96" s="9"/>
      <c r="F96" s="9"/>
      <c r="G96" s="9"/>
      <c r="H96" s="119">
        <v>-67.94</v>
      </c>
      <c r="I96" s="119">
        <v>-13.62</v>
      </c>
      <c r="J96" s="119">
        <v>-25.64</v>
      </c>
      <c r="K96" s="119">
        <v>-253.09</v>
      </c>
      <c r="L96" s="119">
        <v>-176.89</v>
      </c>
    </row>
    <row r="97" spans="1:13" s="10" customFormat="1" x14ac:dyDescent="0.3">
      <c r="D97" s="10" t="s">
        <v>86</v>
      </c>
      <c r="H97" s="14">
        <f>SUM(H88:H96)</f>
        <v>7343.92</v>
      </c>
      <c r="I97" s="14">
        <f t="shared" ref="I97:L97" si="9">SUM(I88:I96)</f>
        <v>10455.559999999998</v>
      </c>
      <c r="J97" s="14">
        <f t="shared" si="9"/>
        <v>21528.57</v>
      </c>
      <c r="K97" s="14">
        <f t="shared" si="9"/>
        <v>10196.52</v>
      </c>
      <c r="L97" s="14">
        <f t="shared" si="9"/>
        <v>4989.3599999999997</v>
      </c>
      <c r="M97" s="14"/>
    </row>
    <row r="98" spans="1:13" x14ac:dyDescent="0.3">
      <c r="A98" s="9"/>
      <c r="B98" s="9"/>
      <c r="C98" s="9"/>
      <c r="D98" s="9" t="s">
        <v>87</v>
      </c>
      <c r="E98" s="9"/>
      <c r="F98" s="9"/>
      <c r="G98" s="9"/>
      <c r="H98" s="119">
        <v>-2975.16</v>
      </c>
      <c r="I98" s="119">
        <v>-3703.61</v>
      </c>
      <c r="J98" s="119">
        <v>-11675.45</v>
      </c>
      <c r="K98" s="119">
        <v>468.14</v>
      </c>
      <c r="L98" s="119">
        <v>3990.86</v>
      </c>
    </row>
    <row r="99" spans="1:13" x14ac:dyDescent="0.3">
      <c r="A99" s="9"/>
      <c r="B99" s="9"/>
      <c r="C99" s="9"/>
      <c r="D99" s="9" t="s">
        <v>88</v>
      </c>
      <c r="E99" s="9"/>
      <c r="F99" s="9"/>
      <c r="G99" s="9"/>
      <c r="H99" s="119">
        <v>-4734.6099999999997</v>
      </c>
      <c r="I99" s="119">
        <v>-13437.27</v>
      </c>
      <c r="J99" s="119">
        <v>40418.14</v>
      </c>
      <c r="K99" s="119">
        <v>-11976.36</v>
      </c>
      <c r="L99" s="119">
        <v>-4125.13</v>
      </c>
    </row>
    <row r="100" spans="1:13" x14ac:dyDescent="0.3">
      <c r="A100" s="9"/>
      <c r="B100" s="9"/>
      <c r="C100" s="9"/>
      <c r="D100" s="9" t="s">
        <v>89</v>
      </c>
      <c r="E100" s="9"/>
      <c r="F100" s="9"/>
      <c r="G100" s="9"/>
      <c r="H100" s="119">
        <v>-7459.68</v>
      </c>
      <c r="I100" s="119">
        <v>16326.45</v>
      </c>
      <c r="J100" s="119">
        <v>-7963.4</v>
      </c>
      <c r="K100" s="119">
        <v>-524.52</v>
      </c>
      <c r="L100" s="119">
        <v>-2690.39</v>
      </c>
    </row>
    <row r="101" spans="1:13" s="10" customFormat="1" x14ac:dyDescent="0.3">
      <c r="D101" s="10" t="s">
        <v>90</v>
      </c>
      <c r="H101" s="14">
        <f t="shared" ref="H101:L101" si="10">SUM(H97:H100)</f>
        <v>-7825.53</v>
      </c>
      <c r="I101" s="14">
        <f t="shared" si="10"/>
        <v>9641.1299999999974</v>
      </c>
      <c r="J101" s="14">
        <f t="shared" si="10"/>
        <v>42307.859999999993</v>
      </c>
      <c r="K101" s="14">
        <f t="shared" si="10"/>
        <v>-1836.2200000000007</v>
      </c>
      <c r="L101" s="14">
        <f t="shared" si="10"/>
        <v>2164.6999999999994</v>
      </c>
      <c r="M101" s="14"/>
    </row>
    <row r="102" spans="1:13" x14ac:dyDescent="0.3">
      <c r="A102" s="9"/>
      <c r="B102" s="9"/>
      <c r="C102" s="9"/>
      <c r="D102" s="9" t="s">
        <v>91</v>
      </c>
      <c r="E102" s="9"/>
      <c r="F102" s="9"/>
      <c r="G102" s="9"/>
      <c r="H102" s="119">
        <v>48.95</v>
      </c>
      <c r="I102" s="119">
        <v>-340.97</v>
      </c>
      <c r="J102" s="119">
        <v>-2903</v>
      </c>
      <c r="K102" s="119">
        <v>-1895.58</v>
      </c>
      <c r="L102" s="119">
        <v>-34.119999999999997</v>
      </c>
    </row>
    <row r="103" spans="1:13" s="10" customFormat="1" x14ac:dyDescent="0.3">
      <c r="D103" s="10" t="s">
        <v>92</v>
      </c>
      <c r="H103" s="14">
        <f t="shared" ref="H103:L103" si="11">SUM(H101:H102)</f>
        <v>-7776.58</v>
      </c>
      <c r="I103" s="14">
        <f t="shared" si="11"/>
        <v>9300.159999999998</v>
      </c>
      <c r="J103" s="14">
        <f t="shared" si="11"/>
        <v>39404.859999999993</v>
      </c>
      <c r="K103" s="14">
        <f t="shared" si="11"/>
        <v>-3731.8000000000006</v>
      </c>
      <c r="L103" s="14">
        <f t="shared" si="11"/>
        <v>2130.5799999999995</v>
      </c>
    </row>
    <row r="104" spans="1:13" x14ac:dyDescent="0.3">
      <c r="A104" s="9"/>
      <c r="B104" s="9"/>
      <c r="C104" s="9"/>
      <c r="D104" s="10" t="s">
        <v>93</v>
      </c>
      <c r="E104" s="9"/>
      <c r="F104" s="9"/>
      <c r="G104" s="9"/>
      <c r="H104" s="119">
        <v>0</v>
      </c>
      <c r="I104" s="119">
        <v>0</v>
      </c>
      <c r="J104" s="119">
        <v>0</v>
      </c>
      <c r="K104" s="119">
        <v>0</v>
      </c>
      <c r="L104" s="119">
        <v>0</v>
      </c>
    </row>
    <row r="105" spans="1:13" s="20" customFormat="1" x14ac:dyDescent="0.3">
      <c r="C105" s="20" t="s">
        <v>94</v>
      </c>
      <c r="H105" s="122">
        <f>SUM(H103:H104)</f>
        <v>-7776.58</v>
      </c>
      <c r="I105" s="122">
        <f t="shared" ref="I105:L105" si="12">SUM(I103:I104)</f>
        <v>9300.159999999998</v>
      </c>
      <c r="J105" s="122">
        <f t="shared" si="12"/>
        <v>39404.859999999993</v>
      </c>
      <c r="K105" s="122">
        <f t="shared" si="12"/>
        <v>-3731.8000000000006</v>
      </c>
      <c r="L105" s="122">
        <f t="shared" si="12"/>
        <v>2130.5799999999995</v>
      </c>
    </row>
    <row r="106" spans="1:13" x14ac:dyDescent="0.3">
      <c r="A106" s="9"/>
      <c r="B106" s="9"/>
      <c r="C106" s="9"/>
      <c r="D106" s="10" t="s">
        <v>95</v>
      </c>
      <c r="E106" s="9"/>
      <c r="F106" s="9"/>
      <c r="G106" s="9"/>
      <c r="H106" s="12"/>
      <c r="I106" s="12"/>
      <c r="J106" s="12"/>
      <c r="K106" s="12"/>
      <c r="L106" s="12"/>
    </row>
    <row r="107" spans="1:13" x14ac:dyDescent="0.3">
      <c r="A107" s="9"/>
      <c r="B107" s="9"/>
      <c r="C107" s="9"/>
      <c r="D107" s="9" t="s">
        <v>96</v>
      </c>
      <c r="E107" s="9"/>
      <c r="F107" s="9"/>
      <c r="G107" s="9"/>
      <c r="H107" s="119">
        <v>-610.91999999999996</v>
      </c>
      <c r="I107" s="119">
        <v>-13154.35</v>
      </c>
      <c r="J107" s="119">
        <v>-5923.88</v>
      </c>
      <c r="K107" s="119">
        <v>-10284.52</v>
      </c>
      <c r="L107" s="119">
        <v>-7744.83</v>
      </c>
    </row>
    <row r="108" spans="1:13" x14ac:dyDescent="0.3">
      <c r="A108" s="9"/>
      <c r="B108" s="9"/>
      <c r="C108" s="9"/>
      <c r="D108" s="9" t="s">
        <v>97</v>
      </c>
      <c r="E108" s="9"/>
      <c r="F108" s="9"/>
      <c r="G108" s="9"/>
      <c r="H108" s="119">
        <v>-1.04</v>
      </c>
      <c r="I108" s="119">
        <v>0</v>
      </c>
      <c r="J108" s="119">
        <v>-1.41</v>
      </c>
      <c r="K108" s="119">
        <v>0</v>
      </c>
      <c r="L108" s="119">
        <v>0</v>
      </c>
    </row>
    <row r="109" spans="1:13" x14ac:dyDescent="0.3">
      <c r="A109" s="9"/>
      <c r="B109" s="9"/>
      <c r="C109" s="9"/>
      <c r="D109" s="9" t="s">
        <v>98</v>
      </c>
      <c r="E109" s="9"/>
      <c r="F109" s="9"/>
      <c r="G109" s="9"/>
      <c r="H109" s="119">
        <v>-5.75</v>
      </c>
      <c r="I109" s="119">
        <v>0</v>
      </c>
      <c r="J109" s="119">
        <v>0</v>
      </c>
      <c r="K109" s="119">
        <v>0</v>
      </c>
      <c r="L109" s="119">
        <v>72</v>
      </c>
    </row>
    <row r="110" spans="1:13" x14ac:dyDescent="0.3">
      <c r="A110" s="9"/>
      <c r="B110" s="9"/>
      <c r="C110" s="9"/>
      <c r="D110" s="9" t="s">
        <v>99</v>
      </c>
      <c r="E110" s="9"/>
      <c r="F110" s="9"/>
      <c r="G110" s="9"/>
      <c r="H110" s="119">
        <v>67.12</v>
      </c>
      <c r="I110" s="119">
        <v>21.26</v>
      </c>
      <c r="J110" s="119">
        <v>1083.44</v>
      </c>
      <c r="K110" s="119">
        <v>458.52</v>
      </c>
      <c r="L110" s="119">
        <v>414.43</v>
      </c>
    </row>
    <row r="111" spans="1:13" s="20" customFormat="1" x14ac:dyDescent="0.3">
      <c r="C111" s="20" t="s">
        <v>100</v>
      </c>
      <c r="H111" s="122">
        <f t="shared" ref="H111:L111" si="13">SUM(H107:H110)</f>
        <v>-550.58999999999992</v>
      </c>
      <c r="I111" s="122">
        <f t="shared" si="13"/>
        <v>-13133.09</v>
      </c>
      <c r="J111" s="122">
        <f t="shared" si="13"/>
        <v>-4841.8500000000004</v>
      </c>
      <c r="K111" s="122">
        <f t="shared" si="13"/>
        <v>-9826</v>
      </c>
      <c r="L111" s="122">
        <f t="shared" si="13"/>
        <v>-7258.4</v>
      </c>
    </row>
    <row r="112" spans="1:13" x14ac:dyDescent="0.3">
      <c r="A112" s="9"/>
      <c r="B112" s="9"/>
      <c r="C112" s="9"/>
      <c r="D112" s="10" t="s">
        <v>101</v>
      </c>
      <c r="E112" s="9"/>
      <c r="F112" s="9"/>
      <c r="G112" s="9"/>
      <c r="H112" s="12"/>
      <c r="I112" s="12"/>
      <c r="J112" s="12"/>
      <c r="K112" s="12"/>
      <c r="L112" s="12"/>
    </row>
    <row r="113" spans="1:12" x14ac:dyDescent="0.3">
      <c r="A113" s="9"/>
      <c r="B113" s="9"/>
      <c r="C113" s="9"/>
      <c r="D113" s="9" t="s">
        <v>102</v>
      </c>
      <c r="E113" s="9"/>
      <c r="F113" s="9"/>
      <c r="G113" s="9"/>
      <c r="H113" s="119">
        <v>-4189.16</v>
      </c>
      <c r="I113" s="119">
        <v>-4412.13</v>
      </c>
      <c r="J113" s="119">
        <v>-4821.8500000000004</v>
      </c>
      <c r="K113" s="119">
        <v>-4427.4399999999996</v>
      </c>
      <c r="L113" s="119">
        <v>-4820.18</v>
      </c>
    </row>
    <row r="114" spans="1:12" x14ac:dyDescent="0.3">
      <c r="A114" s="9"/>
      <c r="B114" s="9"/>
      <c r="C114" s="9"/>
      <c r="D114" s="9" t="s">
        <v>103</v>
      </c>
      <c r="E114" s="9"/>
      <c r="F114" s="9"/>
      <c r="G114" s="9"/>
      <c r="H114" s="119">
        <v>4855.2299999999996</v>
      </c>
      <c r="I114" s="119">
        <v>5371.69</v>
      </c>
      <c r="J114" s="119">
        <v>1336.06</v>
      </c>
      <c r="K114" s="119">
        <v>-4239.68</v>
      </c>
      <c r="L114" s="119">
        <v>1435.77</v>
      </c>
    </row>
    <row r="115" spans="1:12" x14ac:dyDescent="0.3">
      <c r="A115" s="10"/>
      <c r="B115" s="10"/>
      <c r="C115" s="10"/>
      <c r="D115" s="10" t="s">
        <v>104</v>
      </c>
      <c r="E115" s="10"/>
      <c r="F115" s="10"/>
      <c r="G115" s="10"/>
      <c r="H115" s="119">
        <v>7318.13</v>
      </c>
      <c r="I115" s="119">
        <v>3180.53</v>
      </c>
      <c r="J115" s="119">
        <v>-30844.18</v>
      </c>
      <c r="K115" s="119">
        <v>22305.21</v>
      </c>
      <c r="L115" s="119">
        <v>8868.42</v>
      </c>
    </row>
    <row r="116" spans="1:12" x14ac:dyDescent="0.3">
      <c r="A116" s="9"/>
      <c r="B116" s="9"/>
      <c r="C116" s="9"/>
      <c r="D116" s="10" t="s">
        <v>105</v>
      </c>
      <c r="E116" s="9"/>
      <c r="F116" s="9"/>
      <c r="G116" s="9"/>
      <c r="H116" s="119">
        <v>-112.5</v>
      </c>
      <c r="I116" s="121">
        <v>-225</v>
      </c>
      <c r="J116" s="119">
        <v>-281.25</v>
      </c>
      <c r="K116" s="119">
        <v>-562.5</v>
      </c>
      <c r="L116" s="119">
        <v>-281.25</v>
      </c>
    </row>
    <row r="117" spans="1:12" s="10" customFormat="1" x14ac:dyDescent="0.3">
      <c r="C117" s="10" t="s">
        <v>106</v>
      </c>
      <c r="H117" s="14">
        <f>SUM(H113:H116)</f>
        <v>7871.7</v>
      </c>
      <c r="I117" s="14">
        <f t="shared" ref="I117:L117" si="14">SUM(I113:I116)</f>
        <v>3915.09</v>
      </c>
      <c r="J117" s="14">
        <f t="shared" si="14"/>
        <v>-34611.22</v>
      </c>
      <c r="K117" s="14">
        <f t="shared" si="14"/>
        <v>13075.59</v>
      </c>
      <c r="L117" s="14">
        <f t="shared" si="14"/>
        <v>5202.76</v>
      </c>
    </row>
    <row r="118" spans="1:12" s="20" customFormat="1" x14ac:dyDescent="0.3">
      <c r="D118" s="20" t="s">
        <v>107</v>
      </c>
      <c r="H118" s="122">
        <f t="shared" ref="H118:L118" si="15">SUM(H105,H111,H117)</f>
        <v>-455.47000000000025</v>
      </c>
      <c r="I118" s="122">
        <f t="shared" si="15"/>
        <v>82.159999999998035</v>
      </c>
      <c r="J118" s="122">
        <f t="shared" si="15"/>
        <v>-48.210000000006403</v>
      </c>
      <c r="K118" s="122">
        <f t="shared" si="15"/>
        <v>-482.21000000000095</v>
      </c>
      <c r="L118" s="122">
        <f t="shared" si="15"/>
        <v>74.940000000000509</v>
      </c>
    </row>
    <row r="119" spans="1:12" x14ac:dyDescent="0.3">
      <c r="A119" s="9"/>
      <c r="B119" s="9"/>
      <c r="C119" s="9"/>
      <c r="D119" s="9" t="s">
        <v>108</v>
      </c>
      <c r="E119" s="9"/>
      <c r="F119" s="9"/>
      <c r="G119" s="9"/>
      <c r="H119" s="121">
        <v>997.56</v>
      </c>
      <c r="I119" s="121">
        <v>542.1</v>
      </c>
      <c r="J119" s="119">
        <v>624.26</v>
      </c>
      <c r="K119" s="119">
        <v>576.04999999999995</v>
      </c>
      <c r="L119" s="119">
        <v>93.84</v>
      </c>
    </row>
    <row r="120" spans="1:12" x14ac:dyDescent="0.3">
      <c r="A120" s="9"/>
      <c r="B120" s="9"/>
      <c r="C120" s="9"/>
      <c r="D120" s="9" t="s">
        <v>109</v>
      </c>
      <c r="E120" s="9"/>
      <c r="F120" s="9"/>
      <c r="G120" s="9"/>
      <c r="H120" s="121">
        <v>542.09</v>
      </c>
      <c r="I120" s="121">
        <v>624.26</v>
      </c>
      <c r="J120" s="119">
        <v>576.04999999999995</v>
      </c>
      <c r="K120" s="119">
        <v>93.84</v>
      </c>
      <c r="L120" s="119">
        <v>168.78</v>
      </c>
    </row>
    <row r="121" spans="1:12" x14ac:dyDescent="0.3">
      <c r="A121" s="9"/>
      <c r="B121" s="9"/>
      <c r="C121" s="9"/>
      <c r="D121" s="9"/>
      <c r="E121" s="9"/>
      <c r="F121" s="9"/>
      <c r="G121" s="9"/>
      <c r="H121" s="9"/>
      <c r="I121" s="9"/>
      <c r="J121" s="9"/>
      <c r="K121" s="9"/>
      <c r="L121" s="9"/>
    </row>
    <row r="122" spans="1:12" x14ac:dyDescent="0.3">
      <c r="A122" s="9"/>
      <c r="B122" s="9"/>
      <c r="C122" s="9"/>
      <c r="E122" s="9"/>
      <c r="F122" s="9"/>
      <c r="G122" s="9"/>
      <c r="H122" s="9"/>
      <c r="I122" s="9"/>
      <c r="J122" s="9"/>
      <c r="K122" s="9"/>
      <c r="L122" s="9"/>
    </row>
    <row r="123" spans="1:12" x14ac:dyDescent="0.3">
      <c r="A123" s="9"/>
      <c r="B123" s="9"/>
      <c r="C123" s="9"/>
      <c r="D123" s="179" t="s">
        <v>392</v>
      </c>
      <c r="E123" s="9"/>
      <c r="F123" s="9"/>
      <c r="G123" s="9"/>
      <c r="H123" s="9"/>
      <c r="I123" s="9"/>
      <c r="J123" s="9"/>
      <c r="K123" s="9"/>
      <c r="L123" s="11"/>
    </row>
    <row r="124" spans="1:12" x14ac:dyDescent="0.3">
      <c r="A124" s="9"/>
      <c r="B124" s="9"/>
      <c r="C124" s="9"/>
      <c r="D124" s="9"/>
      <c r="E124" s="9"/>
      <c r="F124" s="9"/>
      <c r="G124" s="9"/>
      <c r="H124" s="9"/>
      <c r="I124" s="9"/>
      <c r="J124" s="9"/>
      <c r="K124" s="9"/>
      <c r="L124" s="9"/>
    </row>
    <row r="125" spans="1:12" x14ac:dyDescent="0.3">
      <c r="A125" s="10"/>
      <c r="B125" s="10"/>
      <c r="C125" s="10"/>
      <c r="D125" s="10"/>
      <c r="E125" s="10"/>
      <c r="F125" s="10"/>
      <c r="G125" s="10"/>
      <c r="H125" s="13"/>
      <c r="I125" s="13"/>
      <c r="J125" s="13"/>
      <c r="K125" s="15"/>
      <c r="L125" s="13"/>
    </row>
    <row r="126" spans="1:12" x14ac:dyDescent="0.3">
      <c r="A126" s="9"/>
      <c r="B126" s="9"/>
      <c r="C126" s="9"/>
      <c r="D126" s="10"/>
      <c r="E126" s="9"/>
      <c r="F126" s="9"/>
      <c r="G126" s="9"/>
      <c r="H126" s="11"/>
      <c r="I126" s="11"/>
      <c r="J126" s="11"/>
      <c r="K126" s="11"/>
      <c r="L126" s="11"/>
    </row>
    <row r="127" spans="1:12" x14ac:dyDescent="0.3">
      <c r="A127" s="9"/>
      <c r="B127" s="9"/>
      <c r="C127" s="9"/>
      <c r="D127" s="9"/>
      <c r="E127" s="9"/>
      <c r="F127" s="9"/>
      <c r="G127" s="9"/>
      <c r="H127" s="9"/>
      <c r="I127" s="11"/>
      <c r="J127" s="9"/>
      <c r="K127" s="9"/>
      <c r="L127" s="9"/>
    </row>
  </sheetData>
  <mergeCells count="2">
    <mergeCell ref="H1:L1"/>
    <mergeCell ref="M1:Q1"/>
  </mergeCells>
  <hyperlinks>
    <hyperlink ref="D123" location="'Cover page'!A1" display="Back to Cover" xr:uid="{89F4D901-25D7-4ACD-8CF3-6A02B6079D95}"/>
  </hyperlink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F96E1-0D7C-419D-9D5B-251EE2D3FA87}">
  <sheetPr>
    <tabColor theme="5" tint="0.59999389629810485"/>
  </sheetPr>
  <dimension ref="A1:N16"/>
  <sheetViews>
    <sheetView topLeftCell="A3" workbookViewId="0">
      <selection activeCell="E28" sqref="E28"/>
    </sheetView>
  </sheetViews>
  <sheetFormatPr defaultRowHeight="14.4" x14ac:dyDescent="0.3"/>
  <cols>
    <col min="1" max="1" width="29.5546875" bestFit="1" customWidth="1"/>
    <col min="2" max="2" width="13.21875" bestFit="1" customWidth="1"/>
    <col min="3" max="3" width="10" bestFit="1" customWidth="1"/>
    <col min="4" max="4" width="9.6640625" bestFit="1" customWidth="1"/>
    <col min="5" max="5" width="20.109375" customWidth="1"/>
    <col min="6" max="6" width="18.44140625" bestFit="1" customWidth="1"/>
    <col min="7" max="7" width="13.6640625" bestFit="1" customWidth="1"/>
    <col min="8" max="8" width="14.44140625" customWidth="1"/>
    <col min="9" max="9" width="27.6640625" bestFit="1" customWidth="1"/>
    <col min="10" max="10" width="16" bestFit="1" customWidth="1"/>
    <col min="11" max="11" width="16.109375" bestFit="1" customWidth="1"/>
    <col min="12" max="13" width="9" bestFit="1" customWidth="1"/>
    <col min="14" max="14" width="9.77734375" bestFit="1" customWidth="1"/>
  </cols>
  <sheetData>
    <row r="1" spans="1:14" s="54" customFormat="1" x14ac:dyDescent="0.3">
      <c r="A1" s="54" t="s">
        <v>234</v>
      </c>
      <c r="B1" s="54" t="s">
        <v>228</v>
      </c>
      <c r="C1" s="54" t="s">
        <v>235</v>
      </c>
      <c r="D1" s="54" t="s">
        <v>236</v>
      </c>
      <c r="E1" s="54" t="s">
        <v>218</v>
      </c>
      <c r="F1" s="54" t="s">
        <v>237</v>
      </c>
      <c r="G1" s="54" t="s">
        <v>271</v>
      </c>
      <c r="H1" s="54" t="s">
        <v>238</v>
      </c>
      <c r="I1" s="54" t="s">
        <v>136</v>
      </c>
      <c r="J1" s="54" t="s">
        <v>239</v>
      </c>
      <c r="K1" s="54" t="s">
        <v>240</v>
      </c>
      <c r="L1" s="54" t="s">
        <v>241</v>
      </c>
      <c r="M1" s="54" t="s">
        <v>242</v>
      </c>
      <c r="N1" s="54" t="s">
        <v>243</v>
      </c>
    </row>
    <row r="2" spans="1:14" x14ac:dyDescent="0.3">
      <c r="A2" t="s">
        <v>244</v>
      </c>
      <c r="B2" t="s">
        <v>245</v>
      </c>
      <c r="C2" s="132">
        <v>79.5</v>
      </c>
      <c r="D2" s="132">
        <v>390.99666000000002</v>
      </c>
      <c r="E2" s="132">
        <v>31097.906880000002</v>
      </c>
      <c r="F2" s="132">
        <v>19559.407971264001</v>
      </c>
      <c r="G2" s="132">
        <v>1521.7</v>
      </c>
      <c r="H2" s="132">
        <v>152953.435458186</v>
      </c>
      <c r="I2" s="132">
        <v>12085.843534194</v>
      </c>
      <c r="J2" s="132">
        <v>10172.866623391999</v>
      </c>
      <c r="K2" s="133">
        <v>0.16493400000000003</v>
      </c>
      <c r="L2" s="123"/>
      <c r="M2" s="133">
        <v>2.9026999999999997E-2</v>
      </c>
      <c r="N2" s="132">
        <v>6199.5330810014002</v>
      </c>
    </row>
    <row r="3" spans="1:14" x14ac:dyDescent="0.3">
      <c r="A3" t="s">
        <v>246</v>
      </c>
      <c r="B3" t="s">
        <v>247</v>
      </c>
      <c r="C3" s="132">
        <v>37.590000000000003</v>
      </c>
      <c r="D3" s="132">
        <v>869.54097999999999</v>
      </c>
      <c r="E3" s="132">
        <v>32700.36234</v>
      </c>
      <c r="F3" s="132">
        <v>57177.205847635996</v>
      </c>
      <c r="G3" s="132">
        <v>11028.900000000001</v>
      </c>
      <c r="H3" s="132">
        <v>213747.05188846798</v>
      </c>
      <c r="I3" s="132">
        <v>18989.115614961996</v>
      </c>
      <c r="J3" s="132">
        <v>9313.5687027080003</v>
      </c>
      <c r="K3" s="133">
        <v>0.35449599999999998</v>
      </c>
      <c r="L3" s="133">
        <v>4.6802999999999997E-2</v>
      </c>
      <c r="M3" s="133">
        <v>2.1198999999999999E-2</v>
      </c>
      <c r="N3" s="132">
        <v>4822.6084410571993</v>
      </c>
    </row>
    <row r="4" spans="1:14" x14ac:dyDescent="0.3">
      <c r="A4" t="s">
        <v>248</v>
      </c>
      <c r="B4" t="s">
        <v>249</v>
      </c>
      <c r="C4" s="132">
        <v>417.8</v>
      </c>
      <c r="D4" s="132">
        <v>140.44682</v>
      </c>
      <c r="E4" s="132">
        <v>58874.830140000005</v>
      </c>
      <c r="F4" s="132">
        <v>75737.668443286006</v>
      </c>
      <c r="G4" s="132">
        <v>133.5</v>
      </c>
      <c r="H4" s="132">
        <v>138761.05548036599</v>
      </c>
      <c r="I4" s="132">
        <v>20908.760282116</v>
      </c>
      <c r="J4" s="132">
        <v>10519.332936655999</v>
      </c>
      <c r="K4" s="133">
        <v>0.25656199999999996</v>
      </c>
      <c r="L4" s="123"/>
      <c r="M4" s="133">
        <v>6.8991999999999998E-2</v>
      </c>
      <c r="N4" s="132">
        <v>5140.6162671918</v>
      </c>
    </row>
    <row r="5" spans="1:14" x14ac:dyDescent="0.3">
      <c r="A5" t="s">
        <v>250</v>
      </c>
      <c r="B5" t="s">
        <v>251</v>
      </c>
      <c r="C5" s="132">
        <v>33.33</v>
      </c>
      <c r="D5" s="132">
        <v>1846.9899</v>
      </c>
      <c r="E5" s="132">
        <v>61760.979950000008</v>
      </c>
      <c r="F5" s="132">
        <v>54311.715525331994</v>
      </c>
      <c r="G5" s="132">
        <v>29261.020405820003</v>
      </c>
      <c r="H5" s="132">
        <v>152377.13808232799</v>
      </c>
      <c r="I5" s="132">
        <v>11954.824508464</v>
      </c>
      <c r="J5" s="132">
        <v>2535.2518813619999</v>
      </c>
      <c r="K5" s="133">
        <v>0.56490899999999999</v>
      </c>
      <c r="L5" s="133">
        <v>8.869500000000001E-2</v>
      </c>
      <c r="M5" s="133">
        <v>3.6340000000000001E-3</v>
      </c>
      <c r="N5" s="132">
        <v>3824.8669149001998</v>
      </c>
    </row>
    <row r="6" spans="1:14" x14ac:dyDescent="0.3">
      <c r="A6" t="s">
        <v>252</v>
      </c>
      <c r="B6" t="s">
        <v>253</v>
      </c>
      <c r="C6" s="132">
        <v>322.35000000000002</v>
      </c>
      <c r="D6" s="132">
        <v>200.22026</v>
      </c>
      <c r="E6" s="132">
        <v>64529.376869999993</v>
      </c>
      <c r="F6" s="132">
        <v>146798.266547418</v>
      </c>
      <c r="G6" s="132">
        <v>372.8</v>
      </c>
      <c r="H6" s="132">
        <v>283126.78700645798</v>
      </c>
      <c r="I6" s="132">
        <v>26403.178771436</v>
      </c>
      <c r="J6" s="132">
        <v>7584.42598352</v>
      </c>
      <c r="K6" s="133">
        <v>0.35482999999999998</v>
      </c>
      <c r="L6" s="123"/>
      <c r="M6" s="133">
        <v>-2.3999999999999997E-5</v>
      </c>
      <c r="N6" s="132">
        <v>10580.3130749418</v>
      </c>
    </row>
    <row r="7" spans="1:14" x14ac:dyDescent="0.3">
      <c r="A7" t="s">
        <v>254</v>
      </c>
      <c r="B7" t="s">
        <v>255</v>
      </c>
      <c r="C7" s="132">
        <v>4.59</v>
      </c>
      <c r="D7" s="132">
        <v>7290.8428600000007</v>
      </c>
      <c r="E7" s="132">
        <v>46392.03772</v>
      </c>
      <c r="F7" s="132">
        <v>38172.127638653998</v>
      </c>
      <c r="G7" s="132">
        <v>1220.1000000000001</v>
      </c>
      <c r="H7" s="132">
        <v>20717.142145861999</v>
      </c>
      <c r="I7" s="132">
        <v>5768.98153189</v>
      </c>
      <c r="J7" s="132">
        <v>1210.0573364339998</v>
      </c>
      <c r="K7" s="133">
        <v>0.145261</v>
      </c>
      <c r="L7" s="133">
        <v>2.0181000000000001E-2</v>
      </c>
      <c r="M7" s="133">
        <v>2.2582000000000001E-2</v>
      </c>
      <c r="N7" s="132">
        <v>2109.2330113346002</v>
      </c>
    </row>
    <row r="8" spans="1:14" x14ac:dyDescent="0.3">
      <c r="A8" t="s">
        <v>256</v>
      </c>
      <c r="B8" t="s">
        <v>257</v>
      </c>
      <c r="C8" s="132">
        <v>113.20000000000002</v>
      </c>
      <c r="D8" s="132">
        <v>652.05772000000002</v>
      </c>
      <c r="E8" s="132">
        <v>72794.96819</v>
      </c>
      <c r="F8" s="132">
        <v>100215.12134081799</v>
      </c>
      <c r="G8" s="132">
        <v>25153.075540620004</v>
      </c>
      <c r="H8" s="132">
        <v>211870.06011702001</v>
      </c>
      <c r="I8" s="132">
        <v>17567.144975293999</v>
      </c>
      <c r="J8" s="132">
        <v>5514.326294903999</v>
      </c>
      <c r="K8" s="133">
        <v>0.30268299999999998</v>
      </c>
      <c r="L8" s="133">
        <v>3.3789999999999996E-3</v>
      </c>
      <c r="M8" s="133">
        <v>-0.114763</v>
      </c>
      <c r="N8" s="132">
        <v>7522.4878142176003</v>
      </c>
    </row>
    <row r="9" spans="1:14" x14ac:dyDescent="0.3">
      <c r="A9" t="s">
        <v>258</v>
      </c>
      <c r="B9" t="s">
        <v>259</v>
      </c>
      <c r="C9" s="132">
        <v>208.7</v>
      </c>
      <c r="D9" s="132">
        <v>381.55192</v>
      </c>
      <c r="E9" s="132">
        <v>79594.256439999997</v>
      </c>
      <c r="F9" s="132">
        <v>28639.376640070001</v>
      </c>
      <c r="G9" s="132">
        <v>2093.5</v>
      </c>
      <c r="H9" s="132">
        <v>227501.79518350997</v>
      </c>
      <c r="I9" s="132">
        <v>25616.293565935997</v>
      </c>
      <c r="J9" s="132">
        <v>11632.76104523</v>
      </c>
      <c r="K9" s="133">
        <v>0.26586399999999999</v>
      </c>
      <c r="L9" s="133">
        <v>0.11082700000000001</v>
      </c>
      <c r="M9" s="133">
        <v>3.9236E-2</v>
      </c>
      <c r="N9" s="132">
        <v>7809.5786016515995</v>
      </c>
    </row>
    <row r="10" spans="1:14" x14ac:dyDescent="0.3">
      <c r="C10" s="123"/>
      <c r="D10" s="129"/>
      <c r="E10" s="132"/>
      <c r="F10" s="132"/>
      <c r="G10" s="132"/>
      <c r="H10" s="132"/>
      <c r="I10" s="132"/>
      <c r="J10" s="132"/>
      <c r="K10" s="133"/>
      <c r="L10" s="123"/>
      <c r="M10" s="123"/>
      <c r="N10" s="123"/>
    </row>
    <row r="11" spans="1:14" x14ac:dyDescent="0.3">
      <c r="A11" t="s">
        <v>260</v>
      </c>
      <c r="B11" t="s">
        <v>261</v>
      </c>
      <c r="C11" s="132">
        <f>Assumptions!E11</f>
        <v>39.33</v>
      </c>
      <c r="D11" s="132">
        <v>1125.3063400000001</v>
      </c>
      <c r="E11" s="132">
        <f>C11*D11</f>
        <v>44258.298352199999</v>
      </c>
      <c r="F11" s="132">
        <v>45440.079361641998</v>
      </c>
      <c r="G11" s="132">
        <v>1916.7361123599999</v>
      </c>
      <c r="H11" s="132">
        <v>159888.71901128598</v>
      </c>
      <c r="I11" s="132">
        <v>7657.5537568259997</v>
      </c>
      <c r="J11" s="132">
        <v>1002.5592187799999</v>
      </c>
      <c r="K11" s="133">
        <f>AVERAGE('Ratio Analysis &amp; Interpretation'!M13:Q13)</f>
        <v>0.27409762065207005</v>
      </c>
      <c r="L11" s="133">
        <v>0.131631</v>
      </c>
      <c r="M11" s="133">
        <v>0.11795899999999999</v>
      </c>
      <c r="N11" s="132">
        <v>3659.7221763087996</v>
      </c>
    </row>
    <row r="13" spans="1:14" x14ac:dyDescent="0.3">
      <c r="D13" t="s">
        <v>482</v>
      </c>
      <c r="G13" s="55">
        <v>10</v>
      </c>
    </row>
    <row r="16" spans="1:14" x14ac:dyDescent="0.3">
      <c r="A16" s="179" t="s">
        <v>392</v>
      </c>
    </row>
  </sheetData>
  <hyperlinks>
    <hyperlink ref="A16" location="'Cover page'!A1" display="Back to Cover" xr:uid="{1076D939-7EAE-4CA9-A53D-194F068CB92E}"/>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4268E-169A-41FF-B5E4-3D582BE744A4}">
  <sheetPr>
    <tabColor theme="5" tint="0.59999389629810485"/>
  </sheetPr>
  <dimension ref="A1:Q52"/>
  <sheetViews>
    <sheetView topLeftCell="A7" zoomScale="81" zoomScaleNormal="70" workbookViewId="0">
      <selection activeCell="E28" sqref="E28"/>
    </sheetView>
  </sheetViews>
  <sheetFormatPr defaultColWidth="11.77734375" defaultRowHeight="14.4" x14ac:dyDescent="0.3"/>
  <cols>
    <col min="1" max="1" width="2.109375" customWidth="1"/>
    <col min="2" max="2" width="2" customWidth="1"/>
    <col min="3" max="3" width="2.109375" customWidth="1"/>
    <col min="4" max="4" width="38" bestFit="1" customWidth="1"/>
    <col min="5" max="5" width="64.33203125" customWidth="1"/>
    <col min="6" max="6" width="18.44140625" bestFit="1" customWidth="1"/>
    <col min="7" max="7" width="15.21875" customWidth="1"/>
    <col min="8" max="8" width="29.33203125" customWidth="1"/>
  </cols>
  <sheetData>
    <row r="1" spans="1:17" ht="32.4" x14ac:dyDescent="0.6">
      <c r="A1" s="1" t="str">
        <f>'Historical Info'!A1</f>
        <v>Ugar Sugar Works Ltd.</v>
      </c>
      <c r="B1" s="2"/>
      <c r="C1" s="2"/>
      <c r="D1" s="2"/>
      <c r="E1" s="3"/>
      <c r="F1" s="3"/>
      <c r="G1" s="3"/>
      <c r="H1" s="205"/>
      <c r="I1" s="205"/>
      <c r="J1" s="205"/>
      <c r="K1" s="205"/>
      <c r="L1" s="205"/>
      <c r="M1" s="205"/>
      <c r="N1" s="205"/>
      <c r="O1" s="205"/>
      <c r="P1" s="205"/>
      <c r="Q1" s="205"/>
    </row>
    <row r="2" spans="1:17" ht="15.6" x14ac:dyDescent="0.3">
      <c r="A2" s="4" t="s">
        <v>498</v>
      </c>
      <c r="B2" s="4"/>
      <c r="C2" s="4"/>
      <c r="D2" s="4"/>
      <c r="E2" s="5"/>
      <c r="F2" s="5"/>
      <c r="G2" s="5"/>
      <c r="H2" s="6"/>
      <c r="I2" s="6"/>
      <c r="J2" s="6"/>
      <c r="K2" s="6"/>
      <c r="L2" s="6"/>
      <c r="M2" s="6"/>
      <c r="N2" s="6"/>
      <c r="O2" s="6"/>
      <c r="P2" s="6"/>
      <c r="Q2" s="6"/>
    </row>
    <row r="4" spans="1:17" x14ac:dyDescent="0.3">
      <c r="D4" s="212" t="s">
        <v>434</v>
      </c>
      <c r="E4" s="212"/>
      <c r="F4" s="212"/>
      <c r="G4" s="212"/>
      <c r="H4" s="212"/>
    </row>
    <row r="5" spans="1:17" x14ac:dyDescent="0.3">
      <c r="D5" s="219" t="s">
        <v>435</v>
      </c>
      <c r="E5" s="219"/>
      <c r="F5" s="219"/>
      <c r="G5" s="219"/>
      <c r="H5" s="219"/>
    </row>
    <row r="6" spans="1:17" x14ac:dyDescent="0.3">
      <c r="D6" s="10" t="s">
        <v>436</v>
      </c>
      <c r="E6" s="157" t="s">
        <v>129</v>
      </c>
      <c r="F6" s="10" t="s">
        <v>437</v>
      </c>
      <c r="G6" s="10" t="s">
        <v>438</v>
      </c>
    </row>
    <row r="7" spans="1:17" x14ac:dyDescent="0.3">
      <c r="D7" s="10" t="s">
        <v>439</v>
      </c>
      <c r="E7" s="161">
        <v>53334.21</v>
      </c>
      <c r="F7" s="154">
        <f>E7/E18</f>
        <v>0.37911085654235543</v>
      </c>
      <c r="G7" s="155">
        <v>0.1</v>
      </c>
    </row>
    <row r="8" spans="1:17" x14ac:dyDescent="0.3">
      <c r="D8" s="10" t="s">
        <v>440</v>
      </c>
      <c r="E8" s="153"/>
      <c r="F8" s="154" cm="1">
        <f t="array" ref="F8">SUM(E9:E12/E18)</f>
        <v>0.50015446144065268</v>
      </c>
      <c r="G8" s="155">
        <v>0.1</v>
      </c>
    </row>
    <row r="9" spans="1:17" x14ac:dyDescent="0.3">
      <c r="D9" t="s">
        <v>441</v>
      </c>
      <c r="E9" s="153">
        <v>26.7</v>
      </c>
      <c r="F9" s="154"/>
      <c r="G9" s="153"/>
    </row>
    <row r="10" spans="1:17" x14ac:dyDescent="0.3">
      <c r="D10" t="s">
        <v>442</v>
      </c>
      <c r="E10" s="153">
        <v>0</v>
      </c>
      <c r="F10" s="154"/>
      <c r="G10" s="153"/>
    </row>
    <row r="11" spans="1:17" x14ac:dyDescent="0.3">
      <c r="D11" t="s">
        <v>443</v>
      </c>
      <c r="E11" s="153">
        <v>9147.59</v>
      </c>
      <c r="F11" s="154"/>
      <c r="G11" s="153"/>
    </row>
    <row r="12" spans="1:17" x14ac:dyDescent="0.3">
      <c r="D12" s="156" t="s">
        <v>444</v>
      </c>
      <c r="E12" s="161">
        <v>61188.62</v>
      </c>
      <c r="F12" s="154"/>
      <c r="G12" s="153"/>
    </row>
    <row r="13" spans="1:17" x14ac:dyDescent="0.3">
      <c r="D13" s="10" t="s">
        <v>445</v>
      </c>
      <c r="E13" s="153"/>
      <c r="F13" s="154" cm="1">
        <f t="array" ref="F13">SUM(E14:E17/E18)</f>
        <v>0.12073468201699204</v>
      </c>
      <c r="G13" s="155">
        <f>F41</f>
        <v>8.8733242922519495E-2</v>
      </c>
    </row>
    <row r="14" spans="1:17" x14ac:dyDescent="0.3">
      <c r="D14" s="156" t="s">
        <v>446</v>
      </c>
      <c r="E14" s="161">
        <v>2144.41</v>
      </c>
      <c r="F14" s="154"/>
      <c r="G14" s="153"/>
    </row>
    <row r="15" spans="1:17" x14ac:dyDescent="0.3">
      <c r="D15" s="156" t="s">
        <v>447</v>
      </c>
      <c r="E15" s="161">
        <v>4130.01</v>
      </c>
      <c r="F15" s="154"/>
      <c r="G15" s="153"/>
    </row>
    <row r="16" spans="1:17" x14ac:dyDescent="0.3">
      <c r="D16" s="156" t="s">
        <v>448</v>
      </c>
      <c r="E16" s="161">
        <v>0</v>
      </c>
      <c r="F16" s="154"/>
      <c r="G16" s="153"/>
    </row>
    <row r="17" spans="3:8" x14ac:dyDescent="0.3">
      <c r="D17" s="156" t="s">
        <v>449</v>
      </c>
      <c r="E17" s="162">
        <v>10710.82</v>
      </c>
      <c r="F17" s="154"/>
      <c r="G17" s="157"/>
      <c r="H17" s="157"/>
    </row>
    <row r="18" spans="3:8" ht="28.8" x14ac:dyDescent="0.3">
      <c r="D18" s="158" t="s">
        <v>193</v>
      </c>
      <c r="E18" s="163">
        <f>SUM(E7:E17)</f>
        <v>140682.35999999999</v>
      </c>
      <c r="F18" s="159">
        <f>E18/E18</f>
        <v>1</v>
      </c>
      <c r="G18" s="160">
        <f>(F7*G7)+(F8*G8)+(F13*G13)</f>
        <v>9.8639711666887717E-2</v>
      </c>
      <c r="H18" s="190" t="s">
        <v>507</v>
      </c>
    </row>
    <row r="20" spans="3:8" x14ac:dyDescent="0.3">
      <c r="D20" s="164" t="s">
        <v>450</v>
      </c>
    </row>
    <row r="21" spans="3:8" x14ac:dyDescent="0.3">
      <c r="C21" s="164" t="s">
        <v>451</v>
      </c>
    </row>
    <row r="22" spans="3:8" x14ac:dyDescent="0.3">
      <c r="D22" t="s">
        <v>452</v>
      </c>
    </row>
    <row r="23" spans="3:8" x14ac:dyDescent="0.3">
      <c r="D23" t="s">
        <v>453</v>
      </c>
    </row>
    <row r="24" spans="3:8" x14ac:dyDescent="0.3">
      <c r="D24" t="s">
        <v>454</v>
      </c>
    </row>
    <row r="25" spans="3:8" x14ac:dyDescent="0.3">
      <c r="C25" s="164" t="s">
        <v>455</v>
      </c>
    </row>
    <row r="26" spans="3:8" x14ac:dyDescent="0.3">
      <c r="D26" t="s">
        <v>456</v>
      </c>
    </row>
    <row r="27" spans="3:8" x14ac:dyDescent="0.3">
      <c r="D27" t="s">
        <v>457</v>
      </c>
    </row>
    <row r="28" spans="3:8" x14ac:dyDescent="0.3">
      <c r="D28" t="s">
        <v>458</v>
      </c>
    </row>
    <row r="29" spans="3:8" x14ac:dyDescent="0.3">
      <c r="D29" t="s">
        <v>459</v>
      </c>
    </row>
    <row r="30" spans="3:8" x14ac:dyDescent="0.3">
      <c r="D30" t="s">
        <v>460</v>
      </c>
    </row>
    <row r="31" spans="3:8" x14ac:dyDescent="0.3">
      <c r="D31" t="s">
        <v>461</v>
      </c>
    </row>
    <row r="32" spans="3:8" x14ac:dyDescent="0.3">
      <c r="D32" s="10" t="s">
        <v>462</v>
      </c>
    </row>
    <row r="34" spans="3:9" x14ac:dyDescent="0.3">
      <c r="C34" s="165" t="s">
        <v>445</v>
      </c>
      <c r="E34" s="157">
        <v>2021</v>
      </c>
      <c r="F34" s="157">
        <f>E34+1</f>
        <v>2022</v>
      </c>
      <c r="G34" s="157">
        <f>F34+1</f>
        <v>2023</v>
      </c>
      <c r="H34" s="157">
        <f>G34+1</f>
        <v>2024</v>
      </c>
      <c r="I34" s="157">
        <f>H34+1</f>
        <v>2025</v>
      </c>
    </row>
    <row r="35" spans="3:9" x14ac:dyDescent="0.3">
      <c r="D35" s="156" t="s">
        <v>446</v>
      </c>
      <c r="E35" s="161">
        <v>4437.75</v>
      </c>
      <c r="F35" s="161">
        <v>4866.03</v>
      </c>
      <c r="G35" s="161">
        <v>4920.0600000000004</v>
      </c>
      <c r="H35" s="161">
        <v>3629.41</v>
      </c>
      <c r="I35" s="161">
        <v>2144.41</v>
      </c>
    </row>
    <row r="36" spans="3:9" x14ac:dyDescent="0.3">
      <c r="D36" s="156" t="s">
        <v>447</v>
      </c>
      <c r="E36" s="161">
        <v>4065.69</v>
      </c>
      <c r="F36" s="161">
        <v>4769.59</v>
      </c>
      <c r="G36" s="161">
        <v>4839.6899999999996</v>
      </c>
      <c r="H36" s="161">
        <v>4206.24</v>
      </c>
      <c r="I36" s="161">
        <v>4130.01</v>
      </c>
    </row>
    <row r="37" spans="3:9" x14ac:dyDescent="0.3">
      <c r="D37" s="156" t="s">
        <v>448</v>
      </c>
      <c r="E37" s="153">
        <v>0</v>
      </c>
      <c r="F37" s="153">
        <v>0</v>
      </c>
      <c r="G37" s="153">
        <v>0</v>
      </c>
      <c r="H37" s="153">
        <v>842.74</v>
      </c>
      <c r="I37" s="153">
        <v>0</v>
      </c>
    </row>
    <row r="38" spans="3:9" x14ac:dyDescent="0.3">
      <c r="D38" s="156" t="s">
        <v>449</v>
      </c>
      <c r="E38" s="161">
        <v>3673.99</v>
      </c>
      <c r="F38" s="161">
        <v>3500.89</v>
      </c>
      <c r="G38" s="161">
        <v>6072.86</v>
      </c>
      <c r="H38" s="161">
        <v>8717.02</v>
      </c>
      <c r="I38" s="161">
        <v>10710.8</v>
      </c>
    </row>
    <row r="39" spans="3:9" x14ac:dyDescent="0.3">
      <c r="D39" s="158" t="s">
        <v>463</v>
      </c>
      <c r="E39" s="163">
        <f>SUM(E35:E38)</f>
        <v>12177.43</v>
      </c>
      <c r="F39" s="163">
        <f>SUM(F35:F38)</f>
        <v>13136.509999999998</v>
      </c>
      <c r="G39" s="163">
        <f>SUM(G35:G38)</f>
        <v>15832.61</v>
      </c>
      <c r="H39" s="163">
        <f>SUM(H35:H38)</f>
        <v>17395.41</v>
      </c>
      <c r="I39" s="163">
        <f>SUM(I35:I38)</f>
        <v>16985.22</v>
      </c>
    </row>
    <row r="40" spans="3:9" x14ac:dyDescent="0.3">
      <c r="D40" s="164" t="s">
        <v>464</v>
      </c>
      <c r="E40" s="153"/>
      <c r="F40" s="166">
        <f>F39/E39-1</f>
        <v>7.8758818568449795E-2</v>
      </c>
      <c r="G40" s="166">
        <f>G39/F39-1</f>
        <v>0.2052371596413356</v>
      </c>
      <c r="H40" s="166">
        <f>H39/G39-1</f>
        <v>9.8707667276589195E-2</v>
      </c>
      <c r="I40" s="166">
        <f>I39/H39-1</f>
        <v>-2.3580358266922063E-2</v>
      </c>
    </row>
    <row r="41" spans="3:9" x14ac:dyDescent="0.3">
      <c r="D41" s="10" t="s">
        <v>497</v>
      </c>
      <c r="E41" s="153"/>
      <c r="F41" s="167">
        <f>MEDIAN(F40:I40)</f>
        <v>8.8733242922519495E-2</v>
      </c>
      <c r="G41" s="153"/>
      <c r="H41" s="153"/>
      <c r="I41" s="153"/>
    </row>
    <row r="44" spans="3:9" x14ac:dyDescent="0.3">
      <c r="C44" s="114"/>
      <c r="D44" s="114" t="s">
        <v>465</v>
      </c>
      <c r="E44" s="114"/>
    </row>
    <row r="45" spans="3:9" x14ac:dyDescent="0.3">
      <c r="C45">
        <v>1</v>
      </c>
      <c r="D45" t="s">
        <v>467</v>
      </c>
    </row>
    <row r="46" spans="3:9" x14ac:dyDescent="0.3">
      <c r="C46">
        <v>2</v>
      </c>
      <c r="D46" t="s">
        <v>468</v>
      </c>
    </row>
    <row r="47" spans="3:9" x14ac:dyDescent="0.3">
      <c r="C47">
        <v>3</v>
      </c>
      <c r="D47" t="s">
        <v>470</v>
      </c>
    </row>
    <row r="48" spans="3:9" x14ac:dyDescent="0.3">
      <c r="C48">
        <v>4</v>
      </c>
      <c r="D48" t="s">
        <v>471</v>
      </c>
    </row>
    <row r="49" spans="3:4" x14ac:dyDescent="0.3">
      <c r="C49">
        <v>5</v>
      </c>
      <c r="D49" t="s">
        <v>469</v>
      </c>
    </row>
    <row r="52" spans="3:4" x14ac:dyDescent="0.3">
      <c r="D52" s="179" t="s">
        <v>392</v>
      </c>
    </row>
  </sheetData>
  <mergeCells count="4">
    <mergeCell ref="H1:L1"/>
    <mergeCell ref="M1:Q1"/>
    <mergeCell ref="D5:H5"/>
    <mergeCell ref="D4:H4"/>
  </mergeCells>
  <hyperlinks>
    <hyperlink ref="D52" location="'Cover page'!A1" display="Back to Cover" xr:uid="{02381BE9-BD2F-49F3-894F-9C8484FFF038}"/>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85BC4-CE80-44A9-9D9B-1CADB1478C9E}">
  <sheetPr>
    <tabColor theme="9" tint="0.39997558519241921"/>
  </sheetPr>
  <dimension ref="A1:W41"/>
  <sheetViews>
    <sheetView topLeftCell="D1" workbookViewId="0">
      <selection activeCell="L22" sqref="L22"/>
    </sheetView>
  </sheetViews>
  <sheetFormatPr defaultColWidth="11.77734375" defaultRowHeight="14.4" x14ac:dyDescent="0.3"/>
  <cols>
    <col min="1" max="3" width="1.33203125" customWidth="1"/>
    <col min="4" max="4" width="40.77734375" customWidth="1"/>
    <col min="5" max="6" width="12.77734375" customWidth="1"/>
    <col min="7" max="7" width="2.77734375" customWidth="1"/>
    <col min="8" max="8" width="10.6640625" bestFit="1" customWidth="1"/>
    <col min="13" max="13" width="11.44140625" customWidth="1"/>
    <col min="14" max="14" width="11.5546875" customWidth="1"/>
  </cols>
  <sheetData>
    <row r="1" spans="1:23" ht="32.4" x14ac:dyDescent="0.6">
      <c r="A1" s="1" t="str">
        <f>'Historical Info'!A1</f>
        <v>Ugar Sugar Works Ltd.</v>
      </c>
      <c r="B1" s="2"/>
      <c r="C1" s="2"/>
      <c r="D1" s="2"/>
      <c r="E1" s="3"/>
      <c r="F1" s="3"/>
      <c r="G1" s="3"/>
      <c r="H1" s="205"/>
      <c r="I1" s="205"/>
      <c r="J1" s="205"/>
      <c r="K1" s="205"/>
      <c r="L1" s="205"/>
      <c r="M1" s="205"/>
      <c r="N1" s="205"/>
      <c r="O1" s="205"/>
      <c r="P1" s="205"/>
      <c r="Q1" s="205"/>
    </row>
    <row r="2" spans="1:23" ht="15.6" x14ac:dyDescent="0.3">
      <c r="A2" s="4" t="s">
        <v>204</v>
      </c>
      <c r="B2" s="4"/>
      <c r="C2" s="4"/>
      <c r="D2" s="4"/>
      <c r="E2" s="5"/>
      <c r="F2" s="5"/>
      <c r="G2" s="5"/>
      <c r="H2" s="6"/>
      <c r="I2" s="6"/>
      <c r="J2" s="6"/>
      <c r="K2" s="6"/>
      <c r="L2" s="6"/>
      <c r="M2" s="6"/>
      <c r="N2" s="6"/>
      <c r="O2" s="6"/>
      <c r="P2" s="6"/>
      <c r="Q2" s="6"/>
    </row>
    <row r="4" spans="1:23" ht="21" x14ac:dyDescent="0.4">
      <c r="A4" s="18" t="s">
        <v>194</v>
      </c>
      <c r="B4" s="3"/>
      <c r="C4" s="3"/>
      <c r="D4" s="3"/>
      <c r="E4" s="3"/>
      <c r="F4" s="3"/>
      <c r="G4" s="3"/>
      <c r="H4" s="203">
        <f>'Financial Statements'!H2</f>
        <v>2021</v>
      </c>
      <c r="I4" s="203">
        <f>'Financial Statements'!I2</f>
        <v>2022</v>
      </c>
      <c r="J4" s="203">
        <f>'Financial Statements'!J2</f>
        <v>2023</v>
      </c>
      <c r="K4" s="203">
        <f>'Financial Statements'!K2</f>
        <v>2024</v>
      </c>
      <c r="L4" s="203">
        <f>'Financial Statements'!L2</f>
        <v>2025</v>
      </c>
      <c r="M4" s="181">
        <f>'Financial Statements'!M2</f>
        <v>2026</v>
      </c>
      <c r="N4" s="181">
        <f>'Financial Statements'!N2</f>
        <v>2027</v>
      </c>
      <c r="O4" s="181">
        <f>'Financial Statements'!O2</f>
        <v>2028</v>
      </c>
      <c r="P4" s="181">
        <f>'Financial Statements'!P2</f>
        <v>2029</v>
      </c>
      <c r="Q4" s="181">
        <f>'Financial Statements'!Q2</f>
        <v>2030</v>
      </c>
      <c r="R4" s="181">
        <f>'Financial Statements'!R2</f>
        <v>2031</v>
      </c>
      <c r="S4" s="181">
        <f>'Financial Statements'!S2</f>
        <v>2032</v>
      </c>
      <c r="T4" s="181">
        <f>'Financial Statements'!T2</f>
        <v>2033</v>
      </c>
      <c r="U4" s="181">
        <f>'Financial Statements'!U2</f>
        <v>2034</v>
      </c>
      <c r="V4" s="181">
        <f>'Financial Statements'!V2</f>
        <v>2035</v>
      </c>
    </row>
    <row r="6" spans="1:23" x14ac:dyDescent="0.3">
      <c r="C6" s="10" t="s">
        <v>189</v>
      </c>
      <c r="D6" s="9"/>
      <c r="E6" s="9"/>
      <c r="F6" s="10" t="str">
        <f>'Financial Statements'!F61</f>
        <v>₹ in Lakhs</v>
      </c>
    </row>
    <row r="7" spans="1:23" x14ac:dyDescent="0.3">
      <c r="C7" s="9"/>
      <c r="D7" s="9" t="s">
        <v>190</v>
      </c>
      <c r="E7" s="9"/>
      <c r="F7" s="9"/>
      <c r="H7" s="45">
        <f>'Historical Info'!H98</f>
        <v>-2975.16</v>
      </c>
      <c r="I7" s="45">
        <f>'Historical Info'!I98</f>
        <v>-3703.61</v>
      </c>
      <c r="J7" s="45">
        <f>'Historical Info'!J98</f>
        <v>-11675.45</v>
      </c>
      <c r="K7" s="45">
        <f>'Historical Info'!K98</f>
        <v>468.14</v>
      </c>
      <c r="L7" s="45">
        <f>'Historical Info'!L98</f>
        <v>3990.86</v>
      </c>
      <c r="M7" s="45">
        <f>'Financial Statements'!L31-'Financial Statements'!M31</f>
        <v>-505.7093858370954</v>
      </c>
      <c r="N7" s="45">
        <f>'Financial Statements'!M31-'Financial Statements'!N31</f>
        <v>-1120.1983684654588</v>
      </c>
      <c r="O7" s="45">
        <f>'Financial Statements'!N31-'Financial Statements'!O31</f>
        <v>-1104.2785459598908</v>
      </c>
      <c r="P7" s="45">
        <f>'Financial Statements'!O31-'Financial Statements'!P31</f>
        <v>-1080.1097456266471</v>
      </c>
      <c r="Q7" s="45">
        <f>'Financial Statements'!P31-'Financial Statements'!Q31</f>
        <v>-1048.9677092838774</v>
      </c>
      <c r="R7" s="45">
        <f>'Financial Statements'!Q31-'Financial Statements'!R31</f>
        <v>-1012.1298288711696</v>
      </c>
      <c r="S7" s="45">
        <f>'Financial Statements'!R31-'Financial Statements'!S31</f>
        <v>-970.82785655750558</v>
      </c>
      <c r="T7" s="45">
        <f>'Financial Statements'!S31-'Financial Statements'!T31</f>
        <v>-926.21314552689728</v>
      </c>
      <c r="U7" s="45">
        <f>'Financial Statements'!T31-'Financial Statements'!U31</f>
        <v>-879.33326507091988</v>
      </c>
      <c r="V7" s="45">
        <f>'Financial Statements'!U31-'Financial Statements'!V31</f>
        <v>-831.11837907458903</v>
      </c>
    </row>
    <row r="8" spans="1:23" x14ac:dyDescent="0.3">
      <c r="C8" s="9"/>
      <c r="D8" s="9" t="s">
        <v>149</v>
      </c>
      <c r="E8" s="9"/>
      <c r="F8" s="9"/>
      <c r="H8" s="45">
        <f>'Historical Info'!H99</f>
        <v>-4734.6099999999997</v>
      </c>
      <c r="I8" s="45">
        <f>'Historical Info'!I99</f>
        <v>-13437.27</v>
      </c>
      <c r="J8" s="45">
        <f>'Historical Info'!J99</f>
        <v>40418.14</v>
      </c>
      <c r="K8" s="45">
        <f>'Historical Info'!K99</f>
        <v>-11976.36</v>
      </c>
      <c r="L8" s="45">
        <f>'Historical Info'!L99</f>
        <v>-4125.13</v>
      </c>
      <c r="M8" s="45">
        <f>'Financial Statements'!L32-'Financial Statements'!M32</f>
        <v>-13120.149985507953</v>
      </c>
      <c r="N8" s="45">
        <f>'Financial Statements'!M32-'Financial Statements'!N32</f>
        <v>-5869.6157431299362</v>
      </c>
      <c r="O8" s="45">
        <f>'Financial Statements'!N32-'Financial Statements'!O32</f>
        <v>-5786.1990524463763</v>
      </c>
      <c r="P8" s="45">
        <f>'Financial Statements'!O32-'Financial Statements'!P32</f>
        <v>-5659.5593652962416</v>
      </c>
      <c r="Q8" s="45">
        <f>'Financial Statements'!P32-'Financial Statements'!Q32</f>
        <v>-5496.3813140363782</v>
      </c>
      <c r="R8" s="45">
        <f>'Financial Statements'!Q32-'Financial Statements'!R32</f>
        <v>-5303.3581773305486</v>
      </c>
      <c r="S8" s="45">
        <f>'Financial Statements'!R32-'Financial Statements'!S32</f>
        <v>-5086.9440905588563</v>
      </c>
      <c r="T8" s="45">
        <f>'Financial Statements'!S32-'Financial Statements'!T32</f>
        <v>-4853.1719144761882</v>
      </c>
      <c r="U8" s="45">
        <f>'Financial Statements'!T32-'Financial Statements'!U32</f>
        <v>-4607.5307029669493</v>
      </c>
      <c r="V8" s="45">
        <f>'Financial Statements'!U32-'Financial Statements'!V32</f>
        <v>-4354.8943290317839</v>
      </c>
    </row>
    <row r="9" spans="1:23" x14ac:dyDescent="0.3">
      <c r="C9" s="9"/>
      <c r="D9" s="9" t="s">
        <v>191</v>
      </c>
      <c r="E9" s="9"/>
      <c r="F9" s="9"/>
      <c r="H9" s="45">
        <f>'Historical Info'!H100</f>
        <v>-7459.68</v>
      </c>
      <c r="I9" s="45">
        <f>'Historical Info'!I100</f>
        <v>16326.45</v>
      </c>
      <c r="J9" s="45">
        <f>'Historical Info'!J100</f>
        <v>-7963.4</v>
      </c>
      <c r="K9" s="45">
        <f>'Historical Info'!K100</f>
        <v>-524.52</v>
      </c>
      <c r="L9" s="45">
        <f>'Historical Info'!L100</f>
        <v>-2690.39</v>
      </c>
      <c r="M9" s="45">
        <f>'Financial Statements'!M44-'Financial Statements'!L44</f>
        <v>6722.3627250355676</v>
      </c>
      <c r="N9" s="45">
        <f>'Financial Statements'!N44-'Financial Statements'!M44</f>
        <v>1656.1961573413137</v>
      </c>
      <c r="O9" s="45">
        <f>'Financial Statements'!O44-'Financial Statements'!N44</f>
        <v>1632.6589432178916</v>
      </c>
      <c r="P9" s="45">
        <f>'Financial Statements'!P44-'Financial Statements'!O44</f>
        <v>1596.9257415222892</v>
      </c>
      <c r="Q9" s="45">
        <f>'Financial Statements'!Q44-'Financial Statements'!P44</f>
        <v>1550.8827170235636</v>
      </c>
      <c r="R9" s="45">
        <f>'Financial Statements'!R44-'Financial Statements'!Q44</f>
        <v>1496.418474170132</v>
      </c>
      <c r="S9" s="45">
        <f>'Financial Statements'!S44-'Financial Statements'!R44</f>
        <v>1435.3541397074659</v>
      </c>
      <c r="T9" s="45">
        <f>'Financial Statements'!T44-'Financial Statements'!S44</f>
        <v>1369.3919717112731</v>
      </c>
      <c r="U9" s="45">
        <f>'Financial Statements'!U44-'Financial Statements'!T44</f>
        <v>1300.0807853593578</v>
      </c>
      <c r="V9" s="45">
        <f>'Financial Statements'!V44-'Financial Statements'!U44</f>
        <v>1228.7958137313799</v>
      </c>
    </row>
    <row r="10" spans="1:23" x14ac:dyDescent="0.3">
      <c r="C10" s="9"/>
      <c r="D10" s="9" t="s">
        <v>192</v>
      </c>
      <c r="E10" s="9"/>
      <c r="F10" s="9"/>
      <c r="H10" s="125">
        <v>0</v>
      </c>
      <c r="I10" s="125">
        <v>0</v>
      </c>
      <c r="J10" s="125">
        <v>0</v>
      </c>
      <c r="K10" s="125">
        <v>0</v>
      </c>
      <c r="L10" s="125">
        <v>0</v>
      </c>
      <c r="M10" s="45">
        <f>('Financial Statements'!L33-'Financial Statements'!M33)+('Financial Statements'!M45-'Financial Statements'!L45)</f>
        <v>0</v>
      </c>
      <c r="N10" s="45">
        <f>('Financial Statements'!M33-'Financial Statements'!N33)+('Financial Statements'!N45-'Financial Statements'!M45)</f>
        <v>0</v>
      </c>
      <c r="O10" s="45">
        <f>('Financial Statements'!N33-'Financial Statements'!O33)+('Financial Statements'!O45-'Financial Statements'!N45)</f>
        <v>0</v>
      </c>
      <c r="P10" s="45">
        <f>('Financial Statements'!O33-'Financial Statements'!P33)+('Financial Statements'!P45-'Financial Statements'!O45)</f>
        <v>0</v>
      </c>
      <c r="Q10" s="45">
        <f>('Financial Statements'!P33-'Financial Statements'!Q33)+('Financial Statements'!Q45-'Financial Statements'!P45)</f>
        <v>0</v>
      </c>
      <c r="R10" s="45">
        <f>('Financial Statements'!Q33-'Financial Statements'!R33)+('Financial Statements'!R45-'Financial Statements'!Q45)</f>
        <v>0</v>
      </c>
      <c r="S10" s="45">
        <f>('Financial Statements'!R33-'Financial Statements'!S33)+('Financial Statements'!S45-'Financial Statements'!R45)</f>
        <v>0</v>
      </c>
      <c r="T10" s="45">
        <f>('Financial Statements'!S33-'Financial Statements'!T33)+('Financial Statements'!T45-'Financial Statements'!S45)</f>
        <v>0</v>
      </c>
      <c r="U10" s="45">
        <f>('Financial Statements'!T33-'Financial Statements'!U33)+('Financial Statements'!U45-'Financial Statements'!T45)</f>
        <v>0</v>
      </c>
      <c r="V10" s="45">
        <f>('Financial Statements'!U33-'Financial Statements'!V33)+('Financial Statements'!V45-'Financial Statements'!U45)</f>
        <v>0</v>
      </c>
    </row>
    <row r="11" spans="1:23" x14ac:dyDescent="0.3">
      <c r="C11" s="9"/>
      <c r="D11" s="20" t="s">
        <v>193</v>
      </c>
      <c r="E11" s="20"/>
      <c r="F11" s="20"/>
      <c r="G11" s="20"/>
      <c r="H11" s="42">
        <f t="shared" ref="H11:V11" si="0">SUM(H7:H10)</f>
        <v>-15169.45</v>
      </c>
      <c r="I11" s="42">
        <f t="shared" si="0"/>
        <v>-814.43000000000029</v>
      </c>
      <c r="J11" s="42">
        <f t="shared" si="0"/>
        <v>20779.29</v>
      </c>
      <c r="K11" s="42">
        <f t="shared" si="0"/>
        <v>-12032.740000000002</v>
      </c>
      <c r="L11" s="42">
        <f t="shared" si="0"/>
        <v>-2824.66</v>
      </c>
      <c r="M11" s="42">
        <f t="shared" si="0"/>
        <v>-6903.4966463094806</v>
      </c>
      <c r="N11" s="42">
        <f t="shared" si="0"/>
        <v>-5333.6179542540813</v>
      </c>
      <c r="O11" s="42">
        <f t="shared" si="0"/>
        <v>-5257.8186551883755</v>
      </c>
      <c r="P11" s="42">
        <f t="shared" si="0"/>
        <v>-5142.7433694005995</v>
      </c>
      <c r="Q11" s="42">
        <f t="shared" si="0"/>
        <v>-4994.466306296692</v>
      </c>
      <c r="R11" s="42">
        <f t="shared" si="0"/>
        <v>-4819.0695320315863</v>
      </c>
      <c r="S11" s="42">
        <f t="shared" si="0"/>
        <v>-4622.4178074088959</v>
      </c>
      <c r="T11" s="42">
        <f t="shared" si="0"/>
        <v>-4409.9930882918125</v>
      </c>
      <c r="U11" s="42">
        <f t="shared" si="0"/>
        <v>-4186.7831826785114</v>
      </c>
      <c r="V11" s="42">
        <f t="shared" si="0"/>
        <v>-3957.216894374993</v>
      </c>
    </row>
    <row r="12" spans="1:23" s="23" customFormat="1" x14ac:dyDescent="0.3">
      <c r="H12" s="46"/>
      <c r="I12" s="46"/>
      <c r="J12" s="46"/>
      <c r="K12" s="46"/>
      <c r="L12" s="46"/>
      <c r="M12" s="46"/>
      <c r="N12" s="46"/>
      <c r="O12" s="46"/>
      <c r="P12" s="46"/>
      <c r="Q12" s="46"/>
      <c r="R12" s="46"/>
      <c r="S12" s="46"/>
      <c r="T12" s="46"/>
      <c r="U12" s="46"/>
      <c r="V12" s="46"/>
    </row>
    <row r="13" spans="1:23" x14ac:dyDescent="0.3">
      <c r="C13" s="10" t="s">
        <v>195</v>
      </c>
      <c r="D13" s="9"/>
      <c r="E13" s="9"/>
      <c r="F13" s="9"/>
      <c r="H13" s="41"/>
      <c r="I13" s="41"/>
      <c r="J13" s="41"/>
      <c r="K13" s="41"/>
      <c r="L13" s="41"/>
      <c r="M13" s="41"/>
      <c r="N13" s="41"/>
      <c r="O13" s="41"/>
      <c r="P13" s="41"/>
      <c r="Q13" s="41"/>
      <c r="R13" s="41"/>
      <c r="S13" s="41"/>
      <c r="T13" s="41"/>
      <c r="U13" s="41"/>
      <c r="V13" s="41"/>
    </row>
    <row r="14" spans="1:23" x14ac:dyDescent="0.3">
      <c r="C14" s="9"/>
      <c r="D14" s="9" t="s">
        <v>196</v>
      </c>
      <c r="E14" s="9"/>
      <c r="F14" s="9"/>
      <c r="H14" s="41"/>
      <c r="I14" s="41">
        <f t="shared" ref="I14:V14" si="1">H17</f>
        <v>13092.66</v>
      </c>
      <c r="J14" s="41">
        <f t="shared" si="1"/>
        <v>23090.44</v>
      </c>
      <c r="K14" s="41">
        <f t="shared" si="1"/>
        <v>26142.36</v>
      </c>
      <c r="L14" s="41">
        <f t="shared" si="1"/>
        <v>33293.479999999996</v>
      </c>
      <c r="M14" s="41">
        <f t="shared" si="1"/>
        <v>38219.29</v>
      </c>
      <c r="N14" s="41">
        <f t="shared" si="1"/>
        <v>43497.450656530949</v>
      </c>
      <c r="O14" s="41">
        <f t="shared" si="1"/>
        <v>48381.784859048421</v>
      </c>
      <c r="P14" s="41">
        <f t="shared" si="1"/>
        <v>51937.39985095134</v>
      </c>
      <c r="Q14" s="41">
        <f t="shared" si="1"/>
        <v>55170.789899266274</v>
      </c>
      <c r="R14" s="41">
        <f t="shared" si="1"/>
        <v>58115.229910281909</v>
      </c>
      <c r="S14" s="41">
        <f t="shared" si="1"/>
        <v>59638.277083216992</v>
      </c>
      <c r="T14" s="41">
        <f t="shared" si="1"/>
        <v>61017.832305026255</v>
      </c>
      <c r="U14" s="41">
        <f t="shared" si="1"/>
        <v>62271.704622076293</v>
      </c>
      <c r="V14" s="41">
        <f t="shared" si="1"/>
        <v>62170.0865900809</v>
      </c>
    </row>
    <row r="15" spans="1:23" x14ac:dyDescent="0.3">
      <c r="C15" s="9"/>
      <c r="D15" s="9" t="s">
        <v>197</v>
      </c>
      <c r="E15" s="9"/>
      <c r="F15" s="9"/>
      <c r="H15" s="41"/>
      <c r="I15" s="41">
        <f>I17-I14-I16</f>
        <v>11145.829999999998</v>
      </c>
      <c r="J15" s="41">
        <f>J17-J14-J16</f>
        <v>4859.9000000000015</v>
      </c>
      <c r="K15" s="41">
        <f>K17-K14-K16</f>
        <v>10059.329999999994</v>
      </c>
      <c r="L15" s="41">
        <f>L17-L14-L16</f>
        <v>7676.0100000000048</v>
      </c>
      <c r="M15" s="41">
        <f>AVERAGE(I15:L15)</f>
        <v>8435.2674999999999</v>
      </c>
      <c r="N15" s="41">
        <f t="shared" ref="N15:V15" si="2">M15*(1+0.5%)</f>
        <v>8477.4438374999991</v>
      </c>
      <c r="O15" s="41">
        <f t="shared" si="2"/>
        <v>8519.8310566874989</v>
      </c>
      <c r="P15" s="41">
        <f t="shared" si="2"/>
        <v>8562.4302119709355</v>
      </c>
      <c r="Q15" s="41">
        <f t="shared" si="2"/>
        <v>8605.2423630307894</v>
      </c>
      <c r="R15" s="41">
        <f t="shared" si="2"/>
        <v>8648.2685748459426</v>
      </c>
      <c r="S15" s="41">
        <f t="shared" si="2"/>
        <v>8691.5099177201719</v>
      </c>
      <c r="T15" s="41">
        <f t="shared" si="2"/>
        <v>8734.967467308772</v>
      </c>
      <c r="U15" s="41">
        <f t="shared" si="2"/>
        <v>8778.6423046453147</v>
      </c>
      <c r="V15" s="41">
        <f t="shared" si="2"/>
        <v>8822.5355161685402</v>
      </c>
      <c r="W15" s="41"/>
    </row>
    <row r="16" spans="1:23" x14ac:dyDescent="0.3">
      <c r="C16" s="9"/>
      <c r="D16" s="9" t="s">
        <v>198</v>
      </c>
      <c r="E16" s="9"/>
      <c r="F16" s="9"/>
      <c r="G16" s="9"/>
      <c r="H16" s="45">
        <f>-'Financial Statements'!H62</f>
        <v>-1242.6199999999999</v>
      </c>
      <c r="I16" s="45">
        <f>-'Financial Statements'!I62</f>
        <v>-1148.05</v>
      </c>
      <c r="J16" s="45">
        <f>-'Financial Statements'!J62</f>
        <v>-1807.98</v>
      </c>
      <c r="K16" s="45">
        <f>-'Financial Statements'!K62</f>
        <v>-2908.21</v>
      </c>
      <c r="L16" s="45">
        <f>-'Financial Statements'!L62</f>
        <v>-2750.2</v>
      </c>
      <c r="M16" s="43">
        <f>-M14*'Ratio Analysis &amp; Interpretation'!M10</f>
        <v>-3157.1068434690524</v>
      </c>
      <c r="N16" s="43">
        <f>-N14*'Ratio Analysis &amp; Interpretation'!N10</f>
        <v>-3593.1096349825252</v>
      </c>
      <c r="O16" s="43">
        <f>-O14*'Ratio Analysis &amp; Interpretation'!O10</f>
        <v>-4964.2160647845831</v>
      </c>
      <c r="P16" s="43">
        <f>-P14*'Ratio Analysis &amp; Interpretation'!P10</f>
        <v>-5329.0401636560055</v>
      </c>
      <c r="Q16" s="43">
        <f>-Q14*'Ratio Analysis &amp; Interpretation'!Q10</f>
        <v>-5660.8023520151573</v>
      </c>
      <c r="R16" s="43">
        <f>-R14*'Ratio Analysis &amp; Interpretation'!R10</f>
        <v>-7125.2214019108651</v>
      </c>
      <c r="S16" s="43">
        <f>-S14*'Ratio Analysis &amp; Interpretation'!S10</f>
        <v>-7311.9546959109102</v>
      </c>
      <c r="T16" s="43">
        <f>-T14*'Ratio Analysis &amp; Interpretation'!T10</f>
        <v>-7481.0951502587332</v>
      </c>
      <c r="U16" s="43">
        <f>-U14*'Ratio Analysis &amp; Interpretation'!U10</f>
        <v>-8880.2603366407111</v>
      </c>
      <c r="V16" s="43">
        <f>-V14*'Ratio Analysis &amp; Interpretation'!V10</f>
        <v>-8865.7690908254117</v>
      </c>
    </row>
    <row r="17" spans="3:22" x14ac:dyDescent="0.3">
      <c r="C17" s="9"/>
      <c r="D17" s="20" t="s">
        <v>199</v>
      </c>
      <c r="E17" s="20"/>
      <c r="F17" s="20"/>
      <c r="G17" s="20"/>
      <c r="H17" s="42">
        <f>'Financial Statements'!H36</f>
        <v>13092.66</v>
      </c>
      <c r="I17" s="42">
        <f>'Financial Statements'!I36</f>
        <v>23090.44</v>
      </c>
      <c r="J17" s="42">
        <f>'Financial Statements'!J36</f>
        <v>26142.36</v>
      </c>
      <c r="K17" s="42">
        <f>'Financial Statements'!K36</f>
        <v>33293.479999999996</v>
      </c>
      <c r="L17" s="42">
        <f>'Financial Statements'!L36</f>
        <v>38219.29</v>
      </c>
      <c r="M17" s="42">
        <f t="shared" ref="M17:V17" si="3">SUM(M14:M16)</f>
        <v>43497.450656530949</v>
      </c>
      <c r="N17" s="42">
        <f t="shared" si="3"/>
        <v>48381.784859048421</v>
      </c>
      <c r="O17" s="42">
        <f t="shared" si="3"/>
        <v>51937.39985095134</v>
      </c>
      <c r="P17" s="42">
        <f t="shared" si="3"/>
        <v>55170.789899266274</v>
      </c>
      <c r="Q17" s="42">
        <f t="shared" si="3"/>
        <v>58115.229910281909</v>
      </c>
      <c r="R17" s="42">
        <f t="shared" si="3"/>
        <v>59638.277083216992</v>
      </c>
      <c r="S17" s="42">
        <f t="shared" si="3"/>
        <v>61017.832305026255</v>
      </c>
      <c r="T17" s="42">
        <f t="shared" si="3"/>
        <v>62271.704622076293</v>
      </c>
      <c r="U17" s="42">
        <f t="shared" si="3"/>
        <v>62170.0865900809</v>
      </c>
      <c r="V17" s="42">
        <f t="shared" si="3"/>
        <v>62126.853015424029</v>
      </c>
    </row>
    <row r="18" spans="3:22" x14ac:dyDescent="0.3">
      <c r="H18" s="41"/>
      <c r="I18" s="41"/>
      <c r="J18" s="41"/>
      <c r="K18" s="41"/>
      <c r="L18" s="41"/>
      <c r="M18" s="41"/>
      <c r="N18" s="41"/>
      <c r="O18" s="41"/>
      <c r="P18" s="41"/>
      <c r="Q18" s="41"/>
      <c r="R18" s="41"/>
      <c r="S18" s="41"/>
      <c r="T18" s="41"/>
      <c r="U18" s="41"/>
      <c r="V18" s="41"/>
    </row>
    <row r="19" spans="3:22" x14ac:dyDescent="0.3">
      <c r="C19" s="10" t="s">
        <v>200</v>
      </c>
      <c r="D19" s="9"/>
      <c r="E19" s="9"/>
      <c r="F19" s="9"/>
      <c r="H19" s="41"/>
      <c r="I19" s="41"/>
      <c r="J19" s="41"/>
      <c r="K19" s="41"/>
      <c r="L19" s="41"/>
      <c r="M19" s="41"/>
      <c r="N19" s="41"/>
      <c r="O19" s="41"/>
      <c r="P19" s="41"/>
      <c r="Q19" s="41"/>
      <c r="R19" s="41"/>
      <c r="S19" s="41"/>
      <c r="T19" s="41"/>
      <c r="U19" s="41"/>
      <c r="V19" s="41"/>
    </row>
    <row r="20" spans="3:22" x14ac:dyDescent="0.3">
      <c r="C20" s="9"/>
      <c r="D20" s="9" t="s">
        <v>201</v>
      </c>
      <c r="E20" s="9"/>
      <c r="F20" s="9"/>
      <c r="H20" s="41"/>
      <c r="I20" s="41">
        <f t="shared" ref="I20:V20" si="4">H22</f>
        <v>55416.12</v>
      </c>
      <c r="J20" s="41">
        <f t="shared" si="4"/>
        <v>63968.33</v>
      </c>
      <c r="K20" s="41">
        <f t="shared" si="4"/>
        <v>34718.35</v>
      </c>
      <c r="L20" s="41">
        <f t="shared" si="4"/>
        <v>51383.83</v>
      </c>
      <c r="M20" s="41">
        <f t="shared" si="4"/>
        <v>61097.960000000006</v>
      </c>
      <c r="N20" s="41">
        <f t="shared" si="4"/>
        <v>61097.960000000006</v>
      </c>
      <c r="O20" s="41">
        <f t="shared" si="4"/>
        <v>61097.960000000006</v>
      </c>
      <c r="P20" s="41">
        <f t="shared" si="4"/>
        <v>61097.960000000006</v>
      </c>
      <c r="Q20" s="41">
        <f t="shared" si="4"/>
        <v>61097.960000000006</v>
      </c>
      <c r="R20" s="41">
        <f t="shared" si="4"/>
        <v>61097.960000000006</v>
      </c>
      <c r="S20" s="41">
        <f t="shared" si="4"/>
        <v>61097.960000000006</v>
      </c>
      <c r="T20" s="41">
        <f t="shared" si="4"/>
        <v>61097.960000000006</v>
      </c>
      <c r="U20" s="41">
        <f t="shared" si="4"/>
        <v>61097.960000000006</v>
      </c>
      <c r="V20" s="41">
        <f t="shared" si="4"/>
        <v>61097.960000000006</v>
      </c>
    </row>
    <row r="21" spans="3:22" x14ac:dyDescent="0.3">
      <c r="C21" s="9"/>
      <c r="D21" s="9" t="s">
        <v>180</v>
      </c>
      <c r="E21" s="9"/>
      <c r="F21" s="9"/>
      <c r="G21" s="9"/>
      <c r="H21" s="41"/>
      <c r="I21" s="43">
        <f>I22-I20</f>
        <v>8552.2099999999991</v>
      </c>
      <c r="J21" s="43">
        <f>J22-J20</f>
        <v>-29249.980000000003</v>
      </c>
      <c r="K21" s="43">
        <f>K22-K20</f>
        <v>16665.480000000003</v>
      </c>
      <c r="L21" s="43">
        <f>L22-L20</f>
        <v>9714.1300000000047</v>
      </c>
      <c r="M21" s="116">
        <v>0</v>
      </c>
      <c r="N21" s="116">
        <v>0</v>
      </c>
      <c r="O21" s="116">
        <v>0</v>
      </c>
      <c r="P21" s="116">
        <v>0</v>
      </c>
      <c r="Q21" s="116">
        <v>0</v>
      </c>
      <c r="R21" s="116">
        <v>0</v>
      </c>
      <c r="S21" s="116">
        <v>0</v>
      </c>
      <c r="T21" s="116">
        <v>0</v>
      </c>
      <c r="U21" s="116">
        <v>0</v>
      </c>
      <c r="V21" s="116">
        <v>0</v>
      </c>
    </row>
    <row r="22" spans="3:22" x14ac:dyDescent="0.3">
      <c r="C22" s="9"/>
      <c r="D22" s="20" t="s">
        <v>202</v>
      </c>
      <c r="E22" s="20"/>
      <c r="F22" s="20"/>
      <c r="G22" s="20"/>
      <c r="H22" s="42">
        <f>'Financial Statements'!H47</f>
        <v>55416.12</v>
      </c>
      <c r="I22" s="42">
        <f>'Financial Statements'!I47</f>
        <v>63968.33</v>
      </c>
      <c r="J22" s="42">
        <f>'Financial Statements'!J47</f>
        <v>34718.35</v>
      </c>
      <c r="K22" s="42">
        <f>'Financial Statements'!K47</f>
        <v>51383.83</v>
      </c>
      <c r="L22" s="42">
        <f>'Financial Statements'!L47</f>
        <v>61097.960000000006</v>
      </c>
      <c r="M22" s="42">
        <f t="shared" ref="M22:V22" si="5">SUM(M20:M21)</f>
        <v>61097.960000000006</v>
      </c>
      <c r="N22" s="42">
        <f t="shared" si="5"/>
        <v>61097.960000000006</v>
      </c>
      <c r="O22" s="42">
        <f t="shared" si="5"/>
        <v>61097.960000000006</v>
      </c>
      <c r="P22" s="42">
        <f t="shared" si="5"/>
        <v>61097.960000000006</v>
      </c>
      <c r="Q22" s="42">
        <f t="shared" si="5"/>
        <v>61097.960000000006</v>
      </c>
      <c r="R22" s="42">
        <f t="shared" si="5"/>
        <v>61097.960000000006</v>
      </c>
      <c r="S22" s="42">
        <f t="shared" si="5"/>
        <v>61097.960000000006</v>
      </c>
      <c r="T22" s="42">
        <f t="shared" si="5"/>
        <v>61097.960000000006</v>
      </c>
      <c r="U22" s="42">
        <f t="shared" si="5"/>
        <v>61097.960000000006</v>
      </c>
      <c r="V22" s="42">
        <f t="shared" si="5"/>
        <v>61097.960000000006</v>
      </c>
    </row>
    <row r="23" spans="3:22" x14ac:dyDescent="0.3">
      <c r="C23" s="9"/>
      <c r="D23" s="9" t="s">
        <v>203</v>
      </c>
      <c r="E23" s="9"/>
      <c r="F23" s="9"/>
      <c r="H23" s="41">
        <f>'Financial Statements'!H19</f>
        <v>-4261.32</v>
      </c>
      <c r="I23" s="41">
        <f>'Financial Statements'!I19</f>
        <v>-4353.84</v>
      </c>
      <c r="J23" s="41">
        <f>'Financial Statements'!J19</f>
        <v>-4859.5200000000004</v>
      </c>
      <c r="K23" s="41">
        <f>'Financial Statements'!K19</f>
        <v>-4440.26</v>
      </c>
      <c r="L23" s="41">
        <f>'Financial Statements'!L19</f>
        <v>-4843.3900000000003</v>
      </c>
      <c r="M23" s="41">
        <f>-M22*'Ratio Analysis &amp; Interpretation'!M11</f>
        <v>-5753.6969600898756</v>
      </c>
      <c r="N23" s="41">
        <f>-N22*'Ratio Analysis &amp; Interpretation'!N11</f>
        <v>-5753.6969600898756</v>
      </c>
      <c r="O23" s="41">
        <f>-O22*'Ratio Analysis &amp; Interpretation'!O11</f>
        <v>-5753.6969600898756</v>
      </c>
      <c r="P23" s="41">
        <f>-P22*'Ratio Analysis &amp; Interpretation'!P11</f>
        <v>-5753.6969600898756</v>
      </c>
      <c r="Q23" s="41">
        <f>-Q22*'Ratio Analysis &amp; Interpretation'!Q11</f>
        <v>-5753.6969600898756</v>
      </c>
      <c r="R23" s="41">
        <f>-R22*'Ratio Analysis &amp; Interpretation'!R11</f>
        <v>-5753.6969600898756</v>
      </c>
      <c r="S23" s="41">
        <f>-S22*'Ratio Analysis &amp; Interpretation'!S11</f>
        <v>-5753.6969600898756</v>
      </c>
      <c r="T23" s="41">
        <f>-T22*'Ratio Analysis &amp; Interpretation'!T11</f>
        <v>-5753.6969600898756</v>
      </c>
      <c r="U23" s="41">
        <f>-U22*'Ratio Analysis &amp; Interpretation'!U11</f>
        <v>-5753.6969600898756</v>
      </c>
      <c r="V23" s="41">
        <f>-V22*'Ratio Analysis &amp; Interpretation'!V11</f>
        <v>-5753.6969600898756</v>
      </c>
    </row>
    <row r="24" spans="3:22" x14ac:dyDescent="0.3">
      <c r="M24" s="10"/>
    </row>
    <row r="41" spans="14:14" x14ac:dyDescent="0.3">
      <c r="N41" s="34"/>
    </row>
  </sheetData>
  <mergeCells count="2">
    <mergeCell ref="H1:L1"/>
    <mergeCell ref="M1:Q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2630F-56C5-41EA-AC0C-66A3255ACE9E}">
  <sheetPr>
    <tabColor theme="9" tint="0.39997558519241921"/>
  </sheetPr>
  <dimension ref="A1:AM86"/>
  <sheetViews>
    <sheetView zoomScale="76" zoomScaleNormal="90" workbookViewId="0">
      <pane ySplit="3" topLeftCell="A8" activePane="bottomLeft" state="frozen"/>
      <selection activeCell="N32" sqref="N32"/>
      <selection pane="bottomLeft" activeCell="H12" sqref="H12"/>
    </sheetView>
  </sheetViews>
  <sheetFormatPr defaultColWidth="11.77734375" defaultRowHeight="14.4" x14ac:dyDescent="0.3"/>
  <cols>
    <col min="1" max="3" width="1.33203125" customWidth="1"/>
    <col min="4" max="4" width="40.77734375" customWidth="1"/>
    <col min="5" max="6" width="12.77734375" customWidth="1"/>
    <col min="7" max="7" width="2.77734375" customWidth="1"/>
    <col min="8" max="8" width="13.21875" customWidth="1"/>
    <col min="9" max="9" width="13.109375" customWidth="1"/>
    <col min="10" max="10" width="11" bestFit="1" customWidth="1"/>
    <col min="13" max="13" width="11.77734375" customWidth="1"/>
    <col min="14" max="14" width="11.6640625" customWidth="1"/>
    <col min="15" max="15" width="12.109375" customWidth="1"/>
    <col min="19" max="19" width="12.6640625" bestFit="1" customWidth="1"/>
    <col min="21" max="21" width="15.109375" bestFit="1" customWidth="1"/>
    <col min="23" max="23" width="12.44140625" bestFit="1" customWidth="1"/>
    <col min="24" max="24" width="13.77734375" customWidth="1"/>
    <col min="25" max="25" width="218.6640625" customWidth="1"/>
  </cols>
  <sheetData>
    <row r="1" spans="1:39" ht="32.4" x14ac:dyDescent="0.6">
      <c r="A1" s="1" t="str">
        <f>'Historical Info'!A1</f>
        <v>Ugar Sugar Works Ltd.</v>
      </c>
      <c r="B1" s="2"/>
      <c r="C1" s="2"/>
      <c r="D1" s="2"/>
      <c r="E1" s="3"/>
      <c r="F1" s="3"/>
      <c r="G1" s="3"/>
      <c r="H1" s="205" t="s">
        <v>144</v>
      </c>
      <c r="I1" s="205"/>
      <c r="J1" s="205"/>
      <c r="K1" s="205"/>
      <c r="L1" s="205"/>
      <c r="M1" s="205" t="s">
        <v>145</v>
      </c>
      <c r="N1" s="205"/>
      <c r="O1" s="205"/>
      <c r="P1" s="205"/>
      <c r="Q1" s="205"/>
      <c r="R1" s="148"/>
      <c r="S1" s="148"/>
      <c r="T1" s="148"/>
      <c r="U1" s="148"/>
      <c r="V1" s="148"/>
      <c r="W1" s="113"/>
      <c r="X1" s="113"/>
      <c r="Y1" s="220" t="s">
        <v>393</v>
      </c>
      <c r="Z1" s="220"/>
      <c r="AA1" s="220"/>
      <c r="AB1" s="220"/>
      <c r="AC1" s="220"/>
      <c r="AD1" s="220"/>
      <c r="AE1" s="220"/>
      <c r="AF1" s="220"/>
      <c r="AG1" s="220"/>
      <c r="AH1" s="220"/>
      <c r="AI1" s="220"/>
      <c r="AJ1" s="220"/>
      <c r="AK1" s="220"/>
      <c r="AL1" s="220"/>
      <c r="AM1" s="220"/>
    </row>
    <row r="2" spans="1:39" ht="15.6" x14ac:dyDescent="0.3">
      <c r="A2" s="2" t="s">
        <v>110</v>
      </c>
      <c r="B2" s="4"/>
      <c r="C2" s="4"/>
      <c r="D2" s="4"/>
      <c r="E2" s="5"/>
      <c r="F2" s="5"/>
      <c r="G2" s="5"/>
      <c r="H2" s="6">
        <v>2021</v>
      </c>
      <c r="I2" s="6">
        <f t="shared" ref="I2:V2" si="0">H2+1</f>
        <v>2022</v>
      </c>
      <c r="J2" s="6">
        <f t="shared" si="0"/>
        <v>2023</v>
      </c>
      <c r="K2" s="6">
        <f t="shared" si="0"/>
        <v>2024</v>
      </c>
      <c r="L2" s="6">
        <f t="shared" si="0"/>
        <v>2025</v>
      </c>
      <c r="M2" s="7">
        <f t="shared" si="0"/>
        <v>2026</v>
      </c>
      <c r="N2" s="7">
        <f t="shared" si="0"/>
        <v>2027</v>
      </c>
      <c r="O2" s="7">
        <f t="shared" si="0"/>
        <v>2028</v>
      </c>
      <c r="P2" s="7">
        <f t="shared" si="0"/>
        <v>2029</v>
      </c>
      <c r="Q2" s="7">
        <f t="shared" si="0"/>
        <v>2030</v>
      </c>
      <c r="R2" s="7">
        <f t="shared" si="0"/>
        <v>2031</v>
      </c>
      <c r="S2" s="7">
        <f t="shared" si="0"/>
        <v>2032</v>
      </c>
      <c r="T2" s="7">
        <f t="shared" si="0"/>
        <v>2033</v>
      </c>
      <c r="U2" s="7">
        <f t="shared" si="0"/>
        <v>2034</v>
      </c>
      <c r="V2" s="7">
        <f t="shared" si="0"/>
        <v>2035</v>
      </c>
      <c r="W2" s="117" t="s">
        <v>472</v>
      </c>
      <c r="X2" s="113"/>
      <c r="Y2" s="220"/>
      <c r="Z2" s="220"/>
      <c r="AA2" s="220"/>
      <c r="AB2" s="220"/>
      <c r="AC2" s="220"/>
      <c r="AD2" s="220"/>
      <c r="AE2" s="220"/>
      <c r="AF2" s="220"/>
      <c r="AG2" s="220"/>
      <c r="AH2" s="220"/>
      <c r="AI2" s="220"/>
      <c r="AJ2" s="220"/>
      <c r="AK2" s="220"/>
      <c r="AL2" s="220"/>
      <c r="AM2" s="220"/>
    </row>
    <row r="3" spans="1:39" s="10" customFormat="1" x14ac:dyDescent="0.3">
      <c r="D3" s="10" t="s">
        <v>211</v>
      </c>
      <c r="H3" s="48" t="str">
        <f t="shared" ref="H3:V3" si="1">IF(H57="Perfect","Perfect","Error")</f>
        <v>Perfect</v>
      </c>
      <c r="I3" s="48" t="str">
        <f t="shared" si="1"/>
        <v>Perfect</v>
      </c>
      <c r="J3" s="48" t="str">
        <f t="shared" si="1"/>
        <v>Perfect</v>
      </c>
      <c r="K3" s="48" t="str">
        <f t="shared" si="1"/>
        <v>Perfect</v>
      </c>
      <c r="L3" s="48" t="str">
        <f t="shared" si="1"/>
        <v>Perfect</v>
      </c>
      <c r="M3" s="48" t="str">
        <f t="shared" si="1"/>
        <v>Perfect</v>
      </c>
      <c r="N3" s="48" t="str">
        <f t="shared" si="1"/>
        <v>Perfect</v>
      </c>
      <c r="O3" s="48" t="str">
        <f t="shared" si="1"/>
        <v>Perfect</v>
      </c>
      <c r="P3" s="48" t="str">
        <f t="shared" si="1"/>
        <v>Perfect</v>
      </c>
      <c r="Q3" s="48" t="str">
        <f t="shared" si="1"/>
        <v>Perfect</v>
      </c>
      <c r="R3" s="48" t="str">
        <f t="shared" si="1"/>
        <v>Perfect</v>
      </c>
      <c r="S3" s="48" t="str">
        <f t="shared" si="1"/>
        <v>Perfect</v>
      </c>
      <c r="T3" s="48" t="str">
        <f t="shared" si="1"/>
        <v>Perfect</v>
      </c>
      <c r="U3" s="48" t="str">
        <f t="shared" si="1"/>
        <v>Perfect</v>
      </c>
      <c r="V3" s="48" t="str">
        <f t="shared" si="1"/>
        <v>Perfect</v>
      </c>
    </row>
    <row r="5" spans="1:39" ht="15" thickBot="1" x14ac:dyDescent="0.35"/>
    <row r="6" spans="1:39" ht="15" thickBot="1" x14ac:dyDescent="0.35">
      <c r="A6" s="10"/>
      <c r="B6" s="10"/>
      <c r="C6" s="10"/>
      <c r="D6" s="8" t="s">
        <v>210</v>
      </c>
      <c r="E6" s="36" t="s">
        <v>206</v>
      </c>
      <c r="F6" s="37" t="s">
        <v>0</v>
      </c>
      <c r="G6" s="8">
        <f>IF(E6='Rev Growth Scenarios'!D5,1,IF('Financial Statements'!E6='Rev Growth Scenarios'!D6,2,3))</f>
        <v>1</v>
      </c>
      <c r="H6" s="38"/>
      <c r="I6" s="38"/>
      <c r="J6" s="39"/>
      <c r="K6" s="38"/>
      <c r="L6" s="38"/>
      <c r="M6" s="40"/>
      <c r="N6" s="40"/>
      <c r="O6" s="40"/>
      <c r="P6" s="40"/>
      <c r="Q6" s="40"/>
      <c r="R6" s="40"/>
      <c r="S6" s="40"/>
      <c r="T6" s="40"/>
      <c r="U6" s="40"/>
      <c r="V6" s="40"/>
    </row>
    <row r="7" spans="1:39" x14ac:dyDescent="0.3">
      <c r="D7" s="9"/>
      <c r="E7" s="9"/>
      <c r="F7" s="9"/>
      <c r="H7" s="28"/>
      <c r="I7" s="28"/>
      <c r="J7" s="28"/>
      <c r="K7" s="28"/>
      <c r="L7" s="28"/>
      <c r="M7" s="28"/>
      <c r="N7" s="28"/>
      <c r="O7" s="28"/>
      <c r="P7" s="28"/>
      <c r="Q7" s="28"/>
      <c r="R7" s="28"/>
      <c r="S7" s="28"/>
      <c r="T7" s="28"/>
      <c r="U7" s="28"/>
      <c r="V7" s="28"/>
      <c r="Y7" s="118"/>
    </row>
    <row r="8" spans="1:39" ht="21" x14ac:dyDescent="0.4">
      <c r="A8" s="18" t="s">
        <v>127</v>
      </c>
      <c r="B8" s="3"/>
      <c r="C8" s="3"/>
      <c r="D8" s="3"/>
      <c r="E8" s="3"/>
      <c r="F8" s="3"/>
      <c r="G8" s="3"/>
      <c r="H8" s="3"/>
      <c r="I8" s="3"/>
      <c r="J8" s="3"/>
      <c r="K8" s="3"/>
      <c r="L8" s="3"/>
      <c r="M8" s="3"/>
      <c r="N8" s="3"/>
      <c r="O8" s="3"/>
      <c r="P8" s="3"/>
      <c r="Q8" s="3"/>
      <c r="R8" s="3"/>
      <c r="S8" s="3"/>
      <c r="T8" s="3"/>
      <c r="U8" s="3"/>
      <c r="V8" s="3"/>
    </row>
    <row r="9" spans="1:39" x14ac:dyDescent="0.3">
      <c r="B9" s="10" t="s">
        <v>128</v>
      </c>
      <c r="C9" s="9"/>
      <c r="D9" s="9"/>
      <c r="E9" s="9"/>
      <c r="F9" s="9"/>
    </row>
    <row r="10" spans="1:39" x14ac:dyDescent="0.3">
      <c r="B10" s="10"/>
      <c r="C10" s="10"/>
      <c r="D10" s="10" t="s">
        <v>129</v>
      </c>
      <c r="E10" s="10"/>
      <c r="F10" s="19" t="s">
        <v>130</v>
      </c>
      <c r="H10" s="45">
        <f>'Historical Info'!H6</f>
        <v>111796.48</v>
      </c>
      <c r="I10" s="45">
        <f>'Historical Info'!I6</f>
        <v>130158.9</v>
      </c>
      <c r="J10" s="45">
        <f>'Historical Info'!J6</f>
        <v>194014.95</v>
      </c>
      <c r="K10" s="45">
        <f>'Historical Info'!K6</f>
        <v>127723.66</v>
      </c>
      <c r="L10" s="45">
        <f>'Historical Info'!L6</f>
        <v>140741.26999999999</v>
      </c>
      <c r="M10" s="41">
        <f>L10*(1+'Ratio Analysis &amp; Interpretation'!M6)</f>
        <v>154623.9482924316</v>
      </c>
      <c r="N10" s="41">
        <f>M10*(1+'Ratio Analysis &amp; Interpretation'!N6)</f>
        <v>168427.06410953848</v>
      </c>
      <c r="O10" s="41">
        <f>N10*(1+'Ratio Analysis &amp; Interpretation'!O6)</f>
        <v>182034.01542576935</v>
      </c>
      <c r="P10" s="41">
        <f>O10*(1+'Ratio Analysis &amp; Interpretation'!P6)</f>
        <v>195343.15810421645</v>
      </c>
      <c r="Q10" s="41">
        <f>P10*(1+'Ratio Analysis &amp; Interpretation'!Q6)</f>
        <v>208268.56773455293</v>
      </c>
      <c r="R10" s="41">
        <f>Q10*(1+'Ratio Analysis &amp; Interpretation'!R6)</f>
        <v>220740.05996587561</v>
      </c>
      <c r="S10" s="41">
        <f>R10*(1+'Ratio Analysis &amp; Interpretation'!S6)</f>
        <v>232702.62813216739</v>
      </c>
      <c r="T10" s="41">
        <f>S10*(1+'Ratio Analysis &amp; Interpretation'!T6)</f>
        <v>244115.45257374205</v>
      </c>
      <c r="U10" s="41">
        <f>T10*(1+'Ratio Analysis &amp; Interpretation'!U6)</f>
        <v>254950.62180920134</v>
      </c>
      <c r="V10" s="41">
        <f>U10*(1+'Ratio Analysis &amp; Interpretation'!V6)</f>
        <v>265191.68586271181</v>
      </c>
    </row>
    <row r="11" spans="1:39" x14ac:dyDescent="0.3">
      <c r="B11" s="9"/>
      <c r="C11" s="9"/>
      <c r="D11" s="9" t="s">
        <v>131</v>
      </c>
      <c r="E11" s="9"/>
      <c r="F11" s="9"/>
      <c r="H11" s="45">
        <f>-('Historical Info'!H10+'Historical Info'!H11+'Historical Info'!H12+'Historical Info'!H13)</f>
        <v>-79402.400000000009</v>
      </c>
      <c r="I11" s="45">
        <f>-('Historical Info'!I10+'Historical Info'!I11+'Historical Info'!I12+'Historical Info'!I13)</f>
        <v>-92627.409999999989</v>
      </c>
      <c r="J11" s="45">
        <f>-('Historical Info'!J10+'Historical Info'!J11+'Historical Info'!J12+'Historical Info'!J13)</f>
        <v>-143573.51</v>
      </c>
      <c r="K11" s="45">
        <f>-('Historical Info'!K10+'Historical Info'!K11+'Historical Info'!K12+'Historical Info'!K13)</f>
        <v>-94539.370000000024</v>
      </c>
      <c r="L11" s="45">
        <f>-('Historical Info'!L10+'Historical Info'!L11+'Historical Info'!L12+'Historical Info'!L13)</f>
        <v>-116720.15</v>
      </c>
      <c r="M11" s="41">
        <f>-M10*'Ratio Analysis &amp; Interpretation'!M7</f>
        <v>-115393.16187077742</v>
      </c>
      <c r="N11" s="41">
        <f>-N10*'Ratio Analysis &amp; Interpretation'!N7</f>
        <v>-125694.1870055913</v>
      </c>
      <c r="O11" s="41">
        <f>-O10*'Ratio Analysis &amp; Interpretation'!O7</f>
        <v>-135848.81798702298</v>
      </c>
      <c r="P11" s="41">
        <f>-P10*'Ratio Analysis &amp; Interpretation'!P7</f>
        <v>-145781.19956449233</v>
      </c>
      <c r="Q11" s="41">
        <f>-Q10*'Ratio Analysis &amp; Interpretation'!Q7</f>
        <v>-155427.20784581447</v>
      </c>
      <c r="R11" s="41">
        <f>-R10*'Ratio Analysis &amp; Interpretation'!R7</f>
        <v>-164734.46547124663</v>
      </c>
      <c r="S11" s="41">
        <f>-S10*'Ratio Analysis &amp; Interpretation'!S7</f>
        <v>-173661.92192315694</v>
      </c>
      <c r="T11" s="41">
        <f>-T10*'Ratio Analysis &amp; Interpretation'!T7</f>
        <v>-182179.11419985845</v>
      </c>
      <c r="U11" s="41">
        <f>-U10*'Ratio Analysis &amp; Interpretation'!U7</f>
        <v>-190265.21244849448</v>
      </c>
      <c r="V11" s="41">
        <f>-V10*'Ratio Analysis &amp; Interpretation'!V7</f>
        <v>-197907.94033836029</v>
      </c>
    </row>
    <row r="12" spans="1:39" s="10" customFormat="1" x14ac:dyDescent="0.3">
      <c r="D12" s="20" t="s">
        <v>132</v>
      </c>
      <c r="E12" s="20"/>
      <c r="F12" s="20"/>
      <c r="G12" s="20"/>
      <c r="H12" s="42">
        <f t="shared" ref="H12:V12" si="2">SUM(H10:H11)</f>
        <v>32394.079999999987</v>
      </c>
      <c r="I12" s="42">
        <f t="shared" si="2"/>
        <v>37531.490000000005</v>
      </c>
      <c r="J12" s="42">
        <f t="shared" si="2"/>
        <v>50441.440000000002</v>
      </c>
      <c r="K12" s="42">
        <f t="shared" si="2"/>
        <v>33184.289999999979</v>
      </c>
      <c r="L12" s="42">
        <f t="shared" si="2"/>
        <v>24021.119999999995</v>
      </c>
      <c r="M12" s="42">
        <f t="shared" si="2"/>
        <v>39230.786421654178</v>
      </c>
      <c r="N12" s="42">
        <f t="shared" si="2"/>
        <v>42732.877103947176</v>
      </c>
      <c r="O12" s="42">
        <f t="shared" si="2"/>
        <v>46185.197438746371</v>
      </c>
      <c r="P12" s="42">
        <f t="shared" si="2"/>
        <v>49561.958539724117</v>
      </c>
      <c r="Q12" s="42">
        <f t="shared" si="2"/>
        <v>52841.359888738458</v>
      </c>
      <c r="R12" s="42">
        <f t="shared" si="2"/>
        <v>56005.594494628982</v>
      </c>
      <c r="S12" s="42">
        <f t="shared" si="2"/>
        <v>59040.706209010445</v>
      </c>
      <c r="T12" s="42">
        <f t="shared" si="2"/>
        <v>61936.338373883598</v>
      </c>
      <c r="U12" s="42">
        <f t="shared" si="2"/>
        <v>64685.409360706864</v>
      </c>
      <c r="V12" s="42">
        <f t="shared" si="2"/>
        <v>67283.745524351514</v>
      </c>
      <c r="W12"/>
    </row>
    <row r="13" spans="1:39" x14ac:dyDescent="0.3">
      <c r="B13" s="10" t="s">
        <v>133</v>
      </c>
      <c r="C13" s="9"/>
      <c r="D13" s="9"/>
      <c r="E13" s="9"/>
      <c r="F13" s="9"/>
      <c r="G13" s="9"/>
      <c r="H13" s="43"/>
      <c r="I13" s="43"/>
      <c r="J13" s="43"/>
      <c r="K13" s="43"/>
      <c r="L13" s="43"/>
      <c r="M13" s="43"/>
      <c r="N13" s="43"/>
      <c r="O13" s="43"/>
      <c r="P13" s="43"/>
      <c r="Q13" s="43"/>
      <c r="R13" s="43"/>
      <c r="S13" s="43"/>
      <c r="T13" s="43"/>
      <c r="U13" s="43"/>
      <c r="V13" s="43"/>
    </row>
    <row r="14" spans="1:39" x14ac:dyDescent="0.3">
      <c r="B14" s="9"/>
      <c r="C14" s="9"/>
      <c r="D14" s="9" t="s">
        <v>134</v>
      </c>
      <c r="E14" s="9"/>
      <c r="F14" s="9"/>
      <c r="G14" s="9"/>
      <c r="H14" s="47">
        <f>-'Historical Info'!H14</f>
        <v>-6949.56</v>
      </c>
      <c r="I14" s="47">
        <f>-'Historical Info'!I14</f>
        <v>-7843.89</v>
      </c>
      <c r="J14" s="47">
        <f>-'Historical Info'!J14</f>
        <v>-10793.89</v>
      </c>
      <c r="K14" s="47">
        <f>-'Historical Info'!K14</f>
        <v>-9452.44</v>
      </c>
      <c r="L14" s="47">
        <f>-'Historical Info'!L14</f>
        <v>-8846.52</v>
      </c>
      <c r="M14" s="43">
        <f>-M10*'Ratio Analysis &amp; Interpretation'!M8</f>
        <v>-9738.9725071247703</v>
      </c>
      <c r="N14" s="43">
        <f>-N10*'Ratio Analysis &amp; Interpretation'!N8</f>
        <v>-10608.360250356021</v>
      </c>
      <c r="O14" s="43">
        <f>-O10*'Ratio Analysis &amp; Interpretation'!O8</f>
        <v>-11465.392593909521</v>
      </c>
      <c r="P14" s="43">
        <f>-P10*'Ratio Analysis &amp; Interpretation'!P8</f>
        <v>-12303.667492915845</v>
      </c>
      <c r="Q14" s="43">
        <f>-Q10*'Ratio Analysis &amp; Interpretation'!Q8</f>
        <v>-13117.773007768579</v>
      </c>
      <c r="R14" s="43">
        <f>-R10*'Ratio Analysis &amp; Interpretation'!R8</f>
        <v>-13903.288584786198</v>
      </c>
      <c r="S14" s="43">
        <f>-S10*'Ratio Analysis &amp; Interpretation'!S8</f>
        <v>-14656.749635113187</v>
      </c>
      <c r="T14" s="43">
        <f>-T10*'Ratio Analysis &amp; Interpretation'!T8</f>
        <v>-15375.585136939379</v>
      </c>
      <c r="U14" s="43">
        <f>-U10*'Ratio Analysis &amp; Interpretation'!U8</f>
        <v>-16058.037088655239</v>
      </c>
      <c r="V14" s="43">
        <f>-V10*'Ratio Analysis &amp; Interpretation'!V8</f>
        <v>-16703.069390328292</v>
      </c>
    </row>
    <row r="15" spans="1:39" x14ac:dyDescent="0.3">
      <c r="B15" s="9"/>
      <c r="C15" s="9"/>
      <c r="D15" s="9" t="s">
        <v>135</v>
      </c>
      <c r="E15" s="9"/>
      <c r="F15" s="9"/>
      <c r="G15" s="9"/>
      <c r="H15" s="47">
        <f>-('Historical Info'!H16+'Historical Info'!H18)</f>
        <v>-18666.97</v>
      </c>
      <c r="I15" s="47">
        <f>-('Historical Info'!I16+'Historical Info'!I18)</f>
        <v>-19773.34</v>
      </c>
      <c r="J15" s="47">
        <f>-('Historical Info'!J16+'Historical Info'!J18)</f>
        <v>-18783.129999999997</v>
      </c>
      <c r="K15" s="47">
        <f>-('Historical Info'!K16+'Historical Info'!K18)</f>
        <v>-16711.18</v>
      </c>
      <c r="L15" s="47">
        <f>-('Historical Info'!L16+'Historical Info'!L18)</f>
        <v>-11131.4</v>
      </c>
      <c r="M15" s="43">
        <f>-M10*'Ratio Analysis &amp; Interpretation'!M9</f>
        <v>-19347.54736007985</v>
      </c>
      <c r="N15" s="43">
        <f>-N10*'Ratio Analysis &amp; Interpretation'!N9</f>
        <v>-21074.682386298904</v>
      </c>
      <c r="O15" s="43">
        <f>-O10*'Ratio Analysis &amp; Interpretation'!O9</f>
        <v>-22777.272042845423</v>
      </c>
      <c r="P15" s="43">
        <f>-P10*'Ratio Analysis &amp; Interpretation'!P9</f>
        <v>-24442.59795863643</v>
      </c>
      <c r="Q15" s="43">
        <f>-Q10*'Ratio Analysis &amp; Interpretation'!Q9</f>
        <v>-26059.908716336231</v>
      </c>
      <c r="R15" s="43">
        <f>-R10*'Ratio Analysis &amp; Interpretation'!R9</f>
        <v>-27620.422396533042</v>
      </c>
      <c r="S15" s="43">
        <f>-S10*'Ratio Analysis &amp; Interpretation'!S9</f>
        <v>-29117.256209803621</v>
      </c>
      <c r="T15" s="43">
        <f>-T10*'Ratio Analysis &amp; Interpretation'!T9</f>
        <v>-30545.302536612176</v>
      </c>
      <c r="U15" s="43">
        <f>-U10*'Ratio Analysis &amp; Interpretation'!U9</f>
        <v>-31901.068912083716</v>
      </c>
      <c r="V15" s="43">
        <f>-V10*'Ratio Analysis &amp; Interpretation'!V9</f>
        <v>-33182.497008966711</v>
      </c>
      <c r="Y15" s="9" t="s">
        <v>135</v>
      </c>
    </row>
    <row r="16" spans="1:39" s="10" customFormat="1" x14ac:dyDescent="0.3">
      <c r="D16" s="20" t="s">
        <v>136</v>
      </c>
      <c r="E16" s="20"/>
      <c r="F16" s="20"/>
      <c r="G16" s="20"/>
      <c r="H16" s="42">
        <f t="shared" ref="H16:V16" si="3">SUM(H12,H14:H15)</f>
        <v>6777.5499999999847</v>
      </c>
      <c r="I16" s="42">
        <f t="shared" si="3"/>
        <v>9914.2600000000057</v>
      </c>
      <c r="J16" s="42">
        <f t="shared" si="3"/>
        <v>20864.420000000006</v>
      </c>
      <c r="K16" s="42">
        <f t="shared" si="3"/>
        <v>7020.6699999999764</v>
      </c>
      <c r="L16" s="42">
        <f t="shared" si="3"/>
        <v>4043.1999999999953</v>
      </c>
      <c r="M16" s="42">
        <f t="shared" si="3"/>
        <v>10144.266554449558</v>
      </c>
      <c r="N16" s="42">
        <f t="shared" si="3"/>
        <v>11049.83446729225</v>
      </c>
      <c r="O16" s="42">
        <f t="shared" si="3"/>
        <v>11942.532801991427</v>
      </c>
      <c r="P16" s="42">
        <f t="shared" si="3"/>
        <v>12815.69308817184</v>
      </c>
      <c r="Q16" s="42">
        <f t="shared" si="3"/>
        <v>13663.678164633649</v>
      </c>
      <c r="R16" s="42">
        <f t="shared" si="3"/>
        <v>14481.883513309742</v>
      </c>
      <c r="S16" s="42">
        <f t="shared" si="3"/>
        <v>15266.700364093638</v>
      </c>
      <c r="T16" s="42">
        <f t="shared" si="3"/>
        <v>16015.450700332043</v>
      </c>
      <c r="U16" s="42">
        <f t="shared" si="3"/>
        <v>16726.303359967907</v>
      </c>
      <c r="V16" s="42">
        <f t="shared" si="3"/>
        <v>17398.179125056507</v>
      </c>
      <c r="W16"/>
      <c r="Y16" s="9" t="s">
        <v>137</v>
      </c>
    </row>
    <row r="17" spans="1:25" x14ac:dyDescent="0.3">
      <c r="B17" s="9"/>
      <c r="C17" s="9"/>
      <c r="D17" s="9" t="s">
        <v>137</v>
      </c>
      <c r="E17" s="9"/>
      <c r="F17" s="9"/>
      <c r="G17" s="9"/>
      <c r="H17" s="47">
        <f>-'Historical Info'!H17</f>
        <v>-1242.6199999999999</v>
      </c>
      <c r="I17" s="47">
        <f>-'Historical Info'!I17</f>
        <v>-1148.05</v>
      </c>
      <c r="J17" s="47">
        <f>-'Historical Info'!J17</f>
        <v>-1807.97</v>
      </c>
      <c r="K17" s="47">
        <f>-'Historical Info'!K17</f>
        <v>-2908.21</v>
      </c>
      <c r="L17" s="47">
        <f>-'Historical Info'!L17</f>
        <v>-2750.21</v>
      </c>
      <c r="M17" s="43">
        <f>'Working Schedules'!M16</f>
        <v>-3157.1068434690524</v>
      </c>
      <c r="N17" s="43">
        <f>'Working Schedules'!N16</f>
        <v>-3593.1096349825252</v>
      </c>
      <c r="O17" s="43">
        <f>'Working Schedules'!O16</f>
        <v>-4964.2160647845831</v>
      </c>
      <c r="P17" s="43">
        <f>'Working Schedules'!P16</f>
        <v>-5329.0401636560055</v>
      </c>
      <c r="Q17" s="43">
        <f>'Working Schedules'!Q16</f>
        <v>-5660.8023520151573</v>
      </c>
      <c r="R17" s="43">
        <f>'Working Schedules'!R16</f>
        <v>-7125.2214019108651</v>
      </c>
      <c r="S17" s="43">
        <f>'Working Schedules'!S16</f>
        <v>-7311.9546959109102</v>
      </c>
      <c r="T17" s="43">
        <f>'Working Schedules'!T16</f>
        <v>-7481.0951502587332</v>
      </c>
      <c r="U17" s="43">
        <f>'Working Schedules'!U16</f>
        <v>-8880.2603366407111</v>
      </c>
      <c r="V17" s="43">
        <f>'Working Schedules'!V16</f>
        <v>-8865.7690908254117</v>
      </c>
      <c r="Y17" s="9" t="s">
        <v>139</v>
      </c>
    </row>
    <row r="18" spans="1:25" s="10" customFormat="1" x14ac:dyDescent="0.3">
      <c r="D18" s="20" t="s">
        <v>138</v>
      </c>
      <c r="E18" s="20"/>
      <c r="F18" s="20"/>
      <c r="G18" s="20"/>
      <c r="H18" s="42">
        <f t="shared" ref="H18:V18" si="4">SUM(H16:H17)</f>
        <v>5534.9299999999848</v>
      </c>
      <c r="I18" s="42">
        <f t="shared" si="4"/>
        <v>8766.2100000000064</v>
      </c>
      <c r="J18" s="42">
        <f t="shared" si="4"/>
        <v>19056.450000000004</v>
      </c>
      <c r="K18" s="42">
        <f t="shared" si="4"/>
        <v>4112.4599999999764</v>
      </c>
      <c r="L18" s="42">
        <f t="shared" si="4"/>
        <v>1292.9899999999952</v>
      </c>
      <c r="M18" s="42">
        <f t="shared" si="4"/>
        <v>6987.1597109805052</v>
      </c>
      <c r="N18" s="42">
        <f t="shared" si="4"/>
        <v>7456.7248323097247</v>
      </c>
      <c r="O18" s="42">
        <f t="shared" si="4"/>
        <v>6978.3167372068438</v>
      </c>
      <c r="P18" s="42">
        <f t="shared" si="4"/>
        <v>7486.6529245158345</v>
      </c>
      <c r="Q18" s="42">
        <f t="shared" si="4"/>
        <v>8002.8758126184921</v>
      </c>
      <c r="R18" s="42">
        <f t="shared" si="4"/>
        <v>7356.6621113988767</v>
      </c>
      <c r="S18" s="42">
        <f t="shared" si="4"/>
        <v>7954.745668182728</v>
      </c>
      <c r="T18" s="42">
        <f t="shared" si="4"/>
        <v>8534.3555500733091</v>
      </c>
      <c r="U18" s="42">
        <f t="shared" si="4"/>
        <v>7846.0430233271964</v>
      </c>
      <c r="V18" s="42">
        <f t="shared" si="4"/>
        <v>8532.4100342310958</v>
      </c>
      <c r="W18"/>
      <c r="Y18" s="9" t="s">
        <v>140</v>
      </c>
    </row>
    <row r="19" spans="1:25" x14ac:dyDescent="0.3">
      <c r="B19" s="9"/>
      <c r="C19" s="9"/>
      <c r="D19" s="9" t="s">
        <v>139</v>
      </c>
      <c r="E19" s="9"/>
      <c r="F19" s="9"/>
      <c r="G19" s="9"/>
      <c r="H19" s="47">
        <f>-'Historical Info'!H15</f>
        <v>-4261.32</v>
      </c>
      <c r="I19" s="47">
        <f>-'Historical Info'!I15</f>
        <v>-4353.84</v>
      </c>
      <c r="J19" s="47">
        <f>-'Historical Info'!J15</f>
        <v>-4859.5200000000004</v>
      </c>
      <c r="K19" s="47">
        <f>-'Historical Info'!K15</f>
        <v>-4440.26</v>
      </c>
      <c r="L19" s="47">
        <f>-'Historical Info'!L15</f>
        <v>-4843.3900000000003</v>
      </c>
      <c r="M19" s="43">
        <f>'Working Schedules'!M23</f>
        <v>-5753.6969600898756</v>
      </c>
      <c r="N19" s="43">
        <f>'Working Schedules'!N23</f>
        <v>-5753.6969600898756</v>
      </c>
      <c r="O19" s="43">
        <f>'Working Schedules'!O23</f>
        <v>-5753.6969600898756</v>
      </c>
      <c r="P19" s="43">
        <f>'Working Schedules'!P23</f>
        <v>-5753.6969600898756</v>
      </c>
      <c r="Q19" s="43">
        <f>'Working Schedules'!Q23</f>
        <v>-5753.6969600898756</v>
      </c>
      <c r="R19" s="43">
        <f>'Working Schedules'!R23</f>
        <v>-5753.6969600898756</v>
      </c>
      <c r="S19" s="43">
        <f>'Working Schedules'!S23</f>
        <v>-5753.6969600898756</v>
      </c>
      <c r="T19" s="43">
        <f>'Working Schedules'!T23</f>
        <v>-5753.6969600898756</v>
      </c>
      <c r="U19" s="43">
        <f>'Working Schedules'!U23</f>
        <v>-5753.6969600898756</v>
      </c>
      <c r="V19" s="43">
        <f>'Working Schedules'!V23</f>
        <v>-5753.6969600898756</v>
      </c>
      <c r="Y19" s="9" t="s">
        <v>142</v>
      </c>
    </row>
    <row r="20" spans="1:25" x14ac:dyDescent="0.3">
      <c r="B20" s="9"/>
      <c r="C20" s="9"/>
      <c r="D20" s="9" t="s">
        <v>140</v>
      </c>
      <c r="E20" s="9"/>
      <c r="F20" s="9"/>
      <c r="G20" s="9"/>
      <c r="H20" s="47">
        <f>'Historical Info'!H7</f>
        <v>586.52</v>
      </c>
      <c r="I20" s="47">
        <f>'Historical Info'!I7</f>
        <v>224.47</v>
      </c>
      <c r="J20" s="47">
        <f>'Historical Info'!J7</f>
        <v>642.30999999999995</v>
      </c>
      <c r="K20" s="47">
        <f>'Historical Info'!K7</f>
        <v>3307.94</v>
      </c>
      <c r="L20" s="47">
        <f>'Historical Info'!L7</f>
        <v>1339.29</v>
      </c>
      <c r="M20" s="43">
        <f>M10*'Ratio Analysis &amp; Interpretation'!M12</f>
        <v>1413.1605826375965</v>
      </c>
      <c r="N20" s="43">
        <f>N10*'Ratio Analysis &amp; Interpretation'!N12</f>
        <v>1539.3119285689936</v>
      </c>
      <c r="O20" s="43">
        <f>O10*'Ratio Analysis &amp; Interpretation'!O12</f>
        <v>1663.67046075186</v>
      </c>
      <c r="P20" s="43">
        <f>P10*'Ratio Analysis &amp; Interpretation'!P12</f>
        <v>1785.3072190262687</v>
      </c>
      <c r="Q20" s="43">
        <f>Q10*'Ratio Analysis &amp; Interpretation'!Q12</f>
        <v>1903.4369111325075</v>
      </c>
      <c r="R20" s="43">
        <f>R10*'Ratio Analysis &amp; Interpretation'!R12</f>
        <v>2017.4180985398068</v>
      </c>
      <c r="S20" s="43">
        <f>S10*'Ratio Analysis &amp; Interpretation'!S12</f>
        <v>2126.7480567151556</v>
      </c>
      <c r="T20" s="43">
        <f>T10*'Ratio Analysis &amp; Interpretation'!T12</f>
        <v>2231.0537209767745</v>
      </c>
      <c r="U20" s="43">
        <f>U10*'Ratio Analysis &amp; Interpretation'!U12</f>
        <v>2330.0799988519207</v>
      </c>
      <c r="V20" s="43">
        <f>V10*'Ratio Analysis &amp; Interpretation'!V12</f>
        <v>2423.6765484453717</v>
      </c>
    </row>
    <row r="21" spans="1:25" s="10" customFormat="1" x14ac:dyDescent="0.3">
      <c r="D21" s="20" t="s">
        <v>141</v>
      </c>
      <c r="E21" s="20"/>
      <c r="F21" s="20"/>
      <c r="G21" s="20"/>
      <c r="H21" s="42">
        <f t="shared" ref="H21:V21" si="5">SUM(H18:H20)</f>
        <v>1860.1299999999851</v>
      </c>
      <c r="I21" s="42">
        <f t="shared" si="5"/>
        <v>4636.8400000000065</v>
      </c>
      <c r="J21" s="42">
        <f t="shared" si="5"/>
        <v>14839.240000000003</v>
      </c>
      <c r="K21" s="42">
        <f t="shared" si="5"/>
        <v>2980.1399999999762</v>
      </c>
      <c r="L21" s="42">
        <f t="shared" si="5"/>
        <v>-2211.1100000000051</v>
      </c>
      <c r="M21" s="42">
        <f t="shared" si="5"/>
        <v>2646.6233335282259</v>
      </c>
      <c r="N21" s="42">
        <f t="shared" si="5"/>
        <v>3242.3398007888427</v>
      </c>
      <c r="O21" s="42">
        <f t="shared" si="5"/>
        <v>2888.2902378688282</v>
      </c>
      <c r="P21" s="42">
        <f t="shared" si="5"/>
        <v>3518.2631834522276</v>
      </c>
      <c r="Q21" s="42">
        <f t="shared" si="5"/>
        <v>4152.6157636611242</v>
      </c>
      <c r="R21" s="42">
        <f t="shared" si="5"/>
        <v>3620.3832498488082</v>
      </c>
      <c r="S21" s="42">
        <f t="shared" si="5"/>
        <v>4327.7967648080084</v>
      </c>
      <c r="T21" s="42">
        <f t="shared" si="5"/>
        <v>5011.712310960208</v>
      </c>
      <c r="U21" s="42">
        <f t="shared" si="5"/>
        <v>4422.4260620892419</v>
      </c>
      <c r="V21" s="42">
        <f t="shared" si="5"/>
        <v>5202.3896225865919</v>
      </c>
      <c r="W21"/>
    </row>
    <row r="22" spans="1:25" x14ac:dyDescent="0.3">
      <c r="B22" s="9"/>
      <c r="C22" s="9"/>
      <c r="D22" s="9" t="s">
        <v>142</v>
      </c>
      <c r="E22" s="9"/>
      <c r="F22" s="9"/>
      <c r="G22" s="9"/>
      <c r="H22" s="47">
        <f>-'Historical Info'!H28</f>
        <v>-155.07</v>
      </c>
      <c r="I22" s="47">
        <f>-'Historical Info'!I28</f>
        <v>-304.00000000000006</v>
      </c>
      <c r="J22" s="47">
        <f>-'Historical Info'!J28</f>
        <v>-4534.4400000000005</v>
      </c>
      <c r="K22" s="47">
        <f>-'Historical Info'!K28</f>
        <v>-865.8900000000001</v>
      </c>
      <c r="L22" s="47">
        <f>-'Historical Info'!L28</f>
        <v>586.16</v>
      </c>
      <c r="M22" s="43">
        <f>-M21*'Ratio Analysis &amp; Interpretation'!M13</f>
        <v>-714.84666514822379</v>
      </c>
      <c r="N22" s="43">
        <f>-N21*'Ratio Analysis &amp; Interpretation'!N13</f>
        <v>-875.74826553857315</v>
      </c>
      <c r="O22" s="43">
        <f>-O21*'Ratio Analysis &amp; Interpretation'!O13</f>
        <v>-794.56177219031611</v>
      </c>
      <c r="P22" s="43">
        <f>-P21*'Ratio Analysis &amp; Interpretation'!P13</f>
        <v>-967.86583059548525</v>
      </c>
      <c r="Q22" s="43">
        <f>-Q21*'Ratio Analysis &amp; Interpretation'!Q13</f>
        <v>-1163.1377948837599</v>
      </c>
      <c r="R22" s="43">
        <f>-R21*'Ratio Analysis &amp; Interpretation'!R13</f>
        <v>-1014.06073413126</v>
      </c>
      <c r="S22" s="43">
        <f>-S21*'Ratio Analysis &amp; Interpretation'!S13</f>
        <v>-1233.8445603124896</v>
      </c>
      <c r="T22" s="43">
        <f>-T21*'Ratio Analysis &amp; Interpretation'!T13</f>
        <v>-1428.8272552474427</v>
      </c>
      <c r="U22" s="43">
        <f>-U21*'Ratio Analysis &amp; Interpretation'!U13</f>
        <v>-1282.9352781217929</v>
      </c>
      <c r="V22" s="43">
        <f>-V21*'Ratio Analysis &amp; Interpretation'!V13</f>
        <v>-1509.2008512173911</v>
      </c>
    </row>
    <row r="23" spans="1:25" s="10" customFormat="1" ht="15" thickBot="1" x14ac:dyDescent="0.35">
      <c r="B23" s="21"/>
      <c r="C23" s="21"/>
      <c r="D23" s="22" t="s">
        <v>143</v>
      </c>
      <c r="E23" s="22"/>
      <c r="F23" s="22"/>
      <c r="G23" s="22"/>
      <c r="H23" s="44">
        <f t="shared" ref="H23:V23" si="6">SUM(H21:H22)</f>
        <v>1705.0599999999852</v>
      </c>
      <c r="I23" s="44">
        <f t="shared" si="6"/>
        <v>4332.8400000000065</v>
      </c>
      <c r="J23" s="44">
        <f t="shared" si="6"/>
        <v>10304.800000000003</v>
      </c>
      <c r="K23" s="44">
        <f t="shared" si="6"/>
        <v>2114.2499999999764</v>
      </c>
      <c r="L23" s="44">
        <f t="shared" si="6"/>
        <v>-1624.9500000000053</v>
      </c>
      <c r="M23" s="44">
        <f t="shared" si="6"/>
        <v>1931.7766683800021</v>
      </c>
      <c r="N23" s="44">
        <f t="shared" si="6"/>
        <v>2366.5915352502698</v>
      </c>
      <c r="O23" s="44">
        <f t="shared" si="6"/>
        <v>2093.7284656785123</v>
      </c>
      <c r="P23" s="44">
        <f t="shared" si="6"/>
        <v>2550.3973528567421</v>
      </c>
      <c r="Q23" s="44">
        <f t="shared" si="6"/>
        <v>2989.4779687773644</v>
      </c>
      <c r="R23" s="44">
        <f t="shared" si="6"/>
        <v>2606.3225157175484</v>
      </c>
      <c r="S23" s="44">
        <f t="shared" si="6"/>
        <v>3093.9522044955188</v>
      </c>
      <c r="T23" s="44">
        <f t="shared" si="6"/>
        <v>3582.8850557127653</v>
      </c>
      <c r="U23" s="44">
        <f t="shared" si="6"/>
        <v>3139.4907839674488</v>
      </c>
      <c r="V23" s="44">
        <f t="shared" si="6"/>
        <v>3693.1887713692008</v>
      </c>
      <c r="W23"/>
    </row>
    <row r="24" spans="1:25" ht="15" thickTop="1" x14ac:dyDescent="0.3"/>
    <row r="26" spans="1:25" s="9" customFormat="1" ht="21" x14ac:dyDescent="0.4">
      <c r="A26" s="18" t="s">
        <v>146</v>
      </c>
      <c r="B26" s="3"/>
      <c r="C26" s="3"/>
      <c r="D26" s="3"/>
      <c r="E26" s="3"/>
      <c r="F26" s="3"/>
      <c r="G26" s="3"/>
      <c r="H26" s="3"/>
      <c r="I26" s="3"/>
      <c r="J26" s="3"/>
      <c r="K26" s="3"/>
      <c r="L26" s="3"/>
      <c r="M26" s="3"/>
      <c r="N26" s="3"/>
      <c r="O26" s="3"/>
      <c r="P26" s="3"/>
      <c r="Q26" s="3"/>
      <c r="R26" s="3"/>
      <c r="S26" s="3"/>
      <c r="T26" s="3"/>
      <c r="U26" s="3"/>
      <c r="V26" s="3"/>
    </row>
    <row r="27" spans="1:25" x14ac:dyDescent="0.3">
      <c r="B27" s="10" t="s">
        <v>29</v>
      </c>
      <c r="C27" s="9"/>
      <c r="D27" s="9"/>
      <c r="E27" s="9"/>
      <c r="F27" s="19"/>
    </row>
    <row r="28" spans="1:25" x14ac:dyDescent="0.3">
      <c r="B28" s="9"/>
      <c r="C28" s="10" t="s">
        <v>41</v>
      </c>
      <c r="D28" s="9"/>
      <c r="E28" s="9"/>
      <c r="F28" s="10" t="str">
        <f>F10</f>
        <v>₹ in Lakhs</v>
      </c>
    </row>
    <row r="29" spans="1:25" x14ac:dyDescent="0.3">
      <c r="B29" s="9"/>
      <c r="C29" s="9"/>
      <c r="D29" s="9" t="s">
        <v>147</v>
      </c>
      <c r="E29" s="9"/>
      <c r="F29" s="9"/>
      <c r="H29" s="47">
        <f>'Historical Info'!H50</f>
        <v>542.09</v>
      </c>
      <c r="I29" s="47">
        <f>'Historical Info'!I50</f>
        <v>624.26</v>
      </c>
      <c r="J29" s="47">
        <f>'Historical Info'!J50</f>
        <v>576.04999999999995</v>
      </c>
      <c r="K29" s="47">
        <f>'Historical Info'!K50</f>
        <v>93.84</v>
      </c>
      <c r="L29" s="47">
        <f>'Historical Info'!L50</f>
        <v>168.78</v>
      </c>
      <c r="M29" s="41">
        <f t="shared" ref="M29:V29" si="7">M84</f>
        <v>-10279.713340076254</v>
      </c>
      <c r="N29" s="41">
        <f t="shared" si="7"/>
        <v>-18374.391502179365</v>
      </c>
      <c r="O29" s="41">
        <f t="shared" si="7"/>
        <v>-25309.360219072161</v>
      </c>
      <c r="P29" s="41">
        <f t="shared" si="7"/>
        <v>-31397.311542525575</v>
      </c>
      <c r="Q29" s="41">
        <f t="shared" si="7"/>
        <v>-36654.098561178289</v>
      </c>
      <c r="R29" s="41">
        <f t="shared" si="7"/>
        <v>-40657.857870323081</v>
      </c>
      <c r="S29" s="41">
        <f t="shared" si="7"/>
        <v>-43883.978726192814</v>
      </c>
      <c r="T29" s="41">
        <f t="shared" si="7"/>
        <v>-46333.328000901834</v>
      </c>
      <c r="U29" s="41">
        <f t="shared" si="7"/>
        <v>-47601.784379154393</v>
      </c>
      <c r="V29" s="41">
        <f t="shared" si="7"/>
        <v>-48202.288562803325</v>
      </c>
    </row>
    <row r="30" spans="1:25" x14ac:dyDescent="0.3">
      <c r="B30" s="9"/>
      <c r="C30" s="9"/>
      <c r="D30" s="9" t="s">
        <v>148</v>
      </c>
      <c r="E30" s="9"/>
      <c r="F30" s="9"/>
      <c r="H30" s="47">
        <f>'Historical Info'!H51</f>
        <v>128.69</v>
      </c>
      <c r="I30" s="47">
        <f>'Historical Info'!I51</f>
        <v>146.38999999999999</v>
      </c>
      <c r="J30" s="47">
        <f>'Historical Info'!J51</f>
        <v>1260.95</v>
      </c>
      <c r="K30" s="47">
        <f>'Historical Info'!K51</f>
        <v>3968.06</v>
      </c>
      <c r="L30" s="47">
        <f>'Historical Info'!L51</f>
        <v>1724.5</v>
      </c>
      <c r="M30" s="41">
        <f t="shared" ref="M30:V30" si="8">L30</f>
        <v>1724.5</v>
      </c>
      <c r="N30" s="41">
        <f t="shared" si="8"/>
        <v>1724.5</v>
      </c>
      <c r="O30" s="41">
        <f t="shared" si="8"/>
        <v>1724.5</v>
      </c>
      <c r="P30" s="41">
        <f t="shared" si="8"/>
        <v>1724.5</v>
      </c>
      <c r="Q30" s="41">
        <f t="shared" si="8"/>
        <v>1724.5</v>
      </c>
      <c r="R30" s="41">
        <f t="shared" si="8"/>
        <v>1724.5</v>
      </c>
      <c r="S30" s="41">
        <f t="shared" si="8"/>
        <v>1724.5</v>
      </c>
      <c r="T30" s="41">
        <f t="shared" si="8"/>
        <v>1724.5</v>
      </c>
      <c r="U30" s="41">
        <f t="shared" si="8"/>
        <v>1724.5</v>
      </c>
      <c r="V30" s="41">
        <f t="shared" si="8"/>
        <v>1724.5</v>
      </c>
    </row>
    <row r="31" spans="1:25" x14ac:dyDescent="0.3">
      <c r="B31" s="9"/>
      <c r="C31" s="9"/>
      <c r="D31" s="9" t="s">
        <v>122</v>
      </c>
      <c r="E31" s="9"/>
      <c r="F31" s="9"/>
      <c r="H31" s="47">
        <f>'Historical Info'!H49</f>
        <v>4933.93</v>
      </c>
      <c r="I31" s="47">
        <f>'Historical Info'!I49</f>
        <v>8887.4599999999991</v>
      </c>
      <c r="J31" s="47">
        <f>'Historical Info'!J49</f>
        <v>18730.41</v>
      </c>
      <c r="K31" s="47">
        <f>'Historical Info'!K49</f>
        <v>14209.78</v>
      </c>
      <c r="L31" s="47">
        <f>'Historical Info'!L49</f>
        <v>12042.87</v>
      </c>
      <c r="M31" s="41">
        <f>(M10*'Ratio Analysis &amp; Interpretation'!M15)/365</f>
        <v>12548.579385837096</v>
      </c>
      <c r="N31" s="41">
        <f>N10*'Ratio Analysis &amp; Interpretation'!N15/365</f>
        <v>13668.777754302555</v>
      </c>
      <c r="O31" s="41">
        <f>O10*'Ratio Analysis &amp; Interpretation'!O15/365</f>
        <v>14773.056300262446</v>
      </c>
      <c r="P31" s="41">
        <f>P10*'Ratio Analysis &amp; Interpretation'!P15/365</f>
        <v>15853.166045889093</v>
      </c>
      <c r="Q31" s="41">
        <f>Q10*'Ratio Analysis &amp; Interpretation'!Q15/365</f>
        <v>16902.13375517297</v>
      </c>
      <c r="R31" s="41">
        <f>R10*'Ratio Analysis &amp; Interpretation'!R15/365</f>
        <v>17914.26358404414</v>
      </c>
      <c r="S31" s="41">
        <f>S10*'Ratio Analysis &amp; Interpretation'!S15/365</f>
        <v>18885.091440601645</v>
      </c>
      <c r="T31" s="41">
        <f>T10*'Ratio Analysis &amp; Interpretation'!T15/365</f>
        <v>19811.304586128543</v>
      </c>
      <c r="U31" s="41">
        <f>U10*'Ratio Analysis &amp; Interpretation'!U15/365</f>
        <v>20690.637851199463</v>
      </c>
      <c r="V31" s="41">
        <f>V10*'Ratio Analysis &amp; Interpretation'!V15/365</f>
        <v>21521.756230274052</v>
      </c>
    </row>
    <row r="32" spans="1:25" x14ac:dyDescent="0.3">
      <c r="B32" s="9"/>
      <c r="C32" s="9"/>
      <c r="D32" s="9" t="s">
        <v>149</v>
      </c>
      <c r="E32" s="9"/>
      <c r="F32" s="9"/>
      <c r="H32" s="47">
        <f>'Historical Info'!H47</f>
        <v>63511.28</v>
      </c>
      <c r="I32" s="47">
        <f>'Historical Info'!I47</f>
        <v>76948.56</v>
      </c>
      <c r="J32" s="47">
        <f>'Historical Info'!J47</f>
        <v>36530.42</v>
      </c>
      <c r="K32" s="47">
        <f>'Historical Info'!K47</f>
        <v>48506.78</v>
      </c>
      <c r="L32" s="47">
        <f>'Historical Info'!L47</f>
        <v>52631.9</v>
      </c>
      <c r="M32" s="41">
        <f>-M11*'Ratio Analysis &amp; Interpretation'!M16/365</f>
        <v>65752.049985507954</v>
      </c>
      <c r="N32" s="41">
        <f>-N11*'Ratio Analysis &amp; Interpretation'!N16/365</f>
        <v>71621.66572863789</v>
      </c>
      <c r="O32" s="41">
        <f>-O11*'Ratio Analysis &amp; Interpretation'!O16/365</f>
        <v>77407.864781084267</v>
      </c>
      <c r="P32" s="41">
        <f>-P11*'Ratio Analysis &amp; Interpretation'!P16/365</f>
        <v>83067.424146380508</v>
      </c>
      <c r="Q32" s="41">
        <f>-Q11*'Ratio Analysis &amp; Interpretation'!Q16/365</f>
        <v>88563.805460416886</v>
      </c>
      <c r="R32" s="41">
        <f>-R11*'Ratio Analysis &amp; Interpretation'!R16/365</f>
        <v>93867.163637747435</v>
      </c>
      <c r="S32" s="41">
        <f>-S11*'Ratio Analysis &amp; Interpretation'!S16/365</f>
        <v>98954.107728306291</v>
      </c>
      <c r="T32" s="41">
        <f>-T11*'Ratio Analysis &amp; Interpretation'!T16/365</f>
        <v>103807.27964278248</v>
      </c>
      <c r="U32" s="41">
        <f>-U11*'Ratio Analysis &amp; Interpretation'!U16/365</f>
        <v>108414.81034574943</v>
      </c>
      <c r="V32" s="41">
        <f>-V11*'Ratio Analysis &amp; Interpretation'!V16/365</f>
        <v>112769.70467478121</v>
      </c>
    </row>
    <row r="33" spans="2:23" x14ac:dyDescent="0.3">
      <c r="B33" s="9"/>
      <c r="C33" s="9"/>
      <c r="D33" s="9" t="s">
        <v>150</v>
      </c>
      <c r="E33" s="9"/>
      <c r="F33" s="9"/>
      <c r="H33" s="47">
        <f>'Historical Info'!H52+'Historical Info'!H53+'Historical Info'!H54</f>
        <v>6422.28</v>
      </c>
      <c r="I33" s="47">
        <f>'Historical Info'!I52+'Historical Info'!I53+'Historical Info'!I54</f>
        <v>5675.46</v>
      </c>
      <c r="J33" s="47">
        <f>'Historical Info'!J52+'Historical Info'!J53+'Historical Info'!J54</f>
        <v>6353.26</v>
      </c>
      <c r="K33" s="47">
        <f>'Historical Info'!K52+'Historical Info'!K53+'Historical Info'!K54</f>
        <v>6207.65</v>
      </c>
      <c r="L33" s="47">
        <f>'Historical Info'!L52+'Historical Info'!L53+'Historical Info'!L54</f>
        <v>5807.37</v>
      </c>
      <c r="M33" s="41">
        <f t="shared" ref="M33:V33" si="9">L33</f>
        <v>5807.37</v>
      </c>
      <c r="N33" s="41">
        <f t="shared" si="9"/>
        <v>5807.37</v>
      </c>
      <c r="O33" s="41">
        <f t="shared" si="9"/>
        <v>5807.37</v>
      </c>
      <c r="P33" s="41">
        <f t="shared" si="9"/>
        <v>5807.37</v>
      </c>
      <c r="Q33" s="41">
        <f t="shared" si="9"/>
        <v>5807.37</v>
      </c>
      <c r="R33" s="41">
        <f t="shared" si="9"/>
        <v>5807.37</v>
      </c>
      <c r="S33" s="41">
        <f t="shared" si="9"/>
        <v>5807.37</v>
      </c>
      <c r="T33" s="41">
        <f t="shared" si="9"/>
        <v>5807.37</v>
      </c>
      <c r="U33" s="41">
        <f t="shared" si="9"/>
        <v>5807.37</v>
      </c>
      <c r="V33" s="41">
        <f t="shared" si="9"/>
        <v>5807.37</v>
      </c>
    </row>
    <row r="34" spans="2:23" x14ac:dyDescent="0.3">
      <c r="B34" s="9"/>
      <c r="C34" s="9"/>
      <c r="D34" s="9"/>
      <c r="E34" s="9"/>
      <c r="F34" s="9"/>
      <c r="H34" s="47"/>
      <c r="I34" s="47"/>
      <c r="J34" s="47"/>
      <c r="K34" s="47"/>
      <c r="L34" s="47"/>
      <c r="M34" s="41"/>
      <c r="N34" s="41"/>
      <c r="O34" s="41"/>
      <c r="P34" s="41"/>
      <c r="Q34" s="41"/>
      <c r="R34" s="41"/>
      <c r="S34" s="41"/>
      <c r="T34" s="41"/>
      <c r="U34" s="41"/>
      <c r="V34" s="41"/>
    </row>
    <row r="35" spans="2:23" x14ac:dyDescent="0.3">
      <c r="B35" s="9"/>
      <c r="C35" s="10" t="s">
        <v>30</v>
      </c>
      <c r="D35" s="9"/>
      <c r="E35" s="9"/>
      <c r="F35" s="9"/>
      <c r="H35" s="47"/>
      <c r="I35" s="47"/>
      <c r="J35" s="47"/>
      <c r="K35" s="47"/>
      <c r="L35" s="47"/>
      <c r="M35" s="41"/>
      <c r="N35" s="41"/>
      <c r="O35" s="41"/>
      <c r="P35" s="41"/>
      <c r="Q35" s="41"/>
      <c r="R35" s="41"/>
      <c r="S35" s="41"/>
      <c r="T35" s="41"/>
      <c r="U35" s="41"/>
      <c r="V35" s="41"/>
    </row>
    <row r="36" spans="2:23" x14ac:dyDescent="0.3">
      <c r="B36" s="9"/>
      <c r="C36" s="9"/>
      <c r="D36" s="9" t="s">
        <v>151</v>
      </c>
      <c r="E36" s="9"/>
      <c r="F36" s="9"/>
      <c r="H36" s="47">
        <f>'Historical Info'!H37+'Historical Info'!H38</f>
        <v>13092.66</v>
      </c>
      <c r="I36" s="47">
        <f>'Historical Info'!I37+'Historical Info'!I38</f>
        <v>23090.44</v>
      </c>
      <c r="J36" s="47">
        <f>'Historical Info'!J37+'Historical Info'!J38</f>
        <v>26142.36</v>
      </c>
      <c r="K36" s="47">
        <f>'Historical Info'!K37+'Historical Info'!K38</f>
        <v>33293.479999999996</v>
      </c>
      <c r="L36" s="47">
        <f>'Historical Info'!L37+'Historical Info'!L38</f>
        <v>38219.29</v>
      </c>
      <c r="M36" s="41">
        <f>'Working Schedules'!M17</f>
        <v>43497.450656530949</v>
      </c>
      <c r="N36" s="41">
        <f>'Working Schedules'!N17</f>
        <v>48381.784859048421</v>
      </c>
      <c r="O36" s="41">
        <f>'Working Schedules'!O17</f>
        <v>51937.39985095134</v>
      </c>
      <c r="P36" s="41">
        <f>'Working Schedules'!P17</f>
        <v>55170.789899266274</v>
      </c>
      <c r="Q36" s="41">
        <f>'Working Schedules'!Q17</f>
        <v>58115.229910281909</v>
      </c>
      <c r="R36" s="41">
        <f>'Working Schedules'!R17</f>
        <v>59638.277083216992</v>
      </c>
      <c r="S36" s="41">
        <f>'Working Schedules'!S17</f>
        <v>61017.832305026255</v>
      </c>
      <c r="T36" s="41">
        <f>'Working Schedules'!T17</f>
        <v>62271.704622076293</v>
      </c>
      <c r="U36" s="41">
        <f>'Working Schedules'!U17</f>
        <v>62170.0865900809</v>
      </c>
      <c r="V36" s="41">
        <f>'Working Schedules'!V17</f>
        <v>62126.853015424029</v>
      </c>
    </row>
    <row r="37" spans="2:23" x14ac:dyDescent="0.3">
      <c r="B37" s="9"/>
      <c r="C37" s="9"/>
      <c r="D37" s="9" t="s">
        <v>152</v>
      </c>
      <c r="E37" s="9"/>
      <c r="F37" s="9"/>
      <c r="H37" s="47">
        <f>'Historical Info'!H41</f>
        <v>2.8</v>
      </c>
      <c r="I37" s="47">
        <f>'Historical Info'!I41</f>
        <v>2.52</v>
      </c>
      <c r="J37" s="47">
        <f>'Historical Info'!J41</f>
        <v>9.1</v>
      </c>
      <c r="K37" s="47">
        <f>'Historical Info'!K41</f>
        <v>7.65</v>
      </c>
      <c r="L37" s="47">
        <f>'Historical Info'!L41</f>
        <v>3.5200000000291038</v>
      </c>
      <c r="M37" s="41">
        <f t="shared" ref="M37:V37" si="10">L37</f>
        <v>3.5200000000291038</v>
      </c>
      <c r="N37" s="41">
        <f t="shared" si="10"/>
        <v>3.5200000000291038</v>
      </c>
      <c r="O37" s="41">
        <f t="shared" si="10"/>
        <v>3.5200000000291038</v>
      </c>
      <c r="P37" s="41">
        <f t="shared" si="10"/>
        <v>3.5200000000291038</v>
      </c>
      <c r="Q37" s="41">
        <f t="shared" si="10"/>
        <v>3.5200000000291038</v>
      </c>
      <c r="R37" s="41">
        <f t="shared" si="10"/>
        <v>3.5200000000291038</v>
      </c>
      <c r="S37" s="41">
        <f t="shared" si="10"/>
        <v>3.5200000000291038</v>
      </c>
      <c r="T37" s="41">
        <f t="shared" si="10"/>
        <v>3.5200000000291038</v>
      </c>
      <c r="U37" s="41">
        <f t="shared" si="10"/>
        <v>3.5200000000291038</v>
      </c>
      <c r="V37" s="41">
        <f t="shared" si="10"/>
        <v>3.5200000000291038</v>
      </c>
    </row>
    <row r="38" spans="2:23" x14ac:dyDescent="0.3">
      <c r="B38" s="9"/>
      <c r="C38" s="9"/>
      <c r="D38" s="9" t="s">
        <v>153</v>
      </c>
      <c r="E38" s="9"/>
      <c r="F38" s="9"/>
      <c r="H38" s="47">
        <f>SUM('Historical Info'!H43,'Historical Info'!H44,'Historical Info'!H39)</f>
        <v>382.91</v>
      </c>
      <c r="I38" s="47">
        <f>SUM('Historical Info'!I43,'Historical Info'!I44,'Historical Info'!I39)</f>
        <v>377.59000000000003</v>
      </c>
      <c r="J38" s="47">
        <f>SUM('Historical Info'!J43,'Historical Info'!J44,'Historical Info'!J39)</f>
        <v>365.27</v>
      </c>
      <c r="K38" s="47">
        <f>SUM('Historical Info'!K43,'Historical Info'!K44,'Historical Info'!K39)</f>
        <v>359.9</v>
      </c>
      <c r="L38" s="47">
        <f>SUM('Historical Info'!L43,'Historical Info'!L44,'Historical Info'!L39)</f>
        <v>514.5</v>
      </c>
      <c r="M38" s="41">
        <f t="shared" ref="M38:V38" si="11">L38</f>
        <v>514.5</v>
      </c>
      <c r="N38" s="41">
        <f t="shared" si="11"/>
        <v>514.5</v>
      </c>
      <c r="O38" s="41">
        <f t="shared" si="11"/>
        <v>514.5</v>
      </c>
      <c r="P38" s="41">
        <f t="shared" si="11"/>
        <v>514.5</v>
      </c>
      <c r="Q38" s="41">
        <f t="shared" si="11"/>
        <v>514.5</v>
      </c>
      <c r="R38" s="41">
        <f t="shared" si="11"/>
        <v>514.5</v>
      </c>
      <c r="S38" s="41">
        <f t="shared" si="11"/>
        <v>514.5</v>
      </c>
      <c r="T38" s="41">
        <f t="shared" si="11"/>
        <v>514.5</v>
      </c>
      <c r="U38" s="41">
        <f t="shared" si="11"/>
        <v>514.5</v>
      </c>
      <c r="V38" s="41">
        <f t="shared" si="11"/>
        <v>514.5</v>
      </c>
    </row>
    <row r="39" spans="2:23" x14ac:dyDescent="0.3">
      <c r="B39" s="9"/>
      <c r="C39" s="9"/>
      <c r="D39" s="9" t="s">
        <v>154</v>
      </c>
      <c r="E39" s="9"/>
      <c r="F39" s="9"/>
      <c r="G39" s="9"/>
      <c r="H39" s="47">
        <f>'Historical Info'!H45</f>
        <v>326.10000000000002</v>
      </c>
      <c r="I39" s="47">
        <f>'Historical Info'!I45</f>
        <v>612.13</v>
      </c>
      <c r="J39" s="47">
        <f>'Historical Info'!J45</f>
        <v>1670.12</v>
      </c>
      <c r="K39" s="47">
        <f>'Historical Info'!K45</f>
        <v>1877.94</v>
      </c>
      <c r="L39" s="47">
        <f>'Historical Info'!L45</f>
        <v>1949.93</v>
      </c>
      <c r="M39" s="41">
        <f t="shared" ref="M39:V39" si="12">L39</f>
        <v>1949.93</v>
      </c>
      <c r="N39" s="41">
        <f t="shared" si="12"/>
        <v>1949.93</v>
      </c>
      <c r="O39" s="41">
        <f t="shared" si="12"/>
        <v>1949.93</v>
      </c>
      <c r="P39" s="41">
        <f t="shared" si="12"/>
        <v>1949.93</v>
      </c>
      <c r="Q39" s="41">
        <f t="shared" si="12"/>
        <v>1949.93</v>
      </c>
      <c r="R39" s="41">
        <f t="shared" si="12"/>
        <v>1949.93</v>
      </c>
      <c r="S39" s="41">
        <f t="shared" si="12"/>
        <v>1949.93</v>
      </c>
      <c r="T39" s="41">
        <f t="shared" si="12"/>
        <v>1949.93</v>
      </c>
      <c r="U39" s="41">
        <f t="shared" si="12"/>
        <v>1949.93</v>
      </c>
      <c r="V39" s="41">
        <f t="shared" si="12"/>
        <v>1949.93</v>
      </c>
    </row>
    <row r="40" spans="2:23" s="10" customFormat="1" ht="15" thickBot="1" x14ac:dyDescent="0.35">
      <c r="D40" s="22" t="s">
        <v>50</v>
      </c>
      <c r="E40" s="22"/>
      <c r="F40" s="22"/>
      <c r="G40" s="22"/>
      <c r="H40" s="44">
        <f t="shared" ref="H40:V40" si="13">SUM(H29:H33,H36:H39)</f>
        <v>89342.74000000002</v>
      </c>
      <c r="I40" s="44">
        <f t="shared" si="13"/>
        <v>116364.81000000001</v>
      </c>
      <c r="J40" s="44">
        <f t="shared" si="13"/>
        <v>91637.940000000017</v>
      </c>
      <c r="K40" s="44">
        <f t="shared" si="13"/>
        <v>108525.07999999997</v>
      </c>
      <c r="L40" s="44">
        <f t="shared" si="13"/>
        <v>113062.66000000002</v>
      </c>
      <c r="M40" s="44">
        <f t="shared" si="13"/>
        <v>121518.18668779977</v>
      </c>
      <c r="N40" s="44">
        <f t="shared" si="13"/>
        <v>125297.65683980953</v>
      </c>
      <c r="O40" s="44">
        <f t="shared" si="13"/>
        <v>128808.7807132259</v>
      </c>
      <c r="P40" s="44">
        <f t="shared" si="13"/>
        <v>132693.88854901033</v>
      </c>
      <c r="Q40" s="44">
        <f t="shared" si="13"/>
        <v>136926.89056469349</v>
      </c>
      <c r="R40" s="44">
        <f t="shared" si="13"/>
        <v>140761.6664346855</v>
      </c>
      <c r="S40" s="44">
        <f t="shared" si="13"/>
        <v>144972.87274774141</v>
      </c>
      <c r="T40" s="44">
        <f t="shared" si="13"/>
        <v>149556.78085008549</v>
      </c>
      <c r="U40" s="44">
        <f t="shared" si="13"/>
        <v>153673.57040787541</v>
      </c>
      <c r="V40" s="44">
        <f t="shared" si="13"/>
        <v>158215.84535767598</v>
      </c>
      <c r="W40"/>
    </row>
    <row r="41" spans="2:23" ht="15" thickTop="1" x14ac:dyDescent="0.3">
      <c r="B41" s="9"/>
      <c r="C41" s="9"/>
      <c r="D41" s="9"/>
      <c r="E41" s="9"/>
      <c r="F41" s="9"/>
      <c r="G41" s="9"/>
      <c r="H41" s="9"/>
      <c r="I41" s="9"/>
      <c r="J41" s="9"/>
      <c r="K41" s="9"/>
      <c r="L41" s="9"/>
      <c r="M41" s="10"/>
      <c r="N41" s="9"/>
      <c r="O41" s="9"/>
      <c r="P41" s="9"/>
      <c r="Q41" s="9"/>
      <c r="R41" s="9"/>
      <c r="S41" s="9"/>
      <c r="T41" s="9"/>
      <c r="U41" s="9"/>
      <c r="V41" s="9"/>
    </row>
    <row r="42" spans="2:23" x14ac:dyDescent="0.3">
      <c r="B42" s="10" t="s">
        <v>155</v>
      </c>
      <c r="C42" s="9"/>
      <c r="D42" s="9"/>
      <c r="E42" s="9"/>
      <c r="F42" s="9"/>
      <c r="G42" s="9"/>
      <c r="H42" s="9"/>
      <c r="I42" s="9"/>
      <c r="J42" s="9"/>
      <c r="K42" s="9"/>
      <c r="L42" s="9"/>
      <c r="M42" s="9"/>
      <c r="N42" s="9"/>
      <c r="O42" s="9"/>
      <c r="P42" s="9"/>
      <c r="Q42" s="9"/>
      <c r="R42" s="9"/>
      <c r="S42" s="9"/>
      <c r="T42" s="9"/>
      <c r="U42" s="9"/>
      <c r="V42" s="9"/>
    </row>
    <row r="43" spans="2:23" x14ac:dyDescent="0.3">
      <c r="B43" s="9"/>
      <c r="C43" s="10" t="s">
        <v>64</v>
      </c>
      <c r="D43" s="9"/>
      <c r="E43" s="9"/>
      <c r="F43" s="9"/>
      <c r="G43" s="9"/>
      <c r="H43" s="9"/>
      <c r="I43" s="9"/>
      <c r="J43" s="9"/>
      <c r="K43" s="9"/>
      <c r="L43" s="9"/>
      <c r="M43" s="9"/>
      <c r="N43" s="9"/>
      <c r="O43" s="9"/>
      <c r="P43" s="9"/>
      <c r="Q43" s="9"/>
      <c r="R43" s="9"/>
      <c r="S43" s="9"/>
      <c r="T43" s="9"/>
      <c r="U43" s="9"/>
      <c r="V43" s="9"/>
    </row>
    <row r="44" spans="2:23" x14ac:dyDescent="0.3">
      <c r="B44" s="9"/>
      <c r="C44" s="9"/>
      <c r="D44" s="9" t="s">
        <v>125</v>
      </c>
      <c r="E44" s="9"/>
      <c r="F44" s="9"/>
      <c r="G44" s="9"/>
      <c r="H44" s="47">
        <f>SUM('Historical Info'!H73,'Historical Info'!H74,'Historical Info'!H75,'Historical Info'!H76,'Historical Info'!H77)</f>
        <v>11749.81</v>
      </c>
      <c r="I44" s="47">
        <f>SUM('Historical Info'!I73,'Historical Info'!I74,'Historical Info'!I75,'Historical Info'!I76,'Historical Info'!I77)</f>
        <v>23169.03</v>
      </c>
      <c r="J44" s="47">
        <f>SUM('Historical Info'!J73,'Historical Info'!J74,'Historical Info'!J75,'Historical Info'!J76,'Historical Info'!J77)</f>
        <v>15611.66</v>
      </c>
      <c r="K44" s="47">
        <f>SUM('Historical Info'!K73,'Historical Info'!K74,'Historical Info'!K75,'Historical Info'!K76,'Historical Info'!K77)</f>
        <v>18500.87</v>
      </c>
      <c r="L44" s="47">
        <f>SUM('Historical Info'!L73,'Historical Info'!L74,'Historical Info'!L75,'Historical Info'!L76,'Historical Info'!L77)</f>
        <v>11830.52</v>
      </c>
      <c r="M44" s="43">
        <f>-M11*'Ratio Analysis &amp; Interpretation'!M17/365</f>
        <v>18552.882725035568</v>
      </c>
      <c r="N44" s="43">
        <f>-N11*'Ratio Analysis &amp; Interpretation'!N17/365</f>
        <v>20209.078882376882</v>
      </c>
      <c r="O44" s="43">
        <f>-O11*'Ratio Analysis &amp; Interpretation'!O17/365</f>
        <v>21841.737825594773</v>
      </c>
      <c r="P44" s="43">
        <f>-P11*'Ratio Analysis &amp; Interpretation'!P17/365</f>
        <v>23438.663567117062</v>
      </c>
      <c r="Q44" s="43">
        <f>-Q11*'Ratio Analysis &amp; Interpretation'!Q17/365</f>
        <v>24989.546284140626</v>
      </c>
      <c r="R44" s="43">
        <f>-R11*'Ratio Analysis &amp; Interpretation'!R17/365</f>
        <v>26485.964758310758</v>
      </c>
      <c r="S44" s="43">
        <f>-S11*'Ratio Analysis &amp; Interpretation'!S17/365</f>
        <v>27921.318898018224</v>
      </c>
      <c r="T44" s="43">
        <f>-T11*'Ratio Analysis &amp; Interpretation'!T17/365</f>
        <v>29290.710869729497</v>
      </c>
      <c r="U44" s="43">
        <f>-U11*'Ratio Analysis &amp; Interpretation'!U17/365</f>
        <v>30590.791655088855</v>
      </c>
      <c r="V44" s="43">
        <f>-V11*'Ratio Analysis &amp; Interpretation'!V17/365</f>
        <v>31819.587468820235</v>
      </c>
    </row>
    <row r="45" spans="2:23" x14ac:dyDescent="0.3">
      <c r="B45" s="9"/>
      <c r="C45" s="9"/>
      <c r="D45" s="9" t="s">
        <v>156</v>
      </c>
      <c r="E45" s="9"/>
      <c r="F45" s="9"/>
      <c r="G45" s="9"/>
      <c r="H45" s="47">
        <f>SUM('Historical Info'!H78,'Historical Info'!H79,'Historical Info'!H80,'Historical Info'!H81)</f>
        <v>12820.8</v>
      </c>
      <c r="I45" s="47">
        <f>SUM('Historical Info'!I78,'Historical Info'!I79,'Historical Info'!I80,'Historical Info'!I81)</f>
        <v>15760.039999999999</v>
      </c>
      <c r="J45" s="47">
        <f>SUM('Historical Info'!J78,'Historical Info'!J79,'Historical Info'!J80,'Historical Info'!J81)</f>
        <v>17791.8</v>
      </c>
      <c r="K45" s="47">
        <f>SUM('Historical Info'!K78,'Historical Info'!K79,'Historical Info'!K80,'Historical Info'!K81)</f>
        <v>13728.77</v>
      </c>
      <c r="L45" s="47">
        <f>SUM('Historical Info'!L78,'Historical Info'!L79,'Historical Info'!L80,'Historical Info'!L81)</f>
        <v>17681.41</v>
      </c>
      <c r="M45" s="43">
        <f t="shared" ref="M45:V45" si="14">L45</f>
        <v>17681.41</v>
      </c>
      <c r="N45" s="43">
        <f t="shared" si="14"/>
        <v>17681.41</v>
      </c>
      <c r="O45" s="43">
        <f t="shared" si="14"/>
        <v>17681.41</v>
      </c>
      <c r="P45" s="43">
        <f t="shared" si="14"/>
        <v>17681.41</v>
      </c>
      <c r="Q45" s="43">
        <f t="shared" si="14"/>
        <v>17681.41</v>
      </c>
      <c r="R45" s="43">
        <f t="shared" si="14"/>
        <v>17681.41</v>
      </c>
      <c r="S45" s="43">
        <f t="shared" si="14"/>
        <v>17681.41</v>
      </c>
      <c r="T45" s="43">
        <f t="shared" si="14"/>
        <v>17681.41</v>
      </c>
      <c r="U45" s="43">
        <f t="shared" si="14"/>
        <v>17681.41</v>
      </c>
      <c r="V45" s="43">
        <f t="shared" si="14"/>
        <v>17681.41</v>
      </c>
    </row>
    <row r="46" spans="2:23" x14ac:dyDescent="0.3">
      <c r="B46" s="9"/>
      <c r="C46" s="10" t="s">
        <v>157</v>
      </c>
      <c r="D46" s="9"/>
      <c r="E46" s="9"/>
      <c r="F46" s="9"/>
      <c r="G46" s="9"/>
      <c r="H46" s="47"/>
      <c r="I46" s="47"/>
      <c r="J46" s="47"/>
      <c r="K46" s="47"/>
      <c r="L46" s="47"/>
      <c r="M46" s="43"/>
      <c r="N46" s="43"/>
      <c r="O46" s="43"/>
      <c r="P46" s="43"/>
      <c r="Q46" s="43"/>
      <c r="R46" s="43"/>
      <c r="S46" s="43"/>
      <c r="T46" s="43"/>
      <c r="U46" s="43"/>
      <c r="V46" s="43"/>
    </row>
    <row r="47" spans="2:23" x14ac:dyDescent="0.3">
      <c r="B47" s="9"/>
      <c r="C47" s="9"/>
      <c r="D47" s="9" t="s">
        <v>158</v>
      </c>
      <c r="E47" s="9"/>
      <c r="F47" s="9"/>
      <c r="G47" s="9"/>
      <c r="H47" s="47">
        <f>'Historical Info'!H66+'Historical Info'!H71</f>
        <v>55416.12</v>
      </c>
      <c r="I47" s="47">
        <f>'Historical Info'!I66+'Historical Info'!I71</f>
        <v>63968.33</v>
      </c>
      <c r="J47" s="47">
        <f>'Historical Info'!J66+'Historical Info'!J71</f>
        <v>34718.35</v>
      </c>
      <c r="K47" s="47">
        <f>'Historical Info'!K66+'Historical Info'!K71</f>
        <v>51383.83</v>
      </c>
      <c r="L47" s="47">
        <f>'Historical Info'!L66+'Historical Info'!L71</f>
        <v>61097.960000000006</v>
      </c>
      <c r="M47" s="43">
        <f>'Working Schedules'!M22</f>
        <v>61097.960000000006</v>
      </c>
      <c r="N47" s="43">
        <f>'Working Schedules'!N22</f>
        <v>61097.960000000006</v>
      </c>
      <c r="O47" s="43">
        <f>'Working Schedules'!O22</f>
        <v>61097.960000000006</v>
      </c>
      <c r="P47" s="43">
        <f>'Working Schedules'!P22</f>
        <v>61097.960000000006</v>
      </c>
      <c r="Q47" s="43">
        <f>'Working Schedules'!Q22</f>
        <v>61097.960000000006</v>
      </c>
      <c r="R47" s="43">
        <f>'Working Schedules'!R22</f>
        <v>61097.960000000006</v>
      </c>
      <c r="S47" s="43">
        <f>'Working Schedules'!S22</f>
        <v>61097.960000000006</v>
      </c>
      <c r="T47" s="43">
        <f>'Working Schedules'!T22</f>
        <v>61097.960000000006</v>
      </c>
      <c r="U47" s="43">
        <f>'Working Schedules'!U22</f>
        <v>61097.960000000006</v>
      </c>
      <c r="V47" s="43">
        <f>'Working Schedules'!V22</f>
        <v>61097.960000000006</v>
      </c>
    </row>
    <row r="48" spans="2:23" x14ac:dyDescent="0.3">
      <c r="B48" s="9"/>
      <c r="C48" s="9"/>
      <c r="D48" s="9" t="s">
        <v>159</v>
      </c>
      <c r="E48" s="9"/>
      <c r="F48" s="9"/>
      <c r="G48" s="9"/>
      <c r="H48" s="47">
        <f>SUM('Historical Info'!H68,'Historical Info'!H67)</f>
        <v>1306.02</v>
      </c>
      <c r="I48" s="47">
        <f>SUM('Historical Info'!I68,'Historical Info'!I67)</f>
        <v>1291.17</v>
      </c>
      <c r="J48" s="47">
        <f>SUM('Historical Info'!J68,'Historical Info'!J67)</f>
        <v>1432.69</v>
      </c>
      <c r="K48" s="47">
        <f>SUM('Historical Info'!K68,'Historical Info'!K67)</f>
        <v>1414.8000000000002</v>
      </c>
      <c r="L48" s="47">
        <f>SUM('Historical Info'!L68,'Historical Info'!L67)</f>
        <v>852.66000000000008</v>
      </c>
      <c r="M48" s="43">
        <f t="shared" ref="M48:V48" si="15">L48</f>
        <v>852.66000000000008</v>
      </c>
      <c r="N48" s="43">
        <f t="shared" si="15"/>
        <v>852.66000000000008</v>
      </c>
      <c r="O48" s="43">
        <f t="shared" si="15"/>
        <v>852.66000000000008</v>
      </c>
      <c r="P48" s="43">
        <f t="shared" si="15"/>
        <v>852.66000000000008</v>
      </c>
      <c r="Q48" s="43">
        <f t="shared" si="15"/>
        <v>852.66000000000008</v>
      </c>
      <c r="R48" s="43">
        <f t="shared" si="15"/>
        <v>852.66000000000008</v>
      </c>
      <c r="S48" s="43">
        <f t="shared" si="15"/>
        <v>852.66000000000008</v>
      </c>
      <c r="T48" s="43">
        <f t="shared" si="15"/>
        <v>852.66000000000008</v>
      </c>
      <c r="U48" s="43">
        <f t="shared" si="15"/>
        <v>852.66000000000008</v>
      </c>
      <c r="V48" s="43">
        <f t="shared" si="15"/>
        <v>852.66000000000008</v>
      </c>
    </row>
    <row r="49" spans="1:23" s="10" customFormat="1" x14ac:dyDescent="0.3">
      <c r="D49" s="20" t="s">
        <v>160</v>
      </c>
      <c r="E49" s="20"/>
      <c r="F49" s="20"/>
      <c r="G49" s="20"/>
      <c r="H49" s="42">
        <f t="shared" ref="H49:V49" si="16">SUM(H44:H45,H47:H48)</f>
        <v>81292.750000000015</v>
      </c>
      <c r="I49" s="42">
        <f t="shared" si="16"/>
        <v>104188.56999999999</v>
      </c>
      <c r="J49" s="42">
        <f t="shared" si="16"/>
        <v>69554.5</v>
      </c>
      <c r="K49" s="42">
        <f t="shared" si="16"/>
        <v>85028.27</v>
      </c>
      <c r="L49" s="42">
        <f t="shared" si="16"/>
        <v>91462.550000000017</v>
      </c>
      <c r="M49" s="42">
        <f t="shared" si="16"/>
        <v>98184.912725035581</v>
      </c>
      <c r="N49" s="42">
        <f t="shared" si="16"/>
        <v>99841.108882376895</v>
      </c>
      <c r="O49" s="42">
        <f t="shared" si="16"/>
        <v>101473.76782559478</v>
      </c>
      <c r="P49" s="42">
        <f t="shared" si="16"/>
        <v>103070.69356711706</v>
      </c>
      <c r="Q49" s="42">
        <f t="shared" si="16"/>
        <v>104621.57628414064</v>
      </c>
      <c r="R49" s="42">
        <f t="shared" si="16"/>
        <v>106117.99475831077</v>
      </c>
      <c r="S49" s="42">
        <f t="shared" si="16"/>
        <v>107553.34889801823</v>
      </c>
      <c r="T49" s="42">
        <f t="shared" si="16"/>
        <v>108922.7408697295</v>
      </c>
      <c r="U49" s="42">
        <f t="shared" si="16"/>
        <v>110222.82165508886</v>
      </c>
      <c r="V49" s="42">
        <f t="shared" si="16"/>
        <v>111451.61746882024</v>
      </c>
      <c r="W49"/>
    </row>
    <row r="50" spans="1:23" x14ac:dyDescent="0.3">
      <c r="B50" s="9"/>
      <c r="C50" s="10" t="s">
        <v>161</v>
      </c>
      <c r="D50" s="9"/>
      <c r="E50" s="9"/>
      <c r="F50" s="9"/>
      <c r="G50" s="9"/>
      <c r="H50" s="43"/>
      <c r="I50" s="43"/>
      <c r="J50" s="43"/>
      <c r="K50" s="43"/>
      <c r="L50" s="43"/>
      <c r="M50" s="43"/>
      <c r="N50" s="43"/>
      <c r="O50" s="43"/>
      <c r="P50" s="43"/>
      <c r="Q50" s="43"/>
      <c r="R50" s="43"/>
      <c r="S50" s="43"/>
      <c r="T50" s="43"/>
      <c r="U50" s="43"/>
      <c r="V50" s="43"/>
    </row>
    <row r="51" spans="1:23" x14ac:dyDescent="0.3">
      <c r="B51" s="9"/>
      <c r="C51" s="9"/>
      <c r="D51" s="9" t="s">
        <v>162</v>
      </c>
      <c r="E51" s="9"/>
      <c r="F51" s="9"/>
      <c r="G51" s="9"/>
      <c r="H51" s="47">
        <f>'Historical Info'!H58</f>
        <v>1125</v>
      </c>
      <c r="I51" s="47">
        <f>'Historical Info'!I58</f>
        <v>1125</v>
      </c>
      <c r="J51" s="47">
        <f>'Historical Info'!J58</f>
        <v>1125</v>
      </c>
      <c r="K51" s="47">
        <f>'Historical Info'!K58</f>
        <v>1125</v>
      </c>
      <c r="L51" s="47">
        <f>'Historical Info'!L58</f>
        <v>1125</v>
      </c>
      <c r="M51" s="43">
        <f t="shared" ref="M51:V51" si="17">L51</f>
        <v>1125</v>
      </c>
      <c r="N51" s="43">
        <f t="shared" si="17"/>
        <v>1125</v>
      </c>
      <c r="O51" s="43">
        <f t="shared" si="17"/>
        <v>1125</v>
      </c>
      <c r="P51" s="43">
        <f t="shared" si="17"/>
        <v>1125</v>
      </c>
      <c r="Q51" s="43">
        <f t="shared" si="17"/>
        <v>1125</v>
      </c>
      <c r="R51" s="43">
        <f t="shared" si="17"/>
        <v>1125</v>
      </c>
      <c r="S51" s="43">
        <f t="shared" si="17"/>
        <v>1125</v>
      </c>
      <c r="T51" s="43">
        <f t="shared" si="17"/>
        <v>1125</v>
      </c>
      <c r="U51" s="43">
        <f t="shared" si="17"/>
        <v>1125</v>
      </c>
      <c r="V51" s="43">
        <f t="shared" si="17"/>
        <v>1125</v>
      </c>
    </row>
    <row r="52" spans="1:23" x14ac:dyDescent="0.3">
      <c r="B52" s="9"/>
      <c r="C52" s="9"/>
      <c r="D52" s="9" t="s">
        <v>56</v>
      </c>
      <c r="E52" s="9"/>
      <c r="F52" s="9"/>
      <c r="G52" s="9"/>
      <c r="H52" s="47">
        <f>SUM('Historical Info'!H60:H63)</f>
        <v>6924.9899999999989</v>
      </c>
      <c r="I52" s="47">
        <f>SUM('Historical Info'!I60:I63)</f>
        <v>11051.24</v>
      </c>
      <c r="J52" s="47">
        <f>SUM('Historical Info'!J60:J63)</f>
        <v>20958.439999999999</v>
      </c>
      <c r="K52" s="47">
        <f>SUM('Historical Info'!K60:K63)</f>
        <v>22371.81</v>
      </c>
      <c r="L52" s="47">
        <f>SUM('Historical Info'!L60:L63)</f>
        <v>20475.110000000004</v>
      </c>
      <c r="M52" s="43">
        <f>L52+M23+M78</f>
        <v>22208.273962764179</v>
      </c>
      <c r="N52" s="43">
        <f t="shared" ref="N52:V52" si="18">M52+N23+N78</f>
        <v>24331.547957432624</v>
      </c>
      <c r="O52" s="43">
        <f t="shared" si="18"/>
        <v>26210.012887631117</v>
      </c>
      <c r="P52" s="43">
        <f t="shared" si="18"/>
        <v>28498.194981893233</v>
      </c>
      <c r="Q52" s="43">
        <f t="shared" si="18"/>
        <v>31180.314280552841</v>
      </c>
      <c r="R52" s="43">
        <f t="shared" si="18"/>
        <v>33518.67167637471</v>
      </c>
      <c r="S52" s="43">
        <f t="shared" si="18"/>
        <v>36294.523849723126</v>
      </c>
      <c r="T52" s="43">
        <f t="shared" si="18"/>
        <v>39509.039980355963</v>
      </c>
      <c r="U52" s="43">
        <f t="shared" si="18"/>
        <v>42325.748752786516</v>
      </c>
      <c r="V52" s="43">
        <f t="shared" si="18"/>
        <v>45639.227888855705</v>
      </c>
    </row>
    <row r="53" spans="1:23" s="10" customFormat="1" x14ac:dyDescent="0.3">
      <c r="D53" s="20" t="s">
        <v>161</v>
      </c>
      <c r="E53" s="20"/>
      <c r="F53" s="20"/>
      <c r="G53" s="20"/>
      <c r="H53" s="42">
        <f t="shared" ref="H53:V53" si="19">SUM(H51:H52)</f>
        <v>8049.9899999999989</v>
      </c>
      <c r="I53" s="42">
        <f t="shared" si="19"/>
        <v>12176.24</v>
      </c>
      <c r="J53" s="42">
        <f t="shared" si="19"/>
        <v>22083.439999999999</v>
      </c>
      <c r="K53" s="42">
        <f t="shared" si="19"/>
        <v>23496.81</v>
      </c>
      <c r="L53" s="42">
        <f t="shared" si="19"/>
        <v>21600.110000000004</v>
      </c>
      <c r="M53" s="42">
        <f t="shared" si="19"/>
        <v>23333.273962764179</v>
      </c>
      <c r="N53" s="42">
        <f t="shared" si="19"/>
        <v>25456.547957432624</v>
      </c>
      <c r="O53" s="42">
        <f t="shared" si="19"/>
        <v>27335.012887631117</v>
      </c>
      <c r="P53" s="42">
        <f t="shared" si="19"/>
        <v>29623.194981893233</v>
      </c>
      <c r="Q53" s="42">
        <f t="shared" si="19"/>
        <v>32305.314280552841</v>
      </c>
      <c r="R53" s="42">
        <f t="shared" si="19"/>
        <v>34643.67167637471</v>
      </c>
      <c r="S53" s="42">
        <f t="shared" si="19"/>
        <v>37419.523849723126</v>
      </c>
      <c r="T53" s="42">
        <f t="shared" si="19"/>
        <v>40634.039980355963</v>
      </c>
      <c r="U53" s="42">
        <f t="shared" si="19"/>
        <v>43450.748752786516</v>
      </c>
      <c r="V53" s="42">
        <f t="shared" si="19"/>
        <v>46764.227888855705</v>
      </c>
      <c r="W53"/>
    </row>
    <row r="54" spans="1:23" x14ac:dyDescent="0.3">
      <c r="B54" s="9"/>
      <c r="C54" s="9"/>
      <c r="D54" s="9" t="s">
        <v>163</v>
      </c>
      <c r="E54" s="9"/>
      <c r="F54" s="9"/>
      <c r="G54" s="9"/>
      <c r="H54" s="124">
        <f>0</f>
        <v>0</v>
      </c>
      <c r="I54" s="124">
        <f>0</f>
        <v>0</v>
      </c>
      <c r="J54" s="124">
        <f>0</f>
        <v>0</v>
      </c>
      <c r="K54" s="124">
        <f>0</f>
        <v>0</v>
      </c>
      <c r="L54" s="124">
        <f>0</f>
        <v>0</v>
      </c>
      <c r="M54" s="124">
        <f t="shared" ref="M54:V54" si="20">L54</f>
        <v>0</v>
      </c>
      <c r="N54" s="124">
        <f t="shared" si="20"/>
        <v>0</v>
      </c>
      <c r="O54" s="124">
        <f t="shared" si="20"/>
        <v>0</v>
      </c>
      <c r="P54" s="124">
        <f t="shared" si="20"/>
        <v>0</v>
      </c>
      <c r="Q54" s="124">
        <f t="shared" si="20"/>
        <v>0</v>
      </c>
      <c r="R54" s="124">
        <f t="shared" si="20"/>
        <v>0</v>
      </c>
      <c r="S54" s="124">
        <f t="shared" si="20"/>
        <v>0</v>
      </c>
      <c r="T54" s="124">
        <f t="shared" si="20"/>
        <v>0</v>
      </c>
      <c r="U54" s="124">
        <f t="shared" si="20"/>
        <v>0</v>
      </c>
      <c r="V54" s="124">
        <f t="shared" si="20"/>
        <v>0</v>
      </c>
    </row>
    <row r="55" spans="1:23" s="10" customFormat="1" ht="15" thickBot="1" x14ac:dyDescent="0.35">
      <c r="D55" s="22" t="s">
        <v>164</v>
      </c>
      <c r="E55" s="22"/>
      <c r="F55" s="22"/>
      <c r="G55" s="22"/>
      <c r="H55" s="44">
        <f t="shared" ref="H55:V55" si="21">SUM(H49+H53)</f>
        <v>89342.74000000002</v>
      </c>
      <c r="I55" s="44">
        <f t="shared" si="21"/>
        <v>116364.81</v>
      </c>
      <c r="J55" s="44">
        <f t="shared" si="21"/>
        <v>91637.94</v>
      </c>
      <c r="K55" s="44">
        <f t="shared" si="21"/>
        <v>108525.08</v>
      </c>
      <c r="L55" s="44">
        <f t="shared" si="21"/>
        <v>113062.66000000002</v>
      </c>
      <c r="M55" s="44">
        <f t="shared" si="21"/>
        <v>121518.18668779975</v>
      </c>
      <c r="N55" s="44">
        <f t="shared" si="21"/>
        <v>125297.65683980953</v>
      </c>
      <c r="O55" s="44">
        <f t="shared" si="21"/>
        <v>128808.7807132259</v>
      </c>
      <c r="P55" s="44">
        <f t="shared" si="21"/>
        <v>132693.8885490103</v>
      </c>
      <c r="Q55" s="44">
        <f t="shared" si="21"/>
        <v>136926.89056469349</v>
      </c>
      <c r="R55" s="44">
        <f t="shared" si="21"/>
        <v>140761.66643468547</v>
      </c>
      <c r="S55" s="44">
        <f t="shared" si="21"/>
        <v>144972.87274774135</v>
      </c>
      <c r="T55" s="44">
        <f t="shared" si="21"/>
        <v>149556.78085008546</v>
      </c>
      <c r="U55" s="44">
        <f t="shared" si="21"/>
        <v>153673.57040787538</v>
      </c>
      <c r="V55" s="44">
        <f t="shared" si="21"/>
        <v>158215.84535767595</v>
      </c>
      <c r="W55"/>
    </row>
    <row r="56" spans="1:23" ht="15" thickTop="1" x14ac:dyDescent="0.3">
      <c r="B56" s="9"/>
      <c r="C56" s="9"/>
      <c r="D56" s="9"/>
      <c r="E56" s="9"/>
      <c r="F56" s="9"/>
      <c r="G56" s="9"/>
      <c r="H56" s="9"/>
      <c r="I56" s="9"/>
      <c r="J56" s="9"/>
      <c r="K56" s="9"/>
      <c r="L56" s="9"/>
      <c r="M56" s="10"/>
      <c r="N56" s="9"/>
      <c r="O56" s="9"/>
      <c r="P56" s="9"/>
      <c r="Q56" s="9"/>
      <c r="R56" s="9"/>
      <c r="S56" s="9"/>
      <c r="T56" s="9"/>
      <c r="U56" s="9"/>
      <c r="V56" s="9"/>
    </row>
    <row r="57" spans="1:23" s="23" customFormat="1" x14ac:dyDescent="0.3">
      <c r="D57" s="102" t="s">
        <v>165</v>
      </c>
      <c r="H57" s="23" t="str">
        <f t="shared" ref="H57:V57" si="22">IF(H55=H40,"Perfect",H40-H55)</f>
        <v>Perfect</v>
      </c>
      <c r="I57" s="23" t="str">
        <f t="shared" si="22"/>
        <v>Perfect</v>
      </c>
      <c r="J57" s="23" t="str">
        <f t="shared" si="22"/>
        <v>Perfect</v>
      </c>
      <c r="K57" s="23" t="str">
        <f t="shared" si="22"/>
        <v>Perfect</v>
      </c>
      <c r="L57" s="23" t="str">
        <f t="shared" si="22"/>
        <v>Perfect</v>
      </c>
      <c r="M57" s="23" t="str">
        <f t="shared" si="22"/>
        <v>Perfect</v>
      </c>
      <c r="N57" s="204" t="str">
        <f>IF(N55=N40,"Perfect",N40-N55)</f>
        <v>Perfect</v>
      </c>
      <c r="O57" s="23" t="str">
        <f t="shared" si="22"/>
        <v>Perfect</v>
      </c>
      <c r="P57" s="23" t="str">
        <f t="shared" si="22"/>
        <v>Perfect</v>
      </c>
      <c r="Q57" s="23" t="str">
        <f t="shared" si="22"/>
        <v>Perfect</v>
      </c>
      <c r="R57" s="23" t="str">
        <f t="shared" si="22"/>
        <v>Perfect</v>
      </c>
      <c r="S57" s="23" t="str">
        <f t="shared" si="22"/>
        <v>Perfect</v>
      </c>
      <c r="T57" s="23" t="str">
        <f t="shared" si="22"/>
        <v>Perfect</v>
      </c>
      <c r="U57" s="23" t="str">
        <f t="shared" si="22"/>
        <v>Perfect</v>
      </c>
      <c r="V57" s="23" t="str">
        <f t="shared" si="22"/>
        <v>Perfect</v>
      </c>
    </row>
    <row r="58" spans="1:23" x14ac:dyDescent="0.3">
      <c r="U58" s="149"/>
    </row>
    <row r="59" spans="1:23" ht="21" x14ac:dyDescent="0.4">
      <c r="A59" s="18" t="s">
        <v>166</v>
      </c>
      <c r="B59" s="3"/>
      <c r="C59" s="3"/>
      <c r="D59" s="3"/>
      <c r="E59" s="3"/>
      <c r="F59" s="3"/>
      <c r="G59" s="3"/>
      <c r="H59" s="3"/>
      <c r="I59" s="3"/>
      <c r="J59" s="3"/>
      <c r="K59" s="3"/>
      <c r="L59" s="3"/>
      <c r="M59" s="3"/>
      <c r="N59" s="3"/>
      <c r="O59" s="3"/>
      <c r="P59" s="3"/>
      <c r="Q59" s="3"/>
      <c r="R59" s="3"/>
      <c r="S59" s="3"/>
      <c r="T59" s="3"/>
      <c r="U59" s="3"/>
      <c r="V59" s="3"/>
    </row>
    <row r="60" spans="1:23" x14ac:dyDescent="0.3">
      <c r="C60" s="10" t="s">
        <v>167</v>
      </c>
      <c r="D60" s="9"/>
      <c r="E60" s="9"/>
      <c r="F60" s="10"/>
    </row>
    <row r="61" spans="1:23" x14ac:dyDescent="0.3">
      <c r="C61" s="9"/>
      <c r="D61" s="9" t="s">
        <v>168</v>
      </c>
      <c r="E61" s="9"/>
      <c r="F61" s="10" t="str">
        <f>F28</f>
        <v>₹ in Lakhs</v>
      </c>
      <c r="H61" s="45">
        <f>SUM('Historical Info'!H88,'Historical Info'!H102)</f>
        <v>1909.0800000000002</v>
      </c>
      <c r="I61" s="45">
        <f>SUM('Historical Info'!I88,'Historical Info'!I102)</f>
        <v>4295.87</v>
      </c>
      <c r="J61" s="45">
        <f>SUM('Historical Info'!J88,'Historical Info'!J102)</f>
        <v>11936.24</v>
      </c>
      <c r="K61" s="45">
        <f>SUM('Historical Info'!K88,'Historical Info'!K102)</f>
        <v>1084.56</v>
      </c>
      <c r="L61" s="45">
        <f>SUM('Historical Info'!L88,'Historical Info'!L102)</f>
        <v>-2245.23</v>
      </c>
      <c r="M61" s="41">
        <f t="shared" ref="M61:V61" si="23">M23</f>
        <v>1931.7766683800021</v>
      </c>
      <c r="N61" s="41">
        <f t="shared" si="23"/>
        <v>2366.5915352502698</v>
      </c>
      <c r="O61" s="41">
        <f t="shared" si="23"/>
        <v>2093.7284656785123</v>
      </c>
      <c r="P61" s="41">
        <f t="shared" si="23"/>
        <v>2550.3973528567421</v>
      </c>
      <c r="Q61" s="41">
        <f t="shared" si="23"/>
        <v>2989.4779687773644</v>
      </c>
      <c r="R61" s="41">
        <f t="shared" si="23"/>
        <v>2606.3225157175484</v>
      </c>
      <c r="S61" s="41">
        <f t="shared" si="23"/>
        <v>3093.9522044955188</v>
      </c>
      <c r="T61" s="41">
        <f t="shared" si="23"/>
        <v>3582.8850557127653</v>
      </c>
      <c r="U61" s="41">
        <f t="shared" si="23"/>
        <v>3139.4907839674488</v>
      </c>
      <c r="V61" s="41">
        <f t="shared" si="23"/>
        <v>3693.1887713692008</v>
      </c>
    </row>
    <row r="62" spans="1:23" x14ac:dyDescent="0.3">
      <c r="C62" s="9"/>
      <c r="D62" s="9" t="s">
        <v>169</v>
      </c>
      <c r="E62" s="9"/>
      <c r="F62" s="9"/>
      <c r="H62" s="45">
        <f>'Historical Info'!H90</f>
        <v>1242.6199999999999</v>
      </c>
      <c r="I62" s="45">
        <f>'Historical Info'!I90</f>
        <v>1148.05</v>
      </c>
      <c r="J62" s="45">
        <f>'Historical Info'!J90</f>
        <v>1807.98</v>
      </c>
      <c r="K62" s="45">
        <f>'Historical Info'!K90</f>
        <v>2908.21</v>
      </c>
      <c r="L62" s="45">
        <f>'Historical Info'!L90</f>
        <v>2750.2</v>
      </c>
      <c r="M62" s="41">
        <f t="shared" ref="M62:V62" si="24">-M17</f>
        <v>3157.1068434690524</v>
      </c>
      <c r="N62" s="41">
        <f t="shared" si="24"/>
        <v>3593.1096349825252</v>
      </c>
      <c r="O62" s="41">
        <f t="shared" si="24"/>
        <v>4964.2160647845831</v>
      </c>
      <c r="P62" s="41">
        <f t="shared" si="24"/>
        <v>5329.0401636560055</v>
      </c>
      <c r="Q62" s="41">
        <f t="shared" si="24"/>
        <v>5660.8023520151573</v>
      </c>
      <c r="R62" s="41">
        <f t="shared" si="24"/>
        <v>7125.2214019108651</v>
      </c>
      <c r="S62" s="41">
        <f t="shared" si="24"/>
        <v>7311.9546959109102</v>
      </c>
      <c r="T62" s="41">
        <f t="shared" si="24"/>
        <v>7481.0951502587332</v>
      </c>
      <c r="U62" s="41">
        <f t="shared" si="24"/>
        <v>8880.2603366407111</v>
      </c>
      <c r="V62" s="41">
        <f t="shared" si="24"/>
        <v>8865.7690908254117</v>
      </c>
    </row>
    <row r="63" spans="1:23" x14ac:dyDescent="0.3">
      <c r="C63" s="9"/>
      <c r="D63" s="9" t="s">
        <v>170</v>
      </c>
      <c r="E63" s="9"/>
      <c r="F63" s="9"/>
      <c r="H63" s="45">
        <f>SUM('Historical Info'!H91,'Historical Info'!H92,'Historical Info'!H93,'Historical Info'!H94,'Historical Info'!H95,'Historical Info'!H96)</f>
        <v>4241.17</v>
      </c>
      <c r="I63" s="45">
        <f>SUM('Historical Info'!I91,'Historical Info'!I92,'Historical Info'!I93,'Historical Info'!I94,'Historical Info'!I95,'Historical Info'!I96)</f>
        <v>4670.670000000001</v>
      </c>
      <c r="J63" s="45">
        <f>SUM('Historical Info'!J91,'Historical Info'!J92,'Historical Info'!J93,'Historical Info'!J94,'Historical Info'!J95,'Historical Info'!J96)</f>
        <v>4881.3500000000004</v>
      </c>
      <c r="K63" s="45">
        <f>SUM('Historical Info'!K91,'Historical Info'!K92,'Historical Info'!K93,'Historical Info'!K94,'Historical Info'!K95,'Historical Info'!K96)</f>
        <v>4308.17</v>
      </c>
      <c r="L63" s="45">
        <f>SUM('Historical Info'!L91,'Historical Info'!L92,'Historical Info'!L93,'Historical Info'!L94,'Historical Info'!L95,'Historical Info'!L96)</f>
        <v>4450.2700000000004</v>
      </c>
      <c r="M63" s="41">
        <f t="shared" ref="M63:V63" si="25">-M19-M20</f>
        <v>4340.5363774522793</v>
      </c>
      <c r="N63" s="41">
        <f t="shared" si="25"/>
        <v>4214.385031520882</v>
      </c>
      <c r="O63" s="41">
        <f t="shared" si="25"/>
        <v>4090.0264993380156</v>
      </c>
      <c r="P63" s="41">
        <f t="shared" si="25"/>
        <v>3968.3897410636068</v>
      </c>
      <c r="Q63" s="41">
        <f t="shared" si="25"/>
        <v>3850.2600489573679</v>
      </c>
      <c r="R63" s="41">
        <f t="shared" si="25"/>
        <v>3736.2788615500685</v>
      </c>
      <c r="S63" s="41">
        <f t="shared" si="25"/>
        <v>3626.94890337472</v>
      </c>
      <c r="T63" s="41">
        <f t="shared" si="25"/>
        <v>3522.6432391131011</v>
      </c>
      <c r="U63" s="41">
        <f t="shared" si="25"/>
        <v>3423.6169612379549</v>
      </c>
      <c r="V63" s="41">
        <f t="shared" si="25"/>
        <v>3330.0204116445038</v>
      </c>
    </row>
    <row r="64" spans="1:23" x14ac:dyDescent="0.3">
      <c r="C64" s="9"/>
      <c r="D64" s="9" t="s">
        <v>171</v>
      </c>
      <c r="E64" s="9"/>
      <c r="F64" s="9"/>
      <c r="H64" s="41">
        <f>'Working Schedules'!H11</f>
        <v>-15169.45</v>
      </c>
      <c r="I64" s="41">
        <f>'Working Schedules'!I11</f>
        <v>-814.43000000000029</v>
      </c>
      <c r="J64" s="41">
        <f>'Working Schedules'!J11</f>
        <v>20779.29</v>
      </c>
      <c r="K64" s="41">
        <f>'Working Schedules'!K11</f>
        <v>-12032.740000000002</v>
      </c>
      <c r="L64" s="41">
        <f>'Working Schedules'!L11</f>
        <v>-2824.66</v>
      </c>
      <c r="M64" s="41">
        <f>'Working Schedules'!M11</f>
        <v>-6903.4966463094806</v>
      </c>
      <c r="N64" s="41">
        <f>'Working Schedules'!N11</f>
        <v>-5333.6179542540813</v>
      </c>
      <c r="O64" s="41">
        <f>'Working Schedules'!O11</f>
        <v>-5257.8186551883755</v>
      </c>
      <c r="P64" s="41">
        <f>'Working Schedules'!P11</f>
        <v>-5142.7433694005995</v>
      </c>
      <c r="Q64" s="41">
        <f>'Working Schedules'!Q11</f>
        <v>-4994.466306296692</v>
      </c>
      <c r="R64" s="41">
        <f>'Working Schedules'!R11</f>
        <v>-4819.0695320315863</v>
      </c>
      <c r="S64" s="41">
        <f>'Working Schedules'!S11</f>
        <v>-4622.4178074088959</v>
      </c>
      <c r="T64" s="41">
        <f>'Working Schedules'!T11</f>
        <v>-4409.9930882918125</v>
      </c>
      <c r="U64" s="41">
        <f>'Working Schedules'!U11</f>
        <v>-4186.7831826785114</v>
      </c>
      <c r="V64" s="41">
        <f>'Working Schedules'!V11</f>
        <v>-3957.216894374993</v>
      </c>
    </row>
    <row r="65" spans="3:22" x14ac:dyDescent="0.3">
      <c r="C65" s="9"/>
      <c r="D65" s="20" t="s">
        <v>172</v>
      </c>
      <c r="E65" s="20"/>
      <c r="F65" s="20"/>
      <c r="G65" s="20"/>
      <c r="H65" s="42">
        <f t="shared" ref="H65:V65" si="26">SUM(H61:H64)</f>
        <v>-7776.5800000000008</v>
      </c>
      <c r="I65" s="42">
        <f t="shared" si="26"/>
        <v>9300.16</v>
      </c>
      <c r="J65" s="42">
        <f t="shared" si="26"/>
        <v>39404.86</v>
      </c>
      <c r="K65" s="42">
        <f t="shared" si="26"/>
        <v>-3731.8000000000011</v>
      </c>
      <c r="L65" s="42">
        <f t="shared" si="26"/>
        <v>2130.58</v>
      </c>
      <c r="M65" s="42">
        <f t="shared" si="26"/>
        <v>2525.9232429918538</v>
      </c>
      <c r="N65" s="42">
        <f t="shared" si="26"/>
        <v>4840.4682474995952</v>
      </c>
      <c r="O65" s="42">
        <f t="shared" si="26"/>
        <v>5890.152374612735</v>
      </c>
      <c r="P65" s="42">
        <f t="shared" si="26"/>
        <v>6705.0838881757554</v>
      </c>
      <c r="Q65" s="42">
        <f t="shared" si="26"/>
        <v>7506.0740634531958</v>
      </c>
      <c r="R65" s="42">
        <f t="shared" si="26"/>
        <v>8648.7532471468949</v>
      </c>
      <c r="S65" s="42">
        <f t="shared" si="26"/>
        <v>9410.4379963722531</v>
      </c>
      <c r="T65" s="42">
        <f t="shared" si="26"/>
        <v>10176.630356792786</v>
      </c>
      <c r="U65" s="42">
        <f t="shared" si="26"/>
        <v>11256.584899167603</v>
      </c>
      <c r="V65" s="42">
        <f t="shared" si="26"/>
        <v>11931.761379464124</v>
      </c>
    </row>
    <row r="66" spans="3:22" x14ac:dyDescent="0.3">
      <c r="C66" s="9"/>
      <c r="D66" s="9"/>
      <c r="E66" s="9"/>
      <c r="F66" s="9"/>
      <c r="G66" s="9"/>
      <c r="H66" s="43"/>
      <c r="I66" s="43"/>
      <c r="J66" s="43"/>
      <c r="K66" s="43"/>
      <c r="L66" s="43"/>
      <c r="M66" s="43"/>
      <c r="N66" s="43"/>
      <c r="O66" s="43"/>
      <c r="P66" s="43"/>
      <c r="Q66" s="43"/>
      <c r="R66" s="43"/>
      <c r="S66" s="43"/>
      <c r="T66" s="43"/>
      <c r="U66" s="43"/>
      <c r="V66" s="43"/>
    </row>
    <row r="67" spans="3:22" x14ac:dyDescent="0.3">
      <c r="C67" s="10" t="s">
        <v>173</v>
      </c>
      <c r="D67" s="9"/>
      <c r="E67" s="9"/>
      <c r="F67" s="9"/>
      <c r="G67" s="9"/>
      <c r="H67" s="43"/>
      <c r="I67" s="43"/>
      <c r="J67" s="43"/>
      <c r="K67" s="43"/>
      <c r="L67" s="43"/>
      <c r="M67" s="43"/>
      <c r="N67" s="43"/>
      <c r="O67" s="43"/>
      <c r="P67" s="43"/>
      <c r="Q67" s="43"/>
      <c r="R67" s="43"/>
      <c r="S67" s="43"/>
      <c r="T67" s="43"/>
      <c r="U67" s="43"/>
      <c r="V67" s="43"/>
    </row>
    <row r="68" spans="3:22" x14ac:dyDescent="0.3">
      <c r="C68" s="9"/>
      <c r="D68" s="9" t="s">
        <v>174</v>
      </c>
      <c r="E68" s="9"/>
      <c r="F68" s="9"/>
      <c r="G68" s="9"/>
      <c r="H68" s="47">
        <f>'Historical Info'!H107</f>
        <v>-610.91999999999996</v>
      </c>
      <c r="I68" s="47">
        <f>'Historical Info'!I107</f>
        <v>-13154.35</v>
      </c>
      <c r="J68" s="47">
        <f>'Historical Info'!J107</f>
        <v>-5923.88</v>
      </c>
      <c r="K68" s="47">
        <f>'Historical Info'!K107</f>
        <v>-10284.52</v>
      </c>
      <c r="L68" s="47">
        <f>'Historical Info'!L107</f>
        <v>-7744.83</v>
      </c>
      <c r="M68" s="43">
        <f>-'Working Schedules'!M15</f>
        <v>-8435.2674999999999</v>
      </c>
      <c r="N68" s="43">
        <f>-'Working Schedules'!N15</f>
        <v>-8477.4438374999991</v>
      </c>
      <c r="O68" s="43">
        <f>-'Working Schedules'!O15</f>
        <v>-8519.8310566874989</v>
      </c>
      <c r="P68" s="43">
        <f>-'Working Schedules'!P15</f>
        <v>-8562.4302119709355</v>
      </c>
      <c r="Q68" s="43">
        <f>-'Working Schedules'!Q15</f>
        <v>-8605.2423630307894</v>
      </c>
      <c r="R68" s="43">
        <f>-'Working Schedules'!R15</f>
        <v>-8648.2685748459426</v>
      </c>
      <c r="S68" s="43">
        <f>-'Working Schedules'!S15</f>
        <v>-8691.5099177201719</v>
      </c>
      <c r="T68" s="43">
        <f>-'Working Schedules'!T15</f>
        <v>-8734.967467308772</v>
      </c>
      <c r="U68" s="43">
        <f>-'Working Schedules'!U15</f>
        <v>-8778.6423046453147</v>
      </c>
      <c r="V68" s="43">
        <f>-'Working Schedules'!V15</f>
        <v>-8822.5355161685402</v>
      </c>
    </row>
    <row r="69" spans="3:22" x14ac:dyDescent="0.3">
      <c r="C69" s="9"/>
      <c r="D69" s="9" t="s">
        <v>175</v>
      </c>
      <c r="E69" s="9"/>
      <c r="F69" s="9"/>
      <c r="G69" s="9"/>
      <c r="H69" s="124">
        <f>0</f>
        <v>0</v>
      </c>
      <c r="I69" s="124">
        <f>0</f>
        <v>0</v>
      </c>
      <c r="J69" s="124">
        <f>0</f>
        <v>0</v>
      </c>
      <c r="K69" s="124">
        <f>0</f>
        <v>0</v>
      </c>
      <c r="L69" s="124">
        <f>0</f>
        <v>0</v>
      </c>
      <c r="M69" s="43">
        <f t="shared" ref="M69:V69" si="27">L69</f>
        <v>0</v>
      </c>
      <c r="N69" s="43">
        <f t="shared" si="27"/>
        <v>0</v>
      </c>
      <c r="O69" s="43">
        <f t="shared" si="27"/>
        <v>0</v>
      </c>
      <c r="P69" s="43">
        <f t="shared" si="27"/>
        <v>0</v>
      </c>
      <c r="Q69" s="43">
        <f t="shared" si="27"/>
        <v>0</v>
      </c>
      <c r="R69" s="43">
        <f t="shared" si="27"/>
        <v>0</v>
      </c>
      <c r="S69" s="43">
        <f t="shared" si="27"/>
        <v>0</v>
      </c>
      <c r="T69" s="43">
        <f t="shared" si="27"/>
        <v>0</v>
      </c>
      <c r="U69" s="43">
        <f t="shared" si="27"/>
        <v>0</v>
      </c>
      <c r="V69" s="43">
        <f t="shared" si="27"/>
        <v>0</v>
      </c>
    </row>
    <row r="70" spans="3:22" x14ac:dyDescent="0.3">
      <c r="C70" s="9"/>
      <c r="D70" s="9" t="s">
        <v>176</v>
      </c>
      <c r="E70" s="9"/>
      <c r="F70" s="9"/>
      <c r="G70" s="9"/>
      <c r="H70" s="47">
        <f>'Historical Info'!H108</f>
        <v>-1.04</v>
      </c>
      <c r="I70" s="47">
        <f>'Historical Info'!I108</f>
        <v>0</v>
      </c>
      <c r="J70" s="47">
        <f>'Historical Info'!J108</f>
        <v>-1.41</v>
      </c>
      <c r="K70" s="47">
        <f>'Historical Info'!K108</f>
        <v>0</v>
      </c>
      <c r="L70" s="47">
        <f>'Historical Info'!L108</f>
        <v>0</v>
      </c>
      <c r="M70" s="43">
        <f t="shared" ref="M70:V70" si="28">L38-M38</f>
        <v>0</v>
      </c>
      <c r="N70" s="43">
        <f t="shared" si="28"/>
        <v>0</v>
      </c>
      <c r="O70" s="43">
        <f t="shared" si="28"/>
        <v>0</v>
      </c>
      <c r="P70" s="43">
        <f t="shared" si="28"/>
        <v>0</v>
      </c>
      <c r="Q70" s="43">
        <f t="shared" si="28"/>
        <v>0</v>
      </c>
      <c r="R70" s="43">
        <f t="shared" si="28"/>
        <v>0</v>
      </c>
      <c r="S70" s="43">
        <f t="shared" si="28"/>
        <v>0</v>
      </c>
      <c r="T70" s="43">
        <f t="shared" si="28"/>
        <v>0</v>
      </c>
      <c r="U70" s="43">
        <f t="shared" si="28"/>
        <v>0</v>
      </c>
      <c r="V70" s="43">
        <f t="shared" si="28"/>
        <v>0</v>
      </c>
    </row>
    <row r="71" spans="3:22" x14ac:dyDescent="0.3">
      <c r="C71" s="9"/>
      <c r="D71" s="9" t="s">
        <v>98</v>
      </c>
      <c r="E71" s="9"/>
      <c r="F71" s="9"/>
      <c r="G71" s="9"/>
      <c r="H71" s="47">
        <f>'Historical Info'!H109</f>
        <v>-5.75</v>
      </c>
      <c r="I71" s="47">
        <f>'Historical Info'!I109</f>
        <v>0</v>
      </c>
      <c r="J71" s="47">
        <f>'Historical Info'!J109</f>
        <v>0</v>
      </c>
      <c r="K71" s="47">
        <f>'Historical Info'!K109</f>
        <v>0</v>
      </c>
      <c r="L71" s="47">
        <f>'Historical Info'!L109</f>
        <v>72</v>
      </c>
      <c r="M71" s="124">
        <v>0</v>
      </c>
      <c r="N71" s="124">
        <v>0</v>
      </c>
      <c r="O71" s="124">
        <v>0</v>
      </c>
      <c r="P71" s="124">
        <v>0</v>
      </c>
      <c r="Q71" s="124">
        <v>0</v>
      </c>
      <c r="R71" s="124">
        <v>0</v>
      </c>
      <c r="S71" s="124">
        <v>0</v>
      </c>
      <c r="T71" s="124">
        <v>0</v>
      </c>
      <c r="U71" s="124">
        <v>0</v>
      </c>
      <c r="V71" s="124">
        <v>0</v>
      </c>
    </row>
    <row r="72" spans="3:22" x14ac:dyDescent="0.3">
      <c r="C72" s="9"/>
      <c r="D72" s="9" t="s">
        <v>177</v>
      </c>
      <c r="E72" s="9"/>
      <c r="F72" s="9"/>
      <c r="G72" s="9"/>
      <c r="H72" s="47">
        <f>'Historical Info'!H110</f>
        <v>67.12</v>
      </c>
      <c r="I72" s="47">
        <f>'Historical Info'!I110</f>
        <v>21.26</v>
      </c>
      <c r="J72" s="47">
        <f>'Historical Info'!J110</f>
        <v>1083.44</v>
      </c>
      <c r="K72" s="47">
        <f>'Historical Info'!K110</f>
        <v>458.52</v>
      </c>
      <c r="L72" s="47">
        <f>'Historical Info'!L110</f>
        <v>414.43</v>
      </c>
      <c r="M72" s="43">
        <f t="shared" ref="M72:V72" si="29">M20</f>
        <v>1413.1605826375965</v>
      </c>
      <c r="N72" s="43">
        <f t="shared" si="29"/>
        <v>1539.3119285689936</v>
      </c>
      <c r="O72" s="43">
        <f t="shared" si="29"/>
        <v>1663.67046075186</v>
      </c>
      <c r="P72" s="43">
        <f t="shared" si="29"/>
        <v>1785.3072190262687</v>
      </c>
      <c r="Q72" s="43">
        <f t="shared" si="29"/>
        <v>1903.4369111325075</v>
      </c>
      <c r="R72" s="43">
        <f t="shared" si="29"/>
        <v>2017.4180985398068</v>
      </c>
      <c r="S72" s="43">
        <f t="shared" si="29"/>
        <v>2126.7480567151556</v>
      </c>
      <c r="T72" s="43">
        <f t="shared" si="29"/>
        <v>2231.0537209767745</v>
      </c>
      <c r="U72" s="43">
        <f t="shared" si="29"/>
        <v>2330.0799988519207</v>
      </c>
      <c r="V72" s="43">
        <f t="shared" si="29"/>
        <v>2423.6765484453717</v>
      </c>
    </row>
    <row r="73" spans="3:22" x14ac:dyDescent="0.3">
      <c r="C73" s="9"/>
      <c r="D73" s="20" t="s">
        <v>178</v>
      </c>
      <c r="E73" s="20"/>
      <c r="F73" s="20"/>
      <c r="G73" s="20"/>
      <c r="H73" s="42">
        <f t="shared" ref="H73:V73" si="30">SUM(H68:H72)</f>
        <v>-550.58999999999992</v>
      </c>
      <c r="I73" s="42">
        <f t="shared" si="30"/>
        <v>-13133.09</v>
      </c>
      <c r="J73" s="42">
        <f t="shared" si="30"/>
        <v>-4841.8500000000004</v>
      </c>
      <c r="K73" s="42">
        <f t="shared" si="30"/>
        <v>-9826</v>
      </c>
      <c r="L73" s="42">
        <f t="shared" si="30"/>
        <v>-7258.4</v>
      </c>
      <c r="M73" s="42">
        <f t="shared" si="30"/>
        <v>-7022.1069173624037</v>
      </c>
      <c r="N73" s="42">
        <f t="shared" si="30"/>
        <v>-6938.1319089310055</v>
      </c>
      <c r="O73" s="42">
        <f t="shared" si="30"/>
        <v>-6856.1605959356384</v>
      </c>
      <c r="P73" s="42">
        <f t="shared" si="30"/>
        <v>-6777.1229929446672</v>
      </c>
      <c r="Q73" s="42">
        <f t="shared" si="30"/>
        <v>-6701.8054518982817</v>
      </c>
      <c r="R73" s="42">
        <f t="shared" si="30"/>
        <v>-6630.8504763061355</v>
      </c>
      <c r="S73" s="42">
        <f t="shared" si="30"/>
        <v>-6564.7618610050158</v>
      </c>
      <c r="T73" s="42">
        <f t="shared" si="30"/>
        <v>-6503.9137463319976</v>
      </c>
      <c r="U73" s="42">
        <f t="shared" si="30"/>
        <v>-6448.5623057933935</v>
      </c>
      <c r="V73" s="42">
        <f t="shared" si="30"/>
        <v>-6398.8589677231685</v>
      </c>
    </row>
    <row r="74" spans="3:22" x14ac:dyDescent="0.3">
      <c r="C74" s="9"/>
      <c r="D74" s="9"/>
      <c r="E74" s="9"/>
      <c r="F74" s="9"/>
      <c r="G74" s="9"/>
      <c r="H74" s="43"/>
      <c r="I74" s="43"/>
      <c r="J74" s="43"/>
      <c r="K74" s="43"/>
      <c r="L74" s="43"/>
      <c r="M74" s="43"/>
      <c r="N74" s="43"/>
      <c r="O74" s="43"/>
      <c r="P74" s="43"/>
      <c r="Q74" s="43"/>
      <c r="R74" s="43"/>
      <c r="S74" s="43"/>
      <c r="T74" s="43"/>
      <c r="U74" s="43"/>
      <c r="V74" s="43"/>
    </row>
    <row r="75" spans="3:22" x14ac:dyDescent="0.3">
      <c r="C75" s="10" t="s">
        <v>179</v>
      </c>
      <c r="D75" s="9"/>
      <c r="E75" s="9"/>
      <c r="F75" s="9"/>
      <c r="G75" s="9"/>
      <c r="H75" s="43"/>
      <c r="I75" s="43"/>
      <c r="J75" s="43"/>
      <c r="K75" s="43"/>
      <c r="L75" s="43"/>
      <c r="M75" s="43"/>
      <c r="N75" s="43"/>
      <c r="O75" s="43"/>
      <c r="P75" s="43"/>
      <c r="Q75" s="43"/>
      <c r="R75" s="43"/>
      <c r="S75" s="43"/>
      <c r="T75" s="43"/>
      <c r="U75" s="43"/>
      <c r="V75" s="43"/>
    </row>
    <row r="76" spans="3:22" x14ac:dyDescent="0.3">
      <c r="C76" s="9"/>
      <c r="D76" s="9" t="s">
        <v>180</v>
      </c>
      <c r="E76" s="9"/>
      <c r="F76" s="9"/>
      <c r="G76" s="9"/>
      <c r="H76" s="47">
        <f>'Historical Info'!H114+'Historical Info'!H115</f>
        <v>12173.36</v>
      </c>
      <c r="I76" s="47">
        <f>'Historical Info'!I114+'Historical Info'!I115</f>
        <v>8552.2199999999993</v>
      </c>
      <c r="J76" s="47">
        <f>'Historical Info'!J114+'Historical Info'!J115</f>
        <v>-29508.12</v>
      </c>
      <c r="K76" s="47">
        <f>'Historical Info'!K114+'Historical Info'!K115</f>
        <v>18065.53</v>
      </c>
      <c r="L76" s="47">
        <f>'Historical Info'!L114+'Historical Info'!L115</f>
        <v>10304.19</v>
      </c>
      <c r="M76" s="43">
        <f>'Working Schedules'!M21</f>
        <v>0</v>
      </c>
      <c r="N76" s="43">
        <f>'Working Schedules'!N21</f>
        <v>0</v>
      </c>
      <c r="O76" s="43">
        <f>'Working Schedules'!O21</f>
        <v>0</v>
      </c>
      <c r="P76" s="43">
        <f>'Working Schedules'!P21</f>
        <v>0</v>
      </c>
      <c r="Q76" s="43">
        <f>'Working Schedules'!Q21</f>
        <v>0</v>
      </c>
      <c r="R76" s="43">
        <f>'Working Schedules'!R21</f>
        <v>0</v>
      </c>
      <c r="S76" s="43">
        <f>'Working Schedules'!S21</f>
        <v>0</v>
      </c>
      <c r="T76" s="43">
        <f>'Working Schedules'!T21</f>
        <v>0</v>
      </c>
      <c r="U76" s="43">
        <f>'Working Schedules'!U21</f>
        <v>0</v>
      </c>
      <c r="V76" s="43">
        <f>'Working Schedules'!V21</f>
        <v>0</v>
      </c>
    </row>
    <row r="77" spans="3:22" x14ac:dyDescent="0.3">
      <c r="C77" s="9"/>
      <c r="D77" s="9" t="s">
        <v>181</v>
      </c>
      <c r="E77" s="9"/>
      <c r="F77" s="9"/>
      <c r="G77" s="9"/>
      <c r="H77" s="124">
        <f>0</f>
        <v>0</v>
      </c>
      <c r="I77" s="124">
        <f>0</f>
        <v>0</v>
      </c>
      <c r="J77" s="124">
        <f>0</f>
        <v>0</v>
      </c>
      <c r="K77" s="124">
        <f>0</f>
        <v>0</v>
      </c>
      <c r="L77" s="124">
        <f>0</f>
        <v>0</v>
      </c>
      <c r="M77" s="124">
        <v>0</v>
      </c>
      <c r="N77" s="124">
        <v>0</v>
      </c>
      <c r="O77" s="124">
        <v>0</v>
      </c>
      <c r="P77" s="124">
        <v>0</v>
      </c>
      <c r="Q77" s="124">
        <v>0</v>
      </c>
      <c r="R77" s="124">
        <v>0</v>
      </c>
      <c r="S77" s="124">
        <v>0</v>
      </c>
      <c r="T77" s="124">
        <v>0</v>
      </c>
      <c r="U77" s="124">
        <v>0</v>
      </c>
      <c r="V77" s="124">
        <v>0</v>
      </c>
    </row>
    <row r="78" spans="3:22" x14ac:dyDescent="0.3">
      <c r="C78" s="9"/>
      <c r="D78" s="9" t="s">
        <v>182</v>
      </c>
      <c r="E78" s="9"/>
      <c r="F78" s="9"/>
      <c r="G78" s="9"/>
      <c r="H78" s="47">
        <f>'Historical Info'!H116</f>
        <v>-112.5</v>
      </c>
      <c r="I78" s="47">
        <f>'Historical Info'!I116</f>
        <v>-225</v>
      </c>
      <c r="J78" s="47">
        <f>'Historical Info'!J116</f>
        <v>-281.25</v>
      </c>
      <c r="K78" s="47">
        <f>'Historical Info'!K116</f>
        <v>-562.5</v>
      </c>
      <c r="L78" s="47">
        <f>'Historical Info'!L116</f>
        <v>-281.25</v>
      </c>
      <c r="M78" s="43">
        <f>IF(M23&gt;0,-M23*'Ratio Analysis &amp; Interpretation'!M14,0)</f>
        <v>-198.61270561582958</v>
      </c>
      <c r="N78" s="43">
        <f>IF(N23&gt;0,-N23*'Ratio Analysis &amp; Interpretation'!N14,0)</f>
        <v>-243.31754058182611</v>
      </c>
      <c r="O78" s="43">
        <f>IF(O23&gt;0,-O23*'Ratio Analysis &amp; Interpretation'!O14,0)</f>
        <v>-215.26353548001765</v>
      </c>
      <c r="P78" s="43">
        <f>IF(P23&gt;0,-P23*'Ratio Analysis &amp; Interpretation'!P14,0)</f>
        <v>-262.21525859462594</v>
      </c>
      <c r="Q78" s="43">
        <f>IF(Q23&gt;0,-Q23*'Ratio Analysis &amp; Interpretation'!Q14,0)</f>
        <v>-307.35867011775599</v>
      </c>
      <c r="R78" s="43">
        <f>IF(R23&gt;0,-R23*'Ratio Analysis &amp; Interpretation'!R14,0)</f>
        <v>-267.96511989567654</v>
      </c>
      <c r="S78" s="43">
        <f>IF(S23&gt;0,-S23*'Ratio Analysis &amp; Interpretation'!S14,0)</f>
        <v>-318.10003114709775</v>
      </c>
      <c r="T78" s="43">
        <f>IF(T23&gt;0,-T23*'Ratio Analysis &amp; Interpretation'!T14,0)</f>
        <v>-368.36892507993247</v>
      </c>
      <c r="U78" s="43">
        <f>IF(U23&gt;0,-U23*'Ratio Analysis &amp; Interpretation'!U14,0)</f>
        <v>-322.78201153689423</v>
      </c>
      <c r="V78" s="43">
        <f>IF(V23&gt;0,-V23*'Ratio Analysis &amp; Interpretation'!V14,0)</f>
        <v>-379.70963530000972</v>
      </c>
    </row>
    <row r="79" spans="3:22" x14ac:dyDescent="0.3">
      <c r="C79" s="9"/>
      <c r="D79" s="9" t="s">
        <v>183</v>
      </c>
      <c r="E79" s="9"/>
      <c r="F79" s="9"/>
      <c r="G79" s="9"/>
      <c r="H79" s="47">
        <f>'Historical Info'!H113</f>
        <v>-4189.16</v>
      </c>
      <c r="I79" s="47">
        <f>'Historical Info'!I113</f>
        <v>-4412.13</v>
      </c>
      <c r="J79" s="47">
        <f>'Historical Info'!J113</f>
        <v>-4821.8500000000004</v>
      </c>
      <c r="K79" s="47">
        <f>'Historical Info'!K113</f>
        <v>-4427.4399999999996</v>
      </c>
      <c r="L79" s="47">
        <f>'Historical Info'!L113</f>
        <v>-4820.18</v>
      </c>
      <c r="M79" s="43">
        <f>'Working Schedules'!M23</f>
        <v>-5753.6969600898756</v>
      </c>
      <c r="N79" s="43">
        <f>'Working Schedules'!N23</f>
        <v>-5753.6969600898756</v>
      </c>
      <c r="O79" s="43">
        <f>'Working Schedules'!O23</f>
        <v>-5753.6969600898756</v>
      </c>
      <c r="P79" s="43">
        <f>'Working Schedules'!P23</f>
        <v>-5753.6969600898756</v>
      </c>
      <c r="Q79" s="43">
        <f>'Working Schedules'!Q23</f>
        <v>-5753.6969600898756</v>
      </c>
      <c r="R79" s="43">
        <f>'Working Schedules'!R23</f>
        <v>-5753.6969600898756</v>
      </c>
      <c r="S79" s="43">
        <f>'Working Schedules'!S23</f>
        <v>-5753.6969600898756</v>
      </c>
      <c r="T79" s="43">
        <f>'Working Schedules'!T23</f>
        <v>-5753.6969600898756</v>
      </c>
      <c r="U79" s="43">
        <f>'Working Schedules'!U23</f>
        <v>-5753.6969600898756</v>
      </c>
      <c r="V79" s="43">
        <f>'Working Schedules'!V23</f>
        <v>-5753.6969600898756</v>
      </c>
    </row>
    <row r="80" spans="3:22" x14ac:dyDescent="0.3">
      <c r="C80" s="9"/>
      <c r="D80" s="20" t="s">
        <v>184</v>
      </c>
      <c r="E80" s="20"/>
      <c r="F80" s="20"/>
      <c r="G80" s="20"/>
      <c r="H80" s="42">
        <f t="shared" ref="H80:V80" si="31">SUM(H76:H79)</f>
        <v>7871.7000000000007</v>
      </c>
      <c r="I80" s="42">
        <f t="shared" si="31"/>
        <v>3915.0899999999992</v>
      </c>
      <c r="J80" s="42">
        <f t="shared" si="31"/>
        <v>-34611.22</v>
      </c>
      <c r="K80" s="42">
        <f t="shared" si="31"/>
        <v>13075.59</v>
      </c>
      <c r="L80" s="42">
        <f t="shared" si="31"/>
        <v>5202.76</v>
      </c>
      <c r="M80" s="42">
        <f t="shared" si="31"/>
        <v>-5952.3096657057049</v>
      </c>
      <c r="N80" s="42">
        <f t="shared" si="31"/>
        <v>-5997.0145006717021</v>
      </c>
      <c r="O80" s="42">
        <f t="shared" si="31"/>
        <v>-5968.9604955698933</v>
      </c>
      <c r="P80" s="42">
        <f t="shared" si="31"/>
        <v>-6015.9122186845016</v>
      </c>
      <c r="Q80" s="42">
        <f t="shared" si="31"/>
        <v>-6061.0556302076311</v>
      </c>
      <c r="R80" s="42">
        <f t="shared" si="31"/>
        <v>-6021.6620799855518</v>
      </c>
      <c r="S80" s="42">
        <f t="shared" si="31"/>
        <v>-6071.7969912369736</v>
      </c>
      <c r="T80" s="42">
        <f t="shared" si="31"/>
        <v>-6122.0658851698081</v>
      </c>
      <c r="U80" s="42">
        <f t="shared" si="31"/>
        <v>-6076.4789716267696</v>
      </c>
      <c r="V80" s="42">
        <f t="shared" si="31"/>
        <v>-6133.4065953898853</v>
      </c>
    </row>
    <row r="81" spans="3:22" x14ac:dyDescent="0.3">
      <c r="C81" s="9"/>
      <c r="D81" s="9"/>
      <c r="E81" s="9"/>
      <c r="F81" s="9"/>
      <c r="G81" s="9"/>
      <c r="H81" s="43"/>
      <c r="I81" s="43"/>
      <c r="J81" s="43"/>
      <c r="K81" s="43"/>
      <c r="L81" s="43"/>
      <c r="M81" s="43"/>
      <c r="N81" s="43"/>
      <c r="O81" s="43"/>
      <c r="P81" s="43"/>
      <c r="Q81" s="43"/>
      <c r="R81" s="43"/>
      <c r="S81" s="43"/>
      <c r="T81" s="43"/>
      <c r="U81" s="43"/>
      <c r="V81" s="43"/>
    </row>
    <row r="82" spans="3:22" x14ac:dyDescent="0.3">
      <c r="C82" s="9"/>
      <c r="D82" s="9" t="s">
        <v>185</v>
      </c>
      <c r="E82" s="9"/>
      <c r="F82" s="9"/>
      <c r="G82" s="9"/>
      <c r="H82" s="43">
        <f t="shared" ref="H82:V82" si="32">SUM(H65,H73,H80)</f>
        <v>-455.46999999999935</v>
      </c>
      <c r="I82" s="43">
        <f t="shared" si="32"/>
        <v>82.159999999998945</v>
      </c>
      <c r="J82" s="43">
        <f t="shared" si="32"/>
        <v>-48.209999999999127</v>
      </c>
      <c r="K82" s="43">
        <f t="shared" si="32"/>
        <v>-482.21000000000095</v>
      </c>
      <c r="L82" s="43">
        <f t="shared" si="32"/>
        <v>74.940000000000509</v>
      </c>
      <c r="M82" s="43">
        <f t="shared" si="32"/>
        <v>-10448.493340076255</v>
      </c>
      <c r="N82" s="43">
        <f t="shared" si="32"/>
        <v>-8094.6781621031123</v>
      </c>
      <c r="O82" s="43">
        <f t="shared" si="32"/>
        <v>-6934.9687168927967</v>
      </c>
      <c r="P82" s="43">
        <f t="shared" si="32"/>
        <v>-6087.9513234534134</v>
      </c>
      <c r="Q82" s="43">
        <f t="shared" si="32"/>
        <v>-5256.7870186527171</v>
      </c>
      <c r="R82" s="43">
        <f t="shared" si="32"/>
        <v>-4003.7593091447925</v>
      </c>
      <c r="S82" s="43">
        <f t="shared" si="32"/>
        <v>-3226.1208558697363</v>
      </c>
      <c r="T82" s="43">
        <f t="shared" si="32"/>
        <v>-2449.3492747090195</v>
      </c>
      <c r="U82" s="43">
        <f t="shared" si="32"/>
        <v>-1268.4563782525602</v>
      </c>
      <c r="V82" s="43">
        <f t="shared" si="32"/>
        <v>-600.50418364892994</v>
      </c>
    </row>
    <row r="83" spans="3:22" x14ac:dyDescent="0.3">
      <c r="C83" s="9"/>
      <c r="D83" s="9" t="s">
        <v>186</v>
      </c>
      <c r="E83" s="9"/>
      <c r="F83" s="9"/>
      <c r="G83" s="9"/>
      <c r="H83" s="47">
        <f>'Historical Info'!H119</f>
        <v>997.56</v>
      </c>
      <c r="I83" s="47">
        <f>'Historical Info'!I119</f>
        <v>542.1</v>
      </c>
      <c r="J83" s="47">
        <f>'Historical Info'!J119</f>
        <v>624.26</v>
      </c>
      <c r="K83" s="47">
        <f>'Historical Info'!K119</f>
        <v>576.04999999999995</v>
      </c>
      <c r="L83" s="47">
        <f>'Historical Info'!L119</f>
        <v>93.84</v>
      </c>
      <c r="M83" s="43">
        <f t="shared" ref="M83:V83" si="33">L84</f>
        <v>168.78000000000051</v>
      </c>
      <c r="N83" s="43">
        <f t="shared" si="33"/>
        <v>-10279.713340076254</v>
      </c>
      <c r="O83" s="43">
        <f t="shared" si="33"/>
        <v>-18374.391502179365</v>
      </c>
      <c r="P83" s="43">
        <f t="shared" si="33"/>
        <v>-25309.360219072161</v>
      </c>
      <c r="Q83" s="43">
        <f t="shared" si="33"/>
        <v>-31397.311542525575</v>
      </c>
      <c r="R83" s="43">
        <f t="shared" si="33"/>
        <v>-36654.098561178289</v>
      </c>
      <c r="S83" s="43">
        <f t="shared" si="33"/>
        <v>-40657.857870323081</v>
      </c>
      <c r="T83" s="43">
        <f t="shared" si="33"/>
        <v>-43883.978726192814</v>
      </c>
      <c r="U83" s="43">
        <f t="shared" si="33"/>
        <v>-46333.328000901834</v>
      </c>
      <c r="V83" s="43">
        <f t="shared" si="33"/>
        <v>-47601.784379154393</v>
      </c>
    </row>
    <row r="84" spans="3:22" ht="15" thickBot="1" x14ac:dyDescent="0.35">
      <c r="C84" s="9"/>
      <c r="D84" s="22" t="s">
        <v>187</v>
      </c>
      <c r="E84" s="22"/>
      <c r="F84" s="22"/>
      <c r="G84" s="22"/>
      <c r="H84" s="44">
        <f t="shared" ref="H84:V84" si="34">SUM(H82:H83)</f>
        <v>542.0900000000006</v>
      </c>
      <c r="I84" s="44">
        <f t="shared" si="34"/>
        <v>624.25999999999897</v>
      </c>
      <c r="J84" s="44">
        <f t="shared" si="34"/>
        <v>576.05000000000086</v>
      </c>
      <c r="K84" s="44">
        <f t="shared" si="34"/>
        <v>93.839999999999009</v>
      </c>
      <c r="L84" s="44">
        <f t="shared" si="34"/>
        <v>168.78000000000051</v>
      </c>
      <c r="M84" s="44">
        <f t="shared" si="34"/>
        <v>-10279.713340076254</v>
      </c>
      <c r="N84" s="44">
        <f t="shared" si="34"/>
        <v>-18374.391502179365</v>
      </c>
      <c r="O84" s="44">
        <f t="shared" si="34"/>
        <v>-25309.360219072161</v>
      </c>
      <c r="P84" s="44">
        <f t="shared" si="34"/>
        <v>-31397.311542525575</v>
      </c>
      <c r="Q84" s="44">
        <f t="shared" si="34"/>
        <v>-36654.098561178289</v>
      </c>
      <c r="R84" s="44">
        <f t="shared" si="34"/>
        <v>-40657.857870323081</v>
      </c>
      <c r="S84" s="44">
        <f t="shared" si="34"/>
        <v>-43883.978726192814</v>
      </c>
      <c r="T84" s="44">
        <f t="shared" si="34"/>
        <v>-46333.328000901834</v>
      </c>
      <c r="U84" s="44">
        <f t="shared" si="34"/>
        <v>-47601.784379154393</v>
      </c>
      <c r="V84" s="44">
        <f t="shared" si="34"/>
        <v>-48202.288562803325</v>
      </c>
    </row>
    <row r="85" spans="3:22" ht="15" thickTop="1" x14ac:dyDescent="0.3"/>
    <row r="86" spans="3:22" s="23" customFormat="1" x14ac:dyDescent="0.3">
      <c r="D86" s="23" t="s">
        <v>188</v>
      </c>
      <c r="H86" s="24">
        <f t="shared" ref="H86:V86" si="35">H84-H29</f>
        <v>0</v>
      </c>
      <c r="I86" s="24">
        <f t="shared" si="35"/>
        <v>-1.0231815394945443E-12</v>
      </c>
      <c r="J86" s="24">
        <f t="shared" si="35"/>
        <v>9.0949470177292824E-13</v>
      </c>
      <c r="K86" s="24">
        <f t="shared" si="35"/>
        <v>-9.9475983006414026E-13</v>
      </c>
      <c r="L86" s="24">
        <f t="shared" si="35"/>
        <v>5.1159076974727213E-13</v>
      </c>
      <c r="M86" s="24">
        <f t="shared" si="35"/>
        <v>0</v>
      </c>
      <c r="N86" s="24">
        <f t="shared" si="35"/>
        <v>0</v>
      </c>
      <c r="O86" s="24">
        <f t="shared" si="35"/>
        <v>0</v>
      </c>
      <c r="P86" s="24">
        <f t="shared" si="35"/>
        <v>0</v>
      </c>
      <c r="Q86" s="24">
        <f t="shared" si="35"/>
        <v>0</v>
      </c>
      <c r="R86" s="24">
        <f t="shared" si="35"/>
        <v>0</v>
      </c>
      <c r="S86" s="24">
        <f t="shared" si="35"/>
        <v>0</v>
      </c>
      <c r="T86" s="24">
        <f t="shared" si="35"/>
        <v>0</v>
      </c>
      <c r="U86" s="24">
        <f t="shared" si="35"/>
        <v>0</v>
      </c>
      <c r="V86" s="24">
        <f t="shared" si="35"/>
        <v>0</v>
      </c>
    </row>
  </sheetData>
  <mergeCells count="3">
    <mergeCell ref="H1:L1"/>
    <mergeCell ref="Y1:AM2"/>
    <mergeCell ref="M1:Q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849ED60-4184-46ED-AEF5-E671A254D0B8}">
          <x14:formula1>
            <xm:f>'Rev Growth Scenarios'!$D$5:$D$7</xm:f>
          </x14:formula1>
          <xm:sqref>E6</xm:sqref>
        </x14:dataValidation>
      </x14:dataValidations>
    </ext>
    <ext xmlns:x14="http://schemas.microsoft.com/office/spreadsheetml/2009/9/main" uri="{05C60535-1F16-4fd2-B633-F4F36F0B64E0}">
      <x14:sparklineGroups xmlns:xm="http://schemas.microsoft.com/office/excel/2006/main">
        <x14:sparklineGroup displayEmptyCellsAs="gap" xr2:uid="{34BDFDFC-CAB8-40A3-837F-097A5EE72106}">
          <x14:colorSeries rgb="FF376092"/>
          <x14:colorNegative rgb="FFD00000"/>
          <x14:colorAxis rgb="FF000000"/>
          <x14:colorMarkers rgb="FFD00000"/>
          <x14:colorFirst rgb="FFD00000"/>
          <x14:colorLast rgb="FFD00000"/>
          <x14:colorHigh rgb="FFD00000"/>
          <x14:colorLow rgb="FFD00000"/>
          <x14:sparklines>
            <x14:sparkline>
              <xm:f>'Financial Statements'!H7:V7</xm:f>
              <xm:sqref>W7</xm:sqref>
            </x14:sparkline>
          </x14:sparklines>
        </x14:sparklineGroup>
      </x14:sparklineGroup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84A46-7D6C-4476-A44F-7F5099A2DA80}">
  <sheetPr>
    <tabColor theme="9" tint="0.39997558519241921"/>
  </sheetPr>
  <dimension ref="A1:X71"/>
  <sheetViews>
    <sheetView workbookViewId="0">
      <selection activeCell="E11" sqref="E11"/>
    </sheetView>
  </sheetViews>
  <sheetFormatPr defaultColWidth="11.77734375" defaultRowHeight="14.4" x14ac:dyDescent="0.3"/>
  <cols>
    <col min="1" max="3" width="1.33203125" customWidth="1"/>
    <col min="4" max="4" width="40.77734375" customWidth="1"/>
    <col min="5" max="6" width="12.77734375" customWidth="1"/>
    <col min="7" max="7" width="2.77734375" customWidth="1"/>
    <col min="8" max="8" width="10.6640625" bestFit="1" customWidth="1"/>
    <col min="13" max="13" width="11.44140625" customWidth="1"/>
    <col min="14" max="14" width="11.5546875" customWidth="1"/>
  </cols>
  <sheetData>
    <row r="1" spans="1:22" ht="32.4" x14ac:dyDescent="0.6">
      <c r="A1" s="1" t="str">
        <f>'Historical Info'!A1</f>
        <v>Ugar Sugar Works Ltd.</v>
      </c>
      <c r="B1" s="2"/>
      <c r="C1" s="2"/>
      <c r="D1" s="2"/>
      <c r="E1" s="3"/>
      <c r="F1" s="3"/>
      <c r="G1" s="3"/>
      <c r="H1" s="205"/>
      <c r="I1" s="205"/>
      <c r="J1" s="205"/>
      <c r="K1" s="205"/>
      <c r="L1" s="205"/>
      <c r="M1" s="205"/>
      <c r="N1" s="205"/>
      <c r="O1" s="205"/>
      <c r="P1" s="205"/>
      <c r="Q1" s="205"/>
    </row>
    <row r="2" spans="1:22" ht="15.6" x14ac:dyDescent="0.3">
      <c r="A2" s="4" t="s">
        <v>204</v>
      </c>
      <c r="B2" s="4"/>
      <c r="C2" s="4"/>
      <c r="D2" s="4"/>
      <c r="E2" s="5"/>
      <c r="F2" s="5"/>
      <c r="G2" s="5"/>
      <c r="H2" s="6"/>
      <c r="I2" s="6"/>
      <c r="J2" s="6"/>
      <c r="K2" s="6"/>
      <c r="L2" s="6"/>
      <c r="M2" s="6"/>
      <c r="N2" s="6"/>
      <c r="O2" s="6"/>
      <c r="P2" s="6"/>
      <c r="Q2" s="6"/>
    </row>
    <row r="4" spans="1:22" s="9" customFormat="1" ht="21" x14ac:dyDescent="0.4">
      <c r="A4" s="18" t="s">
        <v>336</v>
      </c>
      <c r="B4" s="3"/>
      <c r="C4" s="3"/>
      <c r="D4" s="3"/>
      <c r="E4" s="3"/>
      <c r="F4" s="3"/>
      <c r="G4" s="3"/>
      <c r="H4" s="3"/>
      <c r="I4" s="3"/>
      <c r="J4" s="3"/>
      <c r="K4" s="3"/>
      <c r="L4" s="3"/>
      <c r="M4" s="3"/>
      <c r="N4" s="3"/>
      <c r="O4" s="3"/>
      <c r="P4" s="3"/>
      <c r="Q4" s="3"/>
      <c r="R4" s="3"/>
      <c r="S4" s="3"/>
      <c r="T4" s="3"/>
      <c r="U4" s="3"/>
      <c r="V4" s="3"/>
    </row>
    <row r="6" spans="1:22" x14ac:dyDescent="0.3">
      <c r="D6" s="8" t="s">
        <v>337</v>
      </c>
      <c r="E6" s="8"/>
    </row>
    <row r="7" spans="1:22" x14ac:dyDescent="0.3">
      <c r="D7" t="s">
        <v>338</v>
      </c>
      <c r="E7" s="126">
        <v>46064</v>
      </c>
    </row>
    <row r="8" spans="1:22" x14ac:dyDescent="0.3">
      <c r="D8" t="s">
        <v>339</v>
      </c>
      <c r="E8" s="126">
        <f>EOMONTH(E7,1)</f>
        <v>46112</v>
      </c>
    </row>
    <row r="9" spans="1:22" x14ac:dyDescent="0.3">
      <c r="D9" t="s">
        <v>340</v>
      </c>
      <c r="E9" s="78">
        <f>'Comps (Data)'!K11</f>
        <v>0.27409762065207005</v>
      </c>
    </row>
    <row r="10" spans="1:22" x14ac:dyDescent="0.3">
      <c r="D10" t="s">
        <v>341</v>
      </c>
      <c r="E10" s="85">
        <f>'Comps Valuation'!S20</f>
        <v>11.46340520603369</v>
      </c>
    </row>
    <row r="11" spans="1:22" x14ac:dyDescent="0.3">
      <c r="D11" t="s">
        <v>342</v>
      </c>
      <c r="E11" s="128">
        <v>0.04</v>
      </c>
    </row>
    <row r="12" spans="1:22" x14ac:dyDescent="0.3">
      <c r="D12" t="s">
        <v>343</v>
      </c>
      <c r="E12" s="78">
        <f>WACC!H43</f>
        <v>7.6468304989057656E-2</v>
      </c>
    </row>
    <row r="13" spans="1:22" x14ac:dyDescent="0.3">
      <c r="D13" t="s">
        <v>270</v>
      </c>
      <c r="E13" s="87">
        <f>'Comps (Data)'!D11</f>
        <v>1125.3063400000001</v>
      </c>
    </row>
    <row r="14" spans="1:22" x14ac:dyDescent="0.3">
      <c r="D14" t="s">
        <v>344</v>
      </c>
      <c r="E14" s="88">
        <f>'Comps Valuation'!H20</f>
        <v>39.33</v>
      </c>
    </row>
    <row r="17" spans="1:24" ht="21" x14ac:dyDescent="0.4">
      <c r="A17" s="18" t="s">
        <v>353</v>
      </c>
      <c r="B17" s="18"/>
      <c r="C17" s="18"/>
      <c r="D17" s="18"/>
      <c r="E17" s="18"/>
      <c r="F17" s="18"/>
      <c r="G17" s="18"/>
      <c r="H17" s="18"/>
      <c r="I17" s="18"/>
      <c r="J17" s="18"/>
      <c r="K17" s="18"/>
      <c r="L17" s="18"/>
      <c r="M17" s="18"/>
      <c r="N17" s="18"/>
      <c r="O17" s="18"/>
      <c r="P17" s="18"/>
      <c r="Q17" s="18"/>
      <c r="R17" s="18"/>
      <c r="S17" s="18"/>
      <c r="T17" s="18"/>
      <c r="U17" s="18"/>
      <c r="V17" s="18"/>
      <c r="W17" s="18"/>
      <c r="X17" s="18"/>
    </row>
    <row r="18" spans="1:24" x14ac:dyDescent="0.3">
      <c r="D18" s="138"/>
      <c r="E18" s="138"/>
      <c r="F18" s="138"/>
      <c r="G18" s="138"/>
      <c r="H18" s="224" t="s">
        <v>394</v>
      </c>
      <c r="I18" s="224"/>
      <c r="J18" s="224"/>
      <c r="K18" s="224"/>
      <c r="L18" s="225"/>
      <c r="M18" s="224" t="s">
        <v>395</v>
      </c>
      <c r="N18" s="224"/>
      <c r="O18" s="224"/>
      <c r="P18" s="224"/>
      <c r="Q18" s="224"/>
      <c r="R18" s="224"/>
      <c r="S18" s="224"/>
      <c r="T18" s="224"/>
      <c r="U18" s="224"/>
      <c r="V18" s="224"/>
      <c r="W18" s="224"/>
      <c r="X18" s="224"/>
    </row>
    <row r="19" spans="1:24" x14ac:dyDescent="0.3">
      <c r="D19" s="8" t="s">
        <v>345</v>
      </c>
      <c r="E19" s="8"/>
      <c r="F19" s="8"/>
      <c r="G19" s="8"/>
      <c r="H19" s="89">
        <f>'Financial Statements'!H2</f>
        <v>2021</v>
      </c>
      <c r="I19" s="89">
        <f>'Financial Statements'!I2</f>
        <v>2022</v>
      </c>
      <c r="J19" s="89">
        <f>'Financial Statements'!J2</f>
        <v>2023</v>
      </c>
      <c r="K19" s="89">
        <f>'Financial Statements'!K2</f>
        <v>2024</v>
      </c>
      <c r="L19" s="140">
        <f>'Financial Statements'!L2</f>
        <v>2025</v>
      </c>
      <c r="M19" s="8" t="s">
        <v>347</v>
      </c>
      <c r="N19" s="89">
        <f>'Financial Statements'!M2</f>
        <v>2026</v>
      </c>
      <c r="O19" s="89">
        <f>'Financial Statements'!N2</f>
        <v>2027</v>
      </c>
      <c r="P19" s="89">
        <f>'Financial Statements'!O2</f>
        <v>2028</v>
      </c>
      <c r="Q19" s="89">
        <f>'Financial Statements'!P2</f>
        <v>2029</v>
      </c>
      <c r="R19" s="89">
        <f>'Financial Statements'!Q2</f>
        <v>2030</v>
      </c>
      <c r="S19" s="89">
        <f>'Financial Statements'!R2</f>
        <v>2031</v>
      </c>
      <c r="T19" s="89">
        <f>'Financial Statements'!S2</f>
        <v>2032</v>
      </c>
      <c r="U19" s="89">
        <f>'Financial Statements'!T2</f>
        <v>2033</v>
      </c>
      <c r="V19" s="89">
        <f>'Financial Statements'!U2</f>
        <v>2034</v>
      </c>
      <c r="W19" s="89">
        <f>'Financial Statements'!V2</f>
        <v>2035</v>
      </c>
      <c r="X19" s="10" t="s">
        <v>396</v>
      </c>
    </row>
    <row r="20" spans="1:24" s="23" customFormat="1" x14ac:dyDescent="0.3">
      <c r="D20" s="23" t="s">
        <v>272</v>
      </c>
      <c r="H20" s="144"/>
      <c r="I20" s="144"/>
      <c r="J20" s="144"/>
      <c r="K20" s="144"/>
      <c r="L20" s="145"/>
      <c r="M20" s="90">
        <f>E7</f>
        <v>46064</v>
      </c>
      <c r="N20" s="90">
        <f>DATE(YEAR($M$20)+N21,MONTH($E$8),DAY($E$8))</f>
        <v>46112</v>
      </c>
      <c r="O20" s="90">
        <f t="shared" ref="O20:W20" si="0">DATE(YEAR($M$20)+O21,MONTH($E$8),DAY($E$8))</f>
        <v>46477</v>
      </c>
      <c r="P20" s="90">
        <f t="shared" si="0"/>
        <v>46843</v>
      </c>
      <c r="Q20" s="90">
        <f t="shared" si="0"/>
        <v>47208</v>
      </c>
      <c r="R20" s="90">
        <f t="shared" si="0"/>
        <v>47573</v>
      </c>
      <c r="S20" s="90">
        <f t="shared" si="0"/>
        <v>47938</v>
      </c>
      <c r="T20" s="90">
        <f t="shared" si="0"/>
        <v>48304</v>
      </c>
      <c r="U20" s="90">
        <f t="shared" si="0"/>
        <v>48669</v>
      </c>
      <c r="V20" s="90">
        <f t="shared" si="0"/>
        <v>49034</v>
      </c>
      <c r="W20" s="90">
        <f t="shared" si="0"/>
        <v>49399</v>
      </c>
      <c r="X20" s="90">
        <f>W20</f>
        <v>49399</v>
      </c>
    </row>
    <row r="21" spans="1:24" x14ac:dyDescent="0.3">
      <c r="D21" t="s">
        <v>346</v>
      </c>
      <c r="H21" s="146"/>
      <c r="I21" s="146"/>
      <c r="J21" s="146"/>
      <c r="K21" s="146"/>
      <c r="L21" s="147"/>
      <c r="N21">
        <v>0</v>
      </c>
      <c r="O21">
        <f t="shared" ref="O21:W21" si="1">N21+1</f>
        <v>1</v>
      </c>
      <c r="P21">
        <f t="shared" si="1"/>
        <v>2</v>
      </c>
      <c r="Q21">
        <f t="shared" si="1"/>
        <v>3</v>
      </c>
      <c r="R21">
        <f t="shared" si="1"/>
        <v>4</v>
      </c>
      <c r="S21">
        <f t="shared" si="1"/>
        <v>5</v>
      </c>
      <c r="T21">
        <f t="shared" si="1"/>
        <v>6</v>
      </c>
      <c r="U21">
        <f t="shared" si="1"/>
        <v>7</v>
      </c>
      <c r="V21">
        <f t="shared" si="1"/>
        <v>8</v>
      </c>
      <c r="W21">
        <f t="shared" si="1"/>
        <v>9</v>
      </c>
    </row>
    <row r="22" spans="1:24" x14ac:dyDescent="0.3">
      <c r="D22" t="s">
        <v>276</v>
      </c>
      <c r="H22" s="146"/>
      <c r="I22" s="146"/>
      <c r="J22" s="146"/>
      <c r="K22" s="146"/>
      <c r="L22" s="147"/>
      <c r="N22" s="67">
        <f>YEARFRAC(M20,N20)</f>
        <v>0.1388888888888889</v>
      </c>
      <c r="O22">
        <f t="shared" ref="O22:W22" si="2">YEARFRAC(N20,O20)</f>
        <v>1</v>
      </c>
      <c r="P22">
        <f t="shared" si="2"/>
        <v>1</v>
      </c>
      <c r="Q22">
        <f t="shared" si="2"/>
        <v>1</v>
      </c>
      <c r="R22">
        <f t="shared" si="2"/>
        <v>1</v>
      </c>
      <c r="S22">
        <f t="shared" si="2"/>
        <v>1</v>
      </c>
      <c r="T22">
        <f t="shared" si="2"/>
        <v>1</v>
      </c>
      <c r="U22">
        <f t="shared" si="2"/>
        <v>1</v>
      </c>
      <c r="V22">
        <f t="shared" si="2"/>
        <v>1</v>
      </c>
      <c r="W22">
        <f t="shared" si="2"/>
        <v>1</v>
      </c>
      <c r="X22">
        <f>W22</f>
        <v>1</v>
      </c>
    </row>
    <row r="23" spans="1:24" x14ac:dyDescent="0.3">
      <c r="L23" s="139"/>
    </row>
    <row r="24" spans="1:24" x14ac:dyDescent="0.3">
      <c r="D24" s="9" t="s">
        <v>138</v>
      </c>
      <c r="E24" s="9"/>
      <c r="H24" s="41"/>
      <c r="I24" s="41">
        <f>'Financial Statements'!I18</f>
        <v>8766.2100000000064</v>
      </c>
      <c r="J24" s="41">
        <f>'Financial Statements'!J18</f>
        <v>19056.450000000004</v>
      </c>
      <c r="K24" s="41">
        <f>'Financial Statements'!K18</f>
        <v>4112.4599999999764</v>
      </c>
      <c r="L24" s="141">
        <f>'Financial Statements'!L18</f>
        <v>1292.9899999999952</v>
      </c>
      <c r="M24" s="41"/>
      <c r="N24" s="41">
        <f>'Financial Statements'!M18</f>
        <v>6987.1597109805052</v>
      </c>
      <c r="O24" s="41">
        <f>'Financial Statements'!N18</f>
        <v>7456.7248323097247</v>
      </c>
      <c r="P24" s="41">
        <f>'Financial Statements'!O18</f>
        <v>6978.3167372068438</v>
      </c>
      <c r="Q24" s="41">
        <f>'Financial Statements'!P18</f>
        <v>7486.6529245158345</v>
      </c>
      <c r="R24" s="41">
        <f>'Financial Statements'!Q18</f>
        <v>8002.8758126184921</v>
      </c>
      <c r="S24" s="41">
        <f>'Financial Statements'!R18</f>
        <v>7356.6621113988767</v>
      </c>
      <c r="T24" s="41">
        <f>'Financial Statements'!S18</f>
        <v>7954.745668182728</v>
      </c>
      <c r="U24" s="41">
        <f>'Financial Statements'!T18</f>
        <v>8534.3555500733091</v>
      </c>
      <c r="V24" s="41">
        <f>'Financial Statements'!U18</f>
        <v>7846.0430233271964</v>
      </c>
      <c r="W24" s="41">
        <f>'Financial Statements'!V18</f>
        <v>8532.4100342310958</v>
      </c>
    </row>
    <row r="25" spans="1:24" x14ac:dyDescent="0.3">
      <c r="D25" s="71" t="s">
        <v>348</v>
      </c>
      <c r="E25" s="71"/>
      <c r="F25" s="71"/>
      <c r="G25" s="71"/>
      <c r="H25" s="96"/>
      <c r="I25" s="96">
        <f>'Financial Statements'!I22</f>
        <v>-304.00000000000006</v>
      </c>
      <c r="J25" s="96">
        <f>'Financial Statements'!J22</f>
        <v>-4534.4400000000005</v>
      </c>
      <c r="K25" s="96">
        <f>'Financial Statements'!K22</f>
        <v>-865.8900000000001</v>
      </c>
      <c r="L25" s="142">
        <f>'Financial Statements'!L22</f>
        <v>586.16</v>
      </c>
      <c r="M25" s="96"/>
      <c r="N25" s="96">
        <f>'Financial Statements'!M22</f>
        <v>-714.84666514822379</v>
      </c>
      <c r="O25" s="96">
        <f>'Financial Statements'!N22</f>
        <v>-875.74826553857315</v>
      </c>
      <c r="P25" s="96">
        <f>'Financial Statements'!O22</f>
        <v>-794.56177219031611</v>
      </c>
      <c r="Q25" s="96">
        <f>'Financial Statements'!P22</f>
        <v>-967.86583059548525</v>
      </c>
      <c r="R25" s="96">
        <f>'Financial Statements'!Q22</f>
        <v>-1163.1377948837599</v>
      </c>
      <c r="S25" s="96">
        <f>'Financial Statements'!R22</f>
        <v>-1014.06073413126</v>
      </c>
      <c r="T25" s="96">
        <f>'Financial Statements'!S22</f>
        <v>-1233.8445603124896</v>
      </c>
      <c r="U25" s="96">
        <f>'Financial Statements'!T22</f>
        <v>-1428.8272552474427</v>
      </c>
      <c r="V25" s="96">
        <f>'Financial Statements'!U22</f>
        <v>-1282.9352781217929</v>
      </c>
      <c r="W25" s="96">
        <f>'Financial Statements'!V22</f>
        <v>-1509.2008512173911</v>
      </c>
      <c r="X25" s="40"/>
    </row>
    <row r="26" spans="1:24" s="10" customFormat="1" x14ac:dyDescent="0.3">
      <c r="D26" s="10" t="s">
        <v>349</v>
      </c>
      <c r="H26" s="92"/>
      <c r="I26" s="92">
        <f>SUM(I24:I25)</f>
        <v>8462.2100000000064</v>
      </c>
      <c r="J26" s="92">
        <f>SUM(J24:J25)</f>
        <v>14522.010000000004</v>
      </c>
      <c r="K26" s="92">
        <f>SUM(K24:K25)</f>
        <v>3246.5699999999761</v>
      </c>
      <c r="L26" s="143">
        <f>SUM(L24:L25)</f>
        <v>1879.1499999999951</v>
      </c>
      <c r="M26" s="92"/>
      <c r="N26" s="92">
        <f t="shared" ref="N26:W26" si="3">SUM(N24:N25)</f>
        <v>6272.3130458322812</v>
      </c>
      <c r="O26" s="92">
        <f t="shared" si="3"/>
        <v>6580.9765667711517</v>
      </c>
      <c r="P26" s="92">
        <f t="shared" si="3"/>
        <v>6183.7549650165274</v>
      </c>
      <c r="Q26" s="92">
        <f t="shared" si="3"/>
        <v>6518.7870939203494</v>
      </c>
      <c r="R26" s="92">
        <f t="shared" si="3"/>
        <v>6839.7380177347322</v>
      </c>
      <c r="S26" s="92">
        <f t="shared" si="3"/>
        <v>6342.601377267617</v>
      </c>
      <c r="T26" s="92">
        <f t="shared" si="3"/>
        <v>6720.9011078702388</v>
      </c>
      <c r="U26" s="92">
        <f t="shared" si="3"/>
        <v>7105.5282948258664</v>
      </c>
      <c r="V26" s="92">
        <f t="shared" si="3"/>
        <v>6563.1077452054033</v>
      </c>
      <c r="W26" s="92">
        <f t="shared" si="3"/>
        <v>7023.2091830137051</v>
      </c>
    </row>
    <row r="27" spans="1:24" x14ac:dyDescent="0.3">
      <c r="D27" s="9" t="s">
        <v>350</v>
      </c>
      <c r="E27" s="9"/>
      <c r="H27" s="41"/>
      <c r="I27" s="41">
        <f>-'Financial Statements'!I17</f>
        <v>1148.05</v>
      </c>
      <c r="J27" s="41">
        <f>-'Financial Statements'!J17</f>
        <v>1807.97</v>
      </c>
      <c r="K27" s="41">
        <f>-'Financial Statements'!K17</f>
        <v>2908.21</v>
      </c>
      <c r="L27" s="141">
        <f>-'Financial Statements'!L17</f>
        <v>2750.21</v>
      </c>
      <c r="M27" s="41"/>
      <c r="N27" s="41">
        <f>-'Financial Statements'!M17</f>
        <v>3157.1068434690524</v>
      </c>
      <c r="O27" s="41">
        <f>-'Financial Statements'!N17</f>
        <v>3593.1096349825252</v>
      </c>
      <c r="P27" s="41">
        <f>-'Financial Statements'!O17</f>
        <v>4964.2160647845831</v>
      </c>
      <c r="Q27" s="41">
        <f>-'Financial Statements'!P17</f>
        <v>5329.0401636560055</v>
      </c>
      <c r="R27" s="41">
        <f>-'Financial Statements'!Q17</f>
        <v>5660.8023520151573</v>
      </c>
      <c r="S27" s="41">
        <f>-'Financial Statements'!R17</f>
        <v>7125.2214019108651</v>
      </c>
      <c r="T27" s="41">
        <f>-'Financial Statements'!S17</f>
        <v>7311.9546959109102</v>
      </c>
      <c r="U27" s="41">
        <f>-'Financial Statements'!T17</f>
        <v>7481.0951502587332</v>
      </c>
      <c r="V27" s="41">
        <f>-'Financial Statements'!U17</f>
        <v>8880.2603366407111</v>
      </c>
      <c r="W27" s="41">
        <f>-'Financial Statements'!V17</f>
        <v>8865.7690908254117</v>
      </c>
    </row>
    <row r="28" spans="1:24" x14ac:dyDescent="0.3">
      <c r="D28" s="9" t="s">
        <v>351</v>
      </c>
      <c r="E28" s="9"/>
      <c r="H28" s="41"/>
      <c r="I28" s="41">
        <f>-'Working Schedules'!I15</f>
        <v>-11145.829999999998</v>
      </c>
      <c r="J28" s="41">
        <f>-'Working Schedules'!J15</f>
        <v>-4859.9000000000015</v>
      </c>
      <c r="K28" s="41">
        <f>-'Working Schedules'!K15</f>
        <v>-10059.329999999994</v>
      </c>
      <c r="L28" s="141">
        <f>-'Working Schedules'!L15</f>
        <v>-7676.0100000000048</v>
      </c>
      <c r="M28" s="41"/>
      <c r="N28" s="41">
        <f>-'Working Schedules'!M15</f>
        <v>-8435.2674999999999</v>
      </c>
      <c r="O28" s="41">
        <f>-'Working Schedules'!N15</f>
        <v>-8477.4438374999991</v>
      </c>
      <c r="P28" s="41">
        <f>-'Working Schedules'!O15</f>
        <v>-8519.8310566874989</v>
      </c>
      <c r="Q28" s="41">
        <f>-'Working Schedules'!P15</f>
        <v>-8562.4302119709355</v>
      </c>
      <c r="R28" s="41">
        <f>-'Working Schedules'!Q15</f>
        <v>-8605.2423630307894</v>
      </c>
      <c r="S28" s="41">
        <f>-'Working Schedules'!R15</f>
        <v>-8648.2685748459426</v>
      </c>
      <c r="T28" s="41">
        <f>-'Working Schedules'!S15</f>
        <v>-8691.5099177201719</v>
      </c>
      <c r="U28" s="41">
        <f>-'Working Schedules'!T15</f>
        <v>-8734.967467308772</v>
      </c>
      <c r="V28" s="41">
        <f>-'Working Schedules'!U15</f>
        <v>-8778.6423046453147</v>
      </c>
      <c r="W28" s="41">
        <f>-'Working Schedules'!V15</f>
        <v>-8822.5355161685402</v>
      </c>
    </row>
    <row r="29" spans="1:24" x14ac:dyDescent="0.3">
      <c r="D29" s="71" t="s">
        <v>352</v>
      </c>
      <c r="E29" s="71"/>
      <c r="F29" s="71"/>
      <c r="G29" s="71"/>
      <c r="H29" s="40"/>
      <c r="I29" s="96">
        <f>'Working Schedules'!I11</f>
        <v>-814.43000000000029</v>
      </c>
      <c r="J29" s="96">
        <f>'Working Schedules'!J11</f>
        <v>20779.29</v>
      </c>
      <c r="K29" s="96">
        <f>'Working Schedules'!K11</f>
        <v>-12032.740000000002</v>
      </c>
      <c r="L29" s="142">
        <f>'Working Schedules'!L11</f>
        <v>-2824.66</v>
      </c>
      <c r="M29" s="96"/>
      <c r="N29" s="96">
        <f>'Working Schedules'!M11</f>
        <v>-6903.4966463094806</v>
      </c>
      <c r="O29" s="96">
        <f>'Working Schedules'!N11</f>
        <v>-5333.6179542540813</v>
      </c>
      <c r="P29" s="96">
        <f>'Working Schedules'!O11</f>
        <v>-5257.8186551883755</v>
      </c>
      <c r="Q29" s="96">
        <f>'Working Schedules'!P11</f>
        <v>-5142.7433694005995</v>
      </c>
      <c r="R29" s="96">
        <f>'Working Schedules'!Q11</f>
        <v>-4994.466306296692</v>
      </c>
      <c r="S29" s="96">
        <f>'Working Schedules'!R11</f>
        <v>-4819.0695320315863</v>
      </c>
      <c r="T29" s="96">
        <f>'Working Schedules'!S11</f>
        <v>-4622.4178074088959</v>
      </c>
      <c r="U29" s="96">
        <f>'Working Schedules'!T11</f>
        <v>-4409.9930882918125</v>
      </c>
      <c r="V29" s="96">
        <f>'Working Schedules'!U11</f>
        <v>-4186.7831826785114</v>
      </c>
      <c r="W29" s="96">
        <f>'Working Schedules'!V11</f>
        <v>-3957.216894374993</v>
      </c>
      <c r="X29" s="40"/>
    </row>
    <row r="30" spans="1:24" s="10" customFormat="1" x14ac:dyDescent="0.3">
      <c r="D30" s="10" t="s">
        <v>353</v>
      </c>
      <c r="I30" s="92">
        <f>SUM(I26:I29)</f>
        <v>-2349.9999999999927</v>
      </c>
      <c r="J30" s="92">
        <f>SUM(J26:J29)</f>
        <v>32249.370000000003</v>
      </c>
      <c r="K30" s="92">
        <f>SUM(K26:K29)</f>
        <v>-15937.290000000019</v>
      </c>
      <c r="L30" s="143">
        <f>SUM(L26:L29)</f>
        <v>-5871.3100000000095</v>
      </c>
      <c r="M30" s="92">
        <v>0</v>
      </c>
      <c r="N30" s="92">
        <f t="shared" ref="N30:W30" si="4">SUM(N26:N29)</f>
        <v>-5909.3442570081461</v>
      </c>
      <c r="O30" s="92">
        <f t="shared" si="4"/>
        <v>-3636.9755900004038</v>
      </c>
      <c r="P30" s="92">
        <f t="shared" si="4"/>
        <v>-2629.6786820747639</v>
      </c>
      <c r="Q30" s="92">
        <f t="shared" si="4"/>
        <v>-1857.3463237951801</v>
      </c>
      <c r="R30" s="92">
        <f t="shared" si="4"/>
        <v>-1099.1682995775918</v>
      </c>
      <c r="S30" s="92">
        <f t="shared" si="4"/>
        <v>0.48467230095229752</v>
      </c>
      <c r="T30" s="92">
        <f t="shared" si="4"/>
        <v>718.92807865208124</v>
      </c>
      <c r="U30" s="92">
        <f t="shared" si="4"/>
        <v>1441.6628894840142</v>
      </c>
      <c r="V30" s="92">
        <f t="shared" si="4"/>
        <v>2477.9425945222883</v>
      </c>
      <c r="W30" s="92">
        <f t="shared" si="4"/>
        <v>3109.2258632955836</v>
      </c>
      <c r="X30" s="191">
        <f>S39</f>
        <v>144055.50708908649</v>
      </c>
    </row>
    <row r="31" spans="1:24" x14ac:dyDescent="0.3">
      <c r="D31" s="9"/>
      <c r="X31" s="192"/>
    </row>
    <row r="32" spans="1:24" x14ac:dyDescent="0.3">
      <c r="D32" s="9" t="s">
        <v>354</v>
      </c>
      <c r="M32" s="41">
        <f>M30</f>
        <v>0</v>
      </c>
      <c r="N32" s="41">
        <f t="shared" ref="N32:X32" si="5">N30*N22</f>
        <v>-820.74225791779816</v>
      </c>
      <c r="O32" s="41">
        <f t="shared" si="5"/>
        <v>-3636.9755900004038</v>
      </c>
      <c r="P32" s="41">
        <f t="shared" si="5"/>
        <v>-2629.6786820747639</v>
      </c>
      <c r="Q32" s="41">
        <f t="shared" si="5"/>
        <v>-1857.3463237951801</v>
      </c>
      <c r="R32" s="41">
        <f t="shared" si="5"/>
        <v>-1099.1682995775918</v>
      </c>
      <c r="S32" s="41">
        <f t="shared" si="5"/>
        <v>0.48467230095229752</v>
      </c>
      <c r="T32" s="41">
        <f t="shared" si="5"/>
        <v>718.92807865208124</v>
      </c>
      <c r="U32" s="41">
        <f t="shared" si="5"/>
        <v>1441.6628894840142</v>
      </c>
      <c r="V32" s="41">
        <f t="shared" si="5"/>
        <v>2477.9425945222883</v>
      </c>
      <c r="W32" s="41">
        <f t="shared" si="5"/>
        <v>3109.2258632955836</v>
      </c>
      <c r="X32" s="192">
        <f t="shared" si="5"/>
        <v>144055.50708908649</v>
      </c>
    </row>
    <row r="35" spans="1:24" x14ac:dyDescent="0.3">
      <c r="D35" s="8" t="s">
        <v>360</v>
      </c>
      <c r="E35" s="8"/>
      <c r="I35" s="93" t="s">
        <v>361</v>
      </c>
      <c r="J35" s="91"/>
      <c r="K35" s="91"/>
      <c r="M35" s="93" t="s">
        <v>367</v>
      </c>
      <c r="N35" s="91"/>
      <c r="O35" s="91"/>
    </row>
    <row r="36" spans="1:24" x14ac:dyDescent="0.3">
      <c r="D36" t="s">
        <v>220</v>
      </c>
      <c r="E36" s="41">
        <f>SUM(M32:X32)</f>
        <v>141759.84003397566</v>
      </c>
      <c r="I36" t="s">
        <v>218</v>
      </c>
      <c r="K36" s="41">
        <f>E13*E14</f>
        <v>44258.298352199999</v>
      </c>
      <c r="M36" t="s">
        <v>368</v>
      </c>
      <c r="O36">
        <f>K42</f>
        <v>39.33</v>
      </c>
      <c r="Q36" s="93" t="s">
        <v>355</v>
      </c>
      <c r="R36" s="93"/>
      <c r="S36" s="93"/>
    </row>
    <row r="37" spans="1:24" x14ac:dyDescent="0.3">
      <c r="D37" t="s">
        <v>559</v>
      </c>
      <c r="E37" s="41">
        <f>SUM('Financial Statements'!L29:L30,'Financial Statements'!L38)</f>
        <v>2407.7799999999997</v>
      </c>
      <c r="I37" t="s">
        <v>362</v>
      </c>
      <c r="K37" s="41">
        <f>-E37</f>
        <v>-2407.7799999999997</v>
      </c>
      <c r="M37" t="s">
        <v>369</v>
      </c>
      <c r="O37" s="100">
        <f>E42</f>
        <v>73.819596567789404</v>
      </c>
      <c r="Q37" s="9" t="s">
        <v>356</v>
      </c>
      <c r="R37" s="9"/>
      <c r="S37" s="95">
        <f>(W24+W27)*E10</f>
        <v>199442.37715767944</v>
      </c>
    </row>
    <row r="38" spans="1:24" x14ac:dyDescent="0.3">
      <c r="D38" t="s">
        <v>358</v>
      </c>
      <c r="E38" s="41">
        <f>-'Working Schedules'!L22</f>
        <v>-61097.960000000006</v>
      </c>
      <c r="I38" t="s">
        <v>363</v>
      </c>
      <c r="K38" s="41">
        <f>-E38</f>
        <v>61097.960000000006</v>
      </c>
      <c r="M38" s="20" t="s">
        <v>370</v>
      </c>
      <c r="N38" s="20"/>
      <c r="O38" s="101">
        <f>O37/O36-1</f>
        <v>0.87692846600023922</v>
      </c>
      <c r="Q38" s="9" t="s">
        <v>357</v>
      </c>
      <c r="R38" s="9"/>
      <c r="S38" s="95">
        <f>W30*(1+E11)/(E12-E11)</f>
        <v>88668.637020493552</v>
      </c>
    </row>
    <row r="39" spans="1:24" x14ac:dyDescent="0.3">
      <c r="D39" t="s">
        <v>558</v>
      </c>
      <c r="E39" s="41">
        <f>'Financial Statements'!L54</f>
        <v>0</v>
      </c>
      <c r="I39" t="s">
        <v>364</v>
      </c>
      <c r="K39" s="41">
        <f>E39</f>
        <v>0</v>
      </c>
      <c r="Q39" s="20" t="s">
        <v>262</v>
      </c>
      <c r="R39" s="20"/>
      <c r="S39" s="94">
        <f>AVERAGE(S37:S38)</f>
        <v>144055.50708908649</v>
      </c>
    </row>
    <row r="40" spans="1:24" x14ac:dyDescent="0.3">
      <c r="D40" s="20" t="s">
        <v>268</v>
      </c>
      <c r="E40" s="42">
        <f>SUM(E36:E39)</f>
        <v>83069.660033975655</v>
      </c>
      <c r="I40" s="20" t="s">
        <v>220</v>
      </c>
      <c r="J40" s="98"/>
      <c r="K40" s="42">
        <f>SUM(K36:K39)</f>
        <v>102948.47835220001</v>
      </c>
    </row>
    <row r="42" spans="1:24" x14ac:dyDescent="0.3">
      <c r="D42" s="10" t="s">
        <v>359</v>
      </c>
      <c r="E42" s="97">
        <f>E40/E13</f>
        <v>73.819596567789404</v>
      </c>
      <c r="I42" s="10" t="s">
        <v>359</v>
      </c>
      <c r="K42" s="99">
        <f>K36/E13</f>
        <v>39.33</v>
      </c>
    </row>
    <row r="43" spans="1:24" x14ac:dyDescent="0.3">
      <c r="D43" t="s">
        <v>365</v>
      </c>
      <c r="I43" t="s">
        <v>366</v>
      </c>
    </row>
    <row r="47" spans="1:24" s="9" customFormat="1" ht="21" x14ac:dyDescent="0.4">
      <c r="A47" s="18" t="s">
        <v>371</v>
      </c>
      <c r="B47" s="3"/>
      <c r="C47" s="3"/>
      <c r="D47" s="3"/>
      <c r="E47" s="3"/>
      <c r="F47" s="3"/>
      <c r="G47" s="3"/>
      <c r="H47" s="3"/>
      <c r="I47" s="3"/>
      <c r="J47" s="3"/>
      <c r="K47" s="3"/>
      <c r="L47" s="3"/>
      <c r="M47" s="3"/>
      <c r="N47" s="3"/>
      <c r="O47" s="3"/>
      <c r="P47" s="3"/>
      <c r="Q47" s="3"/>
      <c r="R47" s="3"/>
      <c r="S47" s="3"/>
      <c r="T47" s="3"/>
      <c r="U47" s="3"/>
      <c r="V47" s="3"/>
      <c r="W47" s="3"/>
      <c r="X47" s="3"/>
    </row>
    <row r="49" spans="8:14" x14ac:dyDescent="0.3">
      <c r="H49" s="222" t="s">
        <v>372</v>
      </c>
      <c r="I49" s="222"/>
      <c r="J49" s="222"/>
      <c r="K49" s="222"/>
      <c r="L49" s="222"/>
      <c r="M49" s="222"/>
      <c r="N49" s="222"/>
    </row>
    <row r="51" spans="8:14" x14ac:dyDescent="0.3">
      <c r="H51" s="43"/>
      <c r="I51" s="43"/>
      <c r="J51" s="223" t="s">
        <v>373</v>
      </c>
      <c r="K51" s="223"/>
      <c r="L51" s="223"/>
      <c r="M51" s="223"/>
      <c r="N51" s="223"/>
    </row>
    <row r="52" spans="8:14" x14ac:dyDescent="0.3">
      <c r="H52" s="43"/>
      <c r="I52" s="103">
        <f>E42</f>
        <v>73.819596567789404</v>
      </c>
      <c r="J52" s="104">
        <v>5</v>
      </c>
      <c r="K52" s="104">
        <v>10</v>
      </c>
      <c r="L52" s="104">
        <v>11.46340520603369</v>
      </c>
      <c r="M52" s="104">
        <v>15</v>
      </c>
      <c r="N52" s="104">
        <v>20</v>
      </c>
    </row>
    <row r="53" spans="8:14" x14ac:dyDescent="0.3">
      <c r="H53" s="221" t="s">
        <v>374</v>
      </c>
      <c r="I53" s="105">
        <v>0.05</v>
      </c>
      <c r="J53" s="43">
        <f t="dataTable" ref="J53:N57" dt2D="1" dtr="1" r1="E10" r2="E12" ca="1"/>
        <v>128.13341622948712</v>
      </c>
      <c r="K53" s="43">
        <v>166.78551145596677</v>
      </c>
      <c r="L53" s="43">
        <v>178.09824693167479</v>
      </c>
      <c r="M53" s="43">
        <v>205.43760668244641</v>
      </c>
      <c r="N53" s="43">
        <v>244.08970190892603</v>
      </c>
    </row>
    <row r="54" spans="8:14" x14ac:dyDescent="0.3">
      <c r="H54" s="221"/>
      <c r="I54" s="105">
        <v>0.06</v>
      </c>
      <c r="J54" s="43">
        <v>56.295313508333777</v>
      </c>
      <c r="K54" s="196">
        <v>94.947408734813408</v>
      </c>
      <c r="L54" s="196">
        <v>106.26014421052143</v>
      </c>
      <c r="M54" s="196">
        <v>133.59950396129304</v>
      </c>
      <c r="N54" s="43">
        <v>172.25159918777265</v>
      </c>
    </row>
    <row r="55" spans="8:14" x14ac:dyDescent="0.3">
      <c r="H55" s="221"/>
      <c r="I55" s="105">
        <v>6.9010736367443232E-2</v>
      </c>
      <c r="J55" s="43">
        <v>33.982394713068146</v>
      </c>
      <c r="K55" s="196">
        <v>72.634489939547777</v>
      </c>
      <c r="L55" s="196">
        <v>83.947225415255829</v>
      </c>
      <c r="M55" s="196">
        <v>111.28658516602741</v>
      </c>
      <c r="N55" s="43">
        <v>149.93868039250702</v>
      </c>
    </row>
    <row r="56" spans="8:14" x14ac:dyDescent="0.3">
      <c r="H56" s="221"/>
      <c r="I56" s="105">
        <v>7.6505354345971291E-2</v>
      </c>
      <c r="J56" s="43">
        <v>23.814781208397992</v>
      </c>
      <c r="K56" s="196">
        <v>62.466876434877605</v>
      </c>
      <c r="L56" s="197">
        <v>73.779611910585658</v>
      </c>
      <c r="M56" s="196">
        <v>101.11897166135724</v>
      </c>
      <c r="N56" s="43">
        <v>139.77106688783687</v>
      </c>
    </row>
    <row r="57" spans="8:14" x14ac:dyDescent="0.3">
      <c r="H57" s="221"/>
      <c r="I57" s="105">
        <v>0.09</v>
      </c>
      <c r="J57" s="43">
        <v>13.19245187564171</v>
      </c>
      <c r="K57" s="43">
        <v>51.844547102121346</v>
      </c>
      <c r="L57" s="43">
        <v>63.157282577829399</v>
      </c>
      <c r="M57" s="43">
        <v>90.496642328600984</v>
      </c>
      <c r="N57" s="43">
        <v>129.1487375550806</v>
      </c>
    </row>
    <row r="61" spans="8:14" x14ac:dyDescent="0.3">
      <c r="J61" s="223" t="s">
        <v>357</v>
      </c>
      <c r="K61" s="223"/>
      <c r="L61" s="223"/>
      <c r="M61" s="223"/>
      <c r="N61" s="223"/>
    </row>
    <row r="62" spans="8:14" s="10" customFormat="1" x14ac:dyDescent="0.3">
      <c r="H62" s="92"/>
      <c r="I62" s="106">
        <f>E42</f>
        <v>73.819596567789404</v>
      </c>
      <c r="J62" s="107">
        <v>0.02</v>
      </c>
      <c r="K62" s="107">
        <v>0.03</v>
      </c>
      <c r="L62" s="107">
        <v>0.04</v>
      </c>
      <c r="M62" s="107">
        <v>0.05</v>
      </c>
      <c r="N62" s="107">
        <v>0.06</v>
      </c>
    </row>
    <row r="63" spans="8:14" x14ac:dyDescent="0.3">
      <c r="H63" s="221" t="s">
        <v>374</v>
      </c>
      <c r="I63" s="105">
        <v>0.05</v>
      </c>
      <c r="J63" s="41">
        <f t="dataTable" ref="J63:N67" dt2D="1" dtr="1" r1="E11" r2="E12"/>
        <v>81.393108653199107</v>
      </c>
      <c r="K63" s="41">
        <v>105.56939322281801</v>
      </c>
      <c r="L63" s="41">
        <v>178.09824693167479</v>
      </c>
      <c r="M63" s="41" t="e">
        <v>#DIV/0!</v>
      </c>
      <c r="N63" s="41">
        <v>-112.01716790375242</v>
      </c>
    </row>
    <row r="64" spans="8:14" x14ac:dyDescent="0.3">
      <c r="H64" s="221"/>
      <c r="I64" s="105">
        <v>0.06</v>
      </c>
      <c r="J64" s="41">
        <v>69.650341862241319</v>
      </c>
      <c r="K64" s="196">
        <v>81.853609311668023</v>
      </c>
      <c r="L64" s="196">
        <v>106.26014421052143</v>
      </c>
      <c r="M64" s="196">
        <v>179.47974890708164</v>
      </c>
      <c r="N64" s="41" t="e">
        <v>#DIV/0!</v>
      </c>
    </row>
    <row r="65" spans="4:14" x14ac:dyDescent="0.3">
      <c r="H65" s="221"/>
      <c r="I65" s="105">
        <v>6.9010736367443232E-2</v>
      </c>
      <c r="J65" s="41">
        <v>63.173537984960113</v>
      </c>
      <c r="K65" s="196">
        <v>70.897821419954866</v>
      </c>
      <c r="L65" s="196">
        <v>83.947225415255829</v>
      </c>
      <c r="M65" s="196">
        <v>110.72508657610739</v>
      </c>
      <c r="N65" s="41">
        <v>196.93840355076526</v>
      </c>
    </row>
    <row r="66" spans="4:14" x14ac:dyDescent="0.3">
      <c r="H66" s="221"/>
      <c r="I66" s="105">
        <v>7.6505354345971291E-2</v>
      </c>
      <c r="J66" s="41">
        <v>59.360067827316314</v>
      </c>
      <c r="K66" s="196">
        <v>65.019529771752616</v>
      </c>
      <c r="L66" s="197">
        <v>73.779611910585658</v>
      </c>
      <c r="M66" s="196">
        <v>89.149741230443851</v>
      </c>
      <c r="N66" s="41">
        <v>123.14428660061216</v>
      </c>
    </row>
    <row r="67" spans="4:14" x14ac:dyDescent="0.3">
      <c r="H67" s="221"/>
      <c r="I67" s="105">
        <v>0.09</v>
      </c>
      <c r="J67" s="41">
        <v>54.552498845295624</v>
      </c>
      <c r="K67" s="41">
        <v>58.137825400518032</v>
      </c>
      <c r="L67" s="41">
        <v>63.157282577829399</v>
      </c>
      <c r="M67" s="41">
        <v>70.686468343796435</v>
      </c>
      <c r="N67" s="41">
        <v>83.23511128707483</v>
      </c>
    </row>
    <row r="70" spans="4:14" x14ac:dyDescent="0.3">
      <c r="D70" s="179" t="s">
        <v>392</v>
      </c>
    </row>
    <row r="71" spans="4:14" x14ac:dyDescent="0.3">
      <c r="H71" s="10"/>
    </row>
  </sheetData>
  <mergeCells count="9">
    <mergeCell ref="H1:L1"/>
    <mergeCell ref="M1:Q1"/>
    <mergeCell ref="H63:H67"/>
    <mergeCell ref="H49:N49"/>
    <mergeCell ref="J51:N51"/>
    <mergeCell ref="H53:H57"/>
    <mergeCell ref="H18:L18"/>
    <mergeCell ref="M18:X18"/>
    <mergeCell ref="J61:N61"/>
  </mergeCells>
  <hyperlinks>
    <hyperlink ref="D70" location="'Cover page'!A1" display="Back to Cover" xr:uid="{4647BD75-8254-4D14-B899-683F2DA2ACB1}"/>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1802D-8C7C-45F0-AE80-9196B614B360}">
  <sheetPr>
    <tabColor theme="9" tint="0.39997558519241921"/>
  </sheetPr>
  <dimension ref="A1:T28"/>
  <sheetViews>
    <sheetView workbookViewId="0">
      <selection activeCell="S20" sqref="S20"/>
    </sheetView>
  </sheetViews>
  <sheetFormatPr defaultColWidth="11.77734375" defaultRowHeight="14.4" x14ac:dyDescent="0.3"/>
  <cols>
    <col min="1" max="3" width="1.33203125" customWidth="1"/>
    <col min="4" max="4" width="40.77734375" customWidth="1"/>
    <col min="5" max="6" width="12.77734375" customWidth="1"/>
    <col min="7" max="7" width="2.77734375" customWidth="1"/>
    <col min="8" max="8" width="11.77734375" bestFit="1" customWidth="1"/>
    <col min="9" max="9" width="16.21875" bestFit="1" customWidth="1"/>
    <col min="10" max="10" width="13.88671875" customWidth="1"/>
    <col min="11" max="12" width="13.88671875" bestFit="1" customWidth="1"/>
    <col min="13" max="13" width="13.44140625" customWidth="1"/>
    <col min="14" max="14" width="15" bestFit="1" customWidth="1"/>
    <col min="15" max="16" width="13.88671875" bestFit="1" customWidth="1"/>
    <col min="17" max="17" width="13.88671875" customWidth="1"/>
    <col min="18" max="18" width="11.88671875" bestFit="1" customWidth="1"/>
    <col min="19" max="19" width="10.5546875" customWidth="1"/>
    <col min="20" max="20" width="11.88671875" bestFit="1" customWidth="1"/>
  </cols>
  <sheetData>
    <row r="1" spans="1:20" ht="32.4" x14ac:dyDescent="0.6">
      <c r="A1" s="1" t="str">
        <f>'Historical Info'!A1</f>
        <v>Ugar Sugar Works Ltd.</v>
      </c>
      <c r="B1" s="2"/>
      <c r="C1" s="2"/>
      <c r="D1" s="2"/>
      <c r="E1" s="3"/>
      <c r="F1" s="3"/>
      <c r="G1" s="3"/>
      <c r="H1" s="205"/>
      <c r="I1" s="205"/>
      <c r="J1" s="205"/>
      <c r="K1" s="205"/>
      <c r="L1" s="205"/>
      <c r="M1" s="205"/>
      <c r="N1" s="205"/>
      <c r="O1" s="205"/>
      <c r="P1" s="205"/>
      <c r="Q1" s="205"/>
      <c r="R1" s="7"/>
      <c r="S1" s="7"/>
      <c r="T1" s="7"/>
    </row>
    <row r="2" spans="1:20" s="9" customFormat="1" x14ac:dyDescent="0.3">
      <c r="A2" s="2" t="s">
        <v>492</v>
      </c>
      <c r="B2" s="2"/>
      <c r="C2" s="2"/>
      <c r="D2" s="2"/>
      <c r="E2" s="3"/>
      <c r="F2" s="3"/>
      <c r="G2" s="3"/>
      <c r="H2" s="184"/>
      <c r="I2" s="184"/>
      <c r="J2" s="184"/>
      <c r="K2" s="184"/>
      <c r="L2" s="184"/>
      <c r="M2" s="185"/>
      <c r="N2" s="185"/>
      <c r="O2" s="185"/>
      <c r="P2" s="185"/>
      <c r="Q2" s="185"/>
      <c r="R2" s="185"/>
      <c r="S2" s="185"/>
      <c r="T2" s="185"/>
    </row>
    <row r="4" spans="1:20" x14ac:dyDescent="0.3">
      <c r="A4" s="9"/>
      <c r="B4" s="9"/>
      <c r="C4" s="9"/>
      <c r="D4" s="9"/>
      <c r="E4" s="9"/>
      <c r="F4" s="11"/>
      <c r="G4" s="9"/>
      <c r="H4" s="12"/>
      <c r="I4" s="12"/>
      <c r="J4" s="11"/>
      <c r="K4" s="12"/>
      <c r="L4" s="12"/>
    </row>
    <row r="5" spans="1:20" s="29" customFormat="1" ht="15.6" x14ac:dyDescent="0.3">
      <c r="D5" s="4"/>
      <c r="E5" s="4"/>
      <c r="F5" s="4"/>
      <c r="G5" s="4"/>
      <c r="H5" s="49"/>
      <c r="I5" s="49"/>
      <c r="J5" s="58" t="s">
        <v>213</v>
      </c>
      <c r="K5" s="49"/>
      <c r="L5" s="49"/>
      <c r="M5" s="49"/>
      <c r="N5" s="4"/>
      <c r="O5" s="4" t="s">
        <v>214</v>
      </c>
      <c r="P5" s="4"/>
      <c r="Q5" s="4"/>
      <c r="R5" s="4"/>
      <c r="S5" s="4" t="s">
        <v>215</v>
      </c>
      <c r="T5" s="4"/>
    </row>
    <row r="6" spans="1:20" s="29" customFormat="1" ht="31.2" x14ac:dyDescent="0.3">
      <c r="D6" s="4"/>
      <c r="E6" s="4"/>
      <c r="F6" s="4"/>
      <c r="G6" s="4"/>
      <c r="H6" s="50" t="s">
        <v>216</v>
      </c>
      <c r="I6" s="50" t="s">
        <v>217</v>
      </c>
      <c r="J6" s="50" t="s">
        <v>218</v>
      </c>
      <c r="K6" s="50" t="s">
        <v>158</v>
      </c>
      <c r="L6" s="50" t="s">
        <v>219</v>
      </c>
      <c r="M6" s="50" t="s">
        <v>220</v>
      </c>
      <c r="N6" s="4" t="s">
        <v>221</v>
      </c>
      <c r="O6" s="4" t="s">
        <v>136</v>
      </c>
      <c r="P6" s="4" t="s">
        <v>222</v>
      </c>
      <c r="Q6" s="51" t="s">
        <v>223</v>
      </c>
      <c r="R6" s="4" t="s">
        <v>224</v>
      </c>
      <c r="S6" s="50" t="s">
        <v>225</v>
      </c>
      <c r="T6" s="4" t="s">
        <v>226</v>
      </c>
    </row>
    <row r="7" spans="1:20" s="29" customFormat="1" ht="15.6" x14ac:dyDescent="0.3">
      <c r="D7" s="4" t="s">
        <v>227</v>
      </c>
      <c r="E7" s="4"/>
      <c r="F7" s="4" t="s">
        <v>228</v>
      </c>
      <c r="G7" s="4"/>
      <c r="H7" s="52" t="s">
        <v>229</v>
      </c>
      <c r="I7" s="50" t="s">
        <v>230</v>
      </c>
      <c r="J7" s="53" t="s">
        <v>231</v>
      </c>
      <c r="K7" s="50"/>
      <c r="L7" s="50"/>
      <c r="M7" s="53" t="s">
        <v>231</v>
      </c>
      <c r="N7" s="53" t="s">
        <v>231</v>
      </c>
      <c r="O7" s="53" t="s">
        <v>231</v>
      </c>
      <c r="P7" s="53" t="s">
        <v>231</v>
      </c>
      <c r="Q7" s="53"/>
      <c r="R7" s="4" t="s">
        <v>232</v>
      </c>
      <c r="S7" s="4" t="s">
        <v>232</v>
      </c>
      <c r="T7" s="4" t="s">
        <v>232</v>
      </c>
    </row>
    <row r="8" spans="1:20" x14ac:dyDescent="0.3">
      <c r="A8" s="9"/>
      <c r="B8" s="9"/>
      <c r="C8" s="9"/>
      <c r="D8" s="9" t="str">
        <f>'Comps (Data)'!A2</f>
        <v>Mawana Sugars Limited</v>
      </c>
      <c r="E8" s="9"/>
      <c r="F8" s="11" t="str">
        <f>'Comps (Data)'!B2</f>
        <v>523371</v>
      </c>
      <c r="G8" s="11"/>
      <c r="H8" s="169">
        <f>'Comps (Data)'!C2</f>
        <v>79.5</v>
      </c>
      <c r="I8" s="169">
        <f>'Comps (Data)'!D2</f>
        <v>390.99666000000002</v>
      </c>
      <c r="J8" s="169">
        <f>'Comps (Data)'!E2</f>
        <v>31097.906880000002</v>
      </c>
      <c r="K8" s="169">
        <f>'Comps (Data)'!F2</f>
        <v>19559.407971264001</v>
      </c>
      <c r="L8" s="169">
        <f>'Comps (Data)'!G2</f>
        <v>1521.7</v>
      </c>
      <c r="M8" s="169">
        <f>J8+K8-L8</f>
        <v>49135.614851264007</v>
      </c>
      <c r="N8" s="169">
        <f>'Comps (Data)'!H2</f>
        <v>152953.435458186</v>
      </c>
      <c r="O8" s="169">
        <f>'Comps (Data)'!I2</f>
        <v>12085.843534194</v>
      </c>
      <c r="P8" s="169">
        <f>'Comps (Data)'!J2</f>
        <v>10172.866623391999</v>
      </c>
      <c r="Q8" s="78">
        <f>'Comps (Data)'!K2</f>
        <v>0.16493400000000003</v>
      </c>
      <c r="R8" s="60">
        <f>M8/N8</f>
        <v>0.32124557846035812</v>
      </c>
      <c r="S8" s="60">
        <f>M8/O8</f>
        <v>4.0655511311433541</v>
      </c>
      <c r="T8" s="60">
        <f>J8/P8</f>
        <v>3.0569462897008712</v>
      </c>
    </row>
    <row r="9" spans="1:20" x14ac:dyDescent="0.3">
      <c r="A9" s="9"/>
      <c r="B9" s="9"/>
      <c r="C9" s="9"/>
      <c r="D9" s="9" t="str">
        <f>'Comps (Data)'!A3</f>
        <v>DCM Shriram Industries Limited</v>
      </c>
      <c r="E9" s="9"/>
      <c r="F9" s="11" t="str">
        <f>'Comps (Data)'!B3</f>
        <v>523369</v>
      </c>
      <c r="G9" s="11"/>
      <c r="H9" s="169">
        <f>'Comps (Data)'!C3</f>
        <v>37.590000000000003</v>
      </c>
      <c r="I9" s="169">
        <f>'Comps (Data)'!D3</f>
        <v>869.54097999999999</v>
      </c>
      <c r="J9" s="169">
        <f>'Comps (Data)'!E3</f>
        <v>32700.36234</v>
      </c>
      <c r="K9" s="169">
        <f>'Comps (Data)'!F3</f>
        <v>57177.205847635996</v>
      </c>
      <c r="L9" s="169">
        <f>'Comps (Data)'!G3</f>
        <v>11028.900000000001</v>
      </c>
      <c r="M9" s="169">
        <f t="shared" ref="M9:M20" si="0">J9+K9-L9</f>
        <v>78848.668187636009</v>
      </c>
      <c r="N9" s="169">
        <f>'Comps (Data)'!H3</f>
        <v>213747.05188846798</v>
      </c>
      <c r="O9" s="169">
        <f>'Comps (Data)'!I3</f>
        <v>18989.115614961996</v>
      </c>
      <c r="P9" s="169">
        <f>'Comps (Data)'!J3</f>
        <v>9313.5687027080003</v>
      </c>
      <c r="Q9" s="78">
        <f>'Comps (Data)'!K3</f>
        <v>0.35449599999999998</v>
      </c>
      <c r="R9" s="60">
        <f t="shared" ref="R9:R20" si="1">M9/N9</f>
        <v>0.3688877460110131</v>
      </c>
      <c r="S9" s="60">
        <f t="shared" ref="S9:S20" si="2">M9/O9</f>
        <v>4.152308605963154</v>
      </c>
      <c r="T9" s="60">
        <f t="shared" ref="T9:T20" si="3">J9/P9</f>
        <v>3.5110453773205204</v>
      </c>
    </row>
    <row r="10" spans="1:20" x14ac:dyDescent="0.3">
      <c r="A10" s="9"/>
      <c r="B10" s="9"/>
      <c r="C10" s="9"/>
      <c r="D10" s="9" t="str">
        <f>'Comps (Data)'!A4</f>
        <v>Magadh Sugar &amp; Energy Limited</v>
      </c>
      <c r="E10" s="9"/>
      <c r="F10" s="11" t="str">
        <f>'Comps (Data)'!B4</f>
        <v>MAGADSUGAR</v>
      </c>
      <c r="G10" s="11"/>
      <c r="H10" s="169">
        <f>'Comps (Data)'!C4</f>
        <v>417.8</v>
      </c>
      <c r="I10" s="169">
        <f>'Comps (Data)'!D4</f>
        <v>140.44682</v>
      </c>
      <c r="J10" s="169">
        <f>'Comps (Data)'!E4</f>
        <v>58874.830140000005</v>
      </c>
      <c r="K10" s="169">
        <f>'Comps (Data)'!F4</f>
        <v>75737.668443286006</v>
      </c>
      <c r="L10" s="169">
        <f>'Comps (Data)'!G4</f>
        <v>133.5</v>
      </c>
      <c r="M10" s="169">
        <f t="shared" si="0"/>
        <v>134478.99858328601</v>
      </c>
      <c r="N10" s="169">
        <f>'Comps (Data)'!H4</f>
        <v>138761.05548036599</v>
      </c>
      <c r="O10" s="169">
        <f>'Comps (Data)'!I4</f>
        <v>20908.760282116</v>
      </c>
      <c r="P10" s="169">
        <f>'Comps (Data)'!J4</f>
        <v>10519.332936655999</v>
      </c>
      <c r="Q10" s="78">
        <f>'Comps (Data)'!K4</f>
        <v>0.25656199999999996</v>
      </c>
      <c r="R10" s="60">
        <f t="shared" si="1"/>
        <v>0.96914078750513777</v>
      </c>
      <c r="S10" s="60">
        <f t="shared" si="2"/>
        <v>6.4317059820285296</v>
      </c>
      <c r="T10" s="60">
        <f t="shared" si="3"/>
        <v>5.5968216325621674</v>
      </c>
    </row>
    <row r="11" spans="1:20" x14ac:dyDescent="0.3">
      <c r="A11" s="9"/>
      <c r="B11" s="9"/>
      <c r="C11" s="9"/>
      <c r="D11" s="9" t="str">
        <f>'Comps (Data)'!A5</f>
        <v>Dwarikesh Sugar Industries Limited</v>
      </c>
      <c r="E11" s="9"/>
      <c r="F11" s="11" t="str">
        <f>'Comps (Data)'!B5</f>
        <v>532610</v>
      </c>
      <c r="G11" s="11"/>
      <c r="H11" s="169">
        <f>'Comps (Data)'!C5</f>
        <v>33.33</v>
      </c>
      <c r="I11" s="169">
        <f>'Comps (Data)'!D5</f>
        <v>1846.9899</v>
      </c>
      <c r="J11" s="169">
        <f>'Comps (Data)'!E5</f>
        <v>61760.979950000008</v>
      </c>
      <c r="K11" s="169">
        <f>'Comps (Data)'!F5</f>
        <v>54311.715525331994</v>
      </c>
      <c r="L11" s="169">
        <f>'Comps (Data)'!G5</f>
        <v>29261.020405820003</v>
      </c>
      <c r="M11" s="169">
        <f t="shared" si="0"/>
        <v>86811.675069511999</v>
      </c>
      <c r="N11" s="169">
        <f>'Comps (Data)'!H5</f>
        <v>152377.13808232799</v>
      </c>
      <c r="O11" s="169">
        <f>'Comps (Data)'!I5</f>
        <v>11954.824508464</v>
      </c>
      <c r="P11" s="169">
        <f>'Comps (Data)'!J5</f>
        <v>2535.2518813619999</v>
      </c>
      <c r="Q11" s="78">
        <f>'Comps (Data)'!K5</f>
        <v>0.56490899999999999</v>
      </c>
      <c r="R11" s="60">
        <f t="shared" si="1"/>
        <v>0.56971587839252125</v>
      </c>
      <c r="S11" s="60">
        <f t="shared" si="2"/>
        <v>7.261643615767797</v>
      </c>
      <c r="T11" s="60">
        <f t="shared" si="3"/>
        <v>24.36088516649497</v>
      </c>
    </row>
    <row r="12" spans="1:20" x14ac:dyDescent="0.3">
      <c r="A12" s="9"/>
      <c r="B12" s="9"/>
      <c r="C12" s="9"/>
      <c r="D12" s="9" t="str">
        <f>'Comps (Data)'!A6</f>
        <v>Avadh Sugar &amp; Energy Limited</v>
      </c>
      <c r="E12" s="9"/>
      <c r="F12" s="11" t="str">
        <f>'Comps (Data)'!B6</f>
        <v>AVADHSUGAR</v>
      </c>
      <c r="G12" s="11"/>
      <c r="H12" s="169">
        <f>'Comps (Data)'!C6</f>
        <v>322.35000000000002</v>
      </c>
      <c r="I12" s="169">
        <f>'Comps (Data)'!D6</f>
        <v>200.22026</v>
      </c>
      <c r="J12" s="169">
        <f>'Comps (Data)'!E6</f>
        <v>64529.376869999993</v>
      </c>
      <c r="K12" s="169">
        <f>'Comps (Data)'!F6</f>
        <v>146798.266547418</v>
      </c>
      <c r="L12" s="169">
        <f>'Comps (Data)'!G6</f>
        <v>372.8</v>
      </c>
      <c r="M12" s="169">
        <f t="shared" si="0"/>
        <v>210954.84341741801</v>
      </c>
      <c r="N12" s="169">
        <f>'Comps (Data)'!H6</f>
        <v>283126.78700645798</v>
      </c>
      <c r="O12" s="169">
        <f>'Comps (Data)'!I6</f>
        <v>26403.178771436</v>
      </c>
      <c r="P12" s="169">
        <f>'Comps (Data)'!J6</f>
        <v>7584.42598352</v>
      </c>
      <c r="Q12" s="78">
        <f>'Comps (Data)'!K6</f>
        <v>0.35482999999999998</v>
      </c>
      <c r="R12" s="60">
        <f t="shared" si="1"/>
        <v>0.74508966688696343</v>
      </c>
      <c r="S12" s="60">
        <f t="shared" si="2"/>
        <v>7.9897517357128711</v>
      </c>
      <c r="T12" s="60">
        <f t="shared" si="3"/>
        <v>8.5081424764661406</v>
      </c>
    </row>
    <row r="13" spans="1:20" x14ac:dyDescent="0.3">
      <c r="D13" s="9" t="str">
        <f>'Comps (Data)'!A7</f>
        <v>Davangere Sugar Company Limited</v>
      </c>
      <c r="F13" s="11" t="str">
        <f>'Comps (Data)'!B7</f>
        <v>DAVANGERE</v>
      </c>
      <c r="G13" s="11"/>
      <c r="H13" s="169">
        <f>'Comps (Data)'!C7</f>
        <v>4.59</v>
      </c>
      <c r="I13" s="169">
        <f>'Comps (Data)'!D7</f>
        <v>7290.8428600000007</v>
      </c>
      <c r="J13" s="169">
        <f>'Comps (Data)'!E7</f>
        <v>46392.03772</v>
      </c>
      <c r="K13" s="169">
        <f>'Comps (Data)'!F7</f>
        <v>38172.127638653998</v>
      </c>
      <c r="L13" s="169">
        <f>'Comps (Data)'!G7</f>
        <v>1220.1000000000001</v>
      </c>
      <c r="M13" s="169">
        <f t="shared" si="0"/>
        <v>83344.065358653985</v>
      </c>
      <c r="N13" s="169">
        <f>'Comps (Data)'!H7</f>
        <v>20717.142145861999</v>
      </c>
      <c r="O13" s="169">
        <f>'Comps (Data)'!I7</f>
        <v>5768.98153189</v>
      </c>
      <c r="P13" s="169">
        <f>'Comps (Data)'!J7</f>
        <v>1210.0573364339998</v>
      </c>
      <c r="Q13" s="78">
        <f>'Comps (Data)'!K7</f>
        <v>0.145261</v>
      </c>
      <c r="R13" s="60">
        <f t="shared" si="1"/>
        <v>4.0229518517495411</v>
      </c>
      <c r="S13" s="60">
        <f t="shared" si="2"/>
        <v>14.446928785946259</v>
      </c>
      <c r="T13" s="60">
        <f t="shared" si="3"/>
        <v>38.338710343028744</v>
      </c>
    </row>
    <row r="14" spans="1:20" x14ac:dyDescent="0.3">
      <c r="D14" s="9" t="str">
        <f>'Comps (Data)'!A8</f>
        <v>Dhampur Sugar Mills Limited</v>
      </c>
      <c r="F14" s="11" t="str">
        <f>'Comps (Data)'!B8</f>
        <v>500119</v>
      </c>
      <c r="G14" s="11"/>
      <c r="H14" s="169">
        <f>'Comps (Data)'!C8</f>
        <v>113.20000000000002</v>
      </c>
      <c r="I14" s="169">
        <f>'Comps (Data)'!D8</f>
        <v>652.05772000000002</v>
      </c>
      <c r="J14" s="169">
        <f>'Comps (Data)'!E8</f>
        <v>72794.96819</v>
      </c>
      <c r="K14" s="169">
        <f>'Comps (Data)'!F8</f>
        <v>100215.12134081799</v>
      </c>
      <c r="L14" s="169">
        <f>'Comps (Data)'!G8</f>
        <v>25153.075540620004</v>
      </c>
      <c r="M14" s="169">
        <f t="shared" si="0"/>
        <v>147857.01399019797</v>
      </c>
      <c r="N14" s="169">
        <f>'Comps (Data)'!H8</f>
        <v>211870.06011702001</v>
      </c>
      <c r="O14" s="169">
        <f>'Comps (Data)'!I8</f>
        <v>17567.144975293999</v>
      </c>
      <c r="P14" s="169">
        <f>'Comps (Data)'!J8</f>
        <v>5514.326294903999</v>
      </c>
      <c r="Q14" s="78">
        <f>'Comps (Data)'!K8</f>
        <v>0.30268299999999998</v>
      </c>
      <c r="R14" s="60">
        <f t="shared" si="1"/>
        <v>0.69786648433730381</v>
      </c>
      <c r="S14" s="60">
        <f t="shared" si="2"/>
        <v>8.4166786463105101</v>
      </c>
      <c r="T14" s="60">
        <f t="shared" si="3"/>
        <v>13.201062885464836</v>
      </c>
    </row>
    <row r="15" spans="1:20" x14ac:dyDescent="0.3">
      <c r="D15" s="9" t="str">
        <f>'Comps (Data)'!A9</f>
        <v>Uttam Sugar Mills Limited</v>
      </c>
      <c r="F15" s="11" t="str">
        <f>'Comps (Data)'!B9</f>
        <v>532729</v>
      </c>
      <c r="G15" s="11"/>
      <c r="H15" s="169">
        <f>'Comps (Data)'!C9</f>
        <v>208.7</v>
      </c>
      <c r="I15" s="169">
        <f>'Comps (Data)'!D9</f>
        <v>381.55192</v>
      </c>
      <c r="J15" s="169">
        <f>'Comps (Data)'!E9</f>
        <v>79594.256439999997</v>
      </c>
      <c r="K15" s="169">
        <f>'Comps (Data)'!F9</f>
        <v>28639.376640070001</v>
      </c>
      <c r="L15" s="169">
        <f>'Comps (Data)'!G9</f>
        <v>2093.5</v>
      </c>
      <c r="M15" s="169">
        <f t="shared" si="0"/>
        <v>106140.13308006999</v>
      </c>
      <c r="N15" s="169">
        <f>'Comps (Data)'!H9</f>
        <v>227501.79518350997</v>
      </c>
      <c r="O15" s="169">
        <f>'Comps (Data)'!I9</f>
        <v>25616.293565935997</v>
      </c>
      <c r="P15" s="169">
        <f>'Comps (Data)'!J9</f>
        <v>11632.76104523</v>
      </c>
      <c r="Q15" s="78">
        <f>'Comps (Data)'!K9</f>
        <v>0.26586399999999999</v>
      </c>
      <c r="R15" s="60">
        <f t="shared" si="1"/>
        <v>0.46654635403845535</v>
      </c>
      <c r="S15" s="60">
        <f t="shared" si="2"/>
        <v>4.143461770020191</v>
      </c>
      <c r="T15" s="60">
        <f t="shared" si="3"/>
        <v>6.8422497574329126</v>
      </c>
    </row>
    <row r="16" spans="1:20" x14ac:dyDescent="0.3">
      <c r="D16" s="9"/>
      <c r="F16" s="11"/>
      <c r="G16" s="11"/>
      <c r="H16" s="59"/>
      <c r="I16" s="59"/>
      <c r="J16" s="59"/>
      <c r="K16" s="59"/>
      <c r="L16" s="59"/>
      <c r="M16" s="59"/>
      <c r="N16" s="59"/>
      <c r="O16" s="59"/>
      <c r="P16" s="59"/>
      <c r="Q16" s="56"/>
      <c r="R16" s="60"/>
      <c r="S16" s="60"/>
      <c r="T16" s="60"/>
    </row>
    <row r="17" spans="4:20" s="65" customFormat="1" x14ac:dyDescent="0.3">
      <c r="D17" s="2" t="s">
        <v>262</v>
      </c>
      <c r="E17" s="2"/>
      <c r="F17" s="61"/>
      <c r="G17" s="61"/>
      <c r="H17" s="62"/>
      <c r="I17" s="62"/>
      <c r="J17" s="62"/>
      <c r="K17" s="62"/>
      <c r="L17" s="62"/>
      <c r="M17" s="62"/>
      <c r="N17" s="62"/>
      <c r="O17" s="62"/>
      <c r="P17" s="62"/>
      <c r="Q17" s="63"/>
      <c r="R17" s="64">
        <f t="shared" ref="R17:T17" si="4">AVERAGE(R8:R15)</f>
        <v>1.0201805434226616</v>
      </c>
      <c r="S17" s="64">
        <f t="shared" si="4"/>
        <v>7.1135037841115825</v>
      </c>
      <c r="T17" s="64">
        <f t="shared" si="4"/>
        <v>12.926982991058896</v>
      </c>
    </row>
    <row r="18" spans="4:20" s="65" customFormat="1" x14ac:dyDescent="0.3">
      <c r="D18" s="2" t="s">
        <v>263</v>
      </c>
      <c r="E18" s="2"/>
      <c r="F18" s="61"/>
      <c r="G18" s="61"/>
      <c r="H18" s="62"/>
      <c r="I18" s="62"/>
      <c r="J18" s="62"/>
      <c r="K18" s="62"/>
      <c r="L18" s="62"/>
      <c r="M18" s="62"/>
      <c r="N18" s="62"/>
      <c r="O18" s="62"/>
      <c r="P18" s="62"/>
      <c r="Q18" s="63"/>
      <c r="R18" s="64">
        <f t="shared" ref="R18:T18" si="5">MEDIAN(R8:R15)</f>
        <v>0.63379118136491253</v>
      </c>
      <c r="S18" s="64">
        <f t="shared" si="5"/>
        <v>6.8466747988981638</v>
      </c>
      <c r="T18" s="64">
        <f t="shared" si="5"/>
        <v>7.6751961169495271</v>
      </c>
    </row>
    <row r="19" spans="4:20" x14ac:dyDescent="0.3">
      <c r="D19" s="9"/>
      <c r="F19" s="11"/>
      <c r="G19" s="11"/>
      <c r="H19" s="59"/>
      <c r="I19" s="59"/>
      <c r="J19" s="59"/>
      <c r="K19" s="59"/>
      <c r="L19" s="59"/>
      <c r="M19" s="59"/>
      <c r="N19" s="59"/>
      <c r="O19" s="59"/>
      <c r="P19" s="59"/>
      <c r="Q19" s="56"/>
      <c r="R19" s="60"/>
      <c r="S19" s="60"/>
      <c r="T19" s="60"/>
    </row>
    <row r="20" spans="4:20" x14ac:dyDescent="0.3">
      <c r="D20" s="9" t="str">
        <f>'Comps (Data)'!A11</f>
        <v>The Ugar Sugar Works Limited</v>
      </c>
      <c r="F20" s="11" t="str">
        <f>'Comps (Data)'!B11</f>
        <v>530363</v>
      </c>
      <c r="G20" s="11"/>
      <c r="H20" s="170">
        <f>'Comps (Data)'!C11</f>
        <v>39.33</v>
      </c>
      <c r="I20" s="169">
        <f>'Comps (Data)'!D11</f>
        <v>1125.3063400000001</v>
      </c>
      <c r="J20" s="169">
        <f>'Comps (Data)'!E11</f>
        <v>44258.298352199999</v>
      </c>
      <c r="K20" s="169">
        <f>'Comps (Data)'!F11</f>
        <v>45440.079361641998</v>
      </c>
      <c r="L20" s="169">
        <f>'Comps (Data)'!G11</f>
        <v>1916.7361123599999</v>
      </c>
      <c r="M20" s="169">
        <f t="shared" si="0"/>
        <v>87781.641601481999</v>
      </c>
      <c r="N20" s="169">
        <f>'Comps (Data)'!H11</f>
        <v>159888.71901128598</v>
      </c>
      <c r="O20" s="169">
        <f>'Comps (Data)'!I11</f>
        <v>7657.5537568259997</v>
      </c>
      <c r="P20" s="169">
        <f>'Comps (Data)'!J11</f>
        <v>1002.5592187799999</v>
      </c>
      <c r="Q20" s="86">
        <f>'Comps (Data)'!K11</f>
        <v>0.27409762065207005</v>
      </c>
      <c r="R20" s="60">
        <f t="shared" si="1"/>
        <v>0.54901710479828036</v>
      </c>
      <c r="S20" s="60">
        <f t="shared" si="2"/>
        <v>11.46340520603369</v>
      </c>
      <c r="T20" s="60">
        <f t="shared" si="3"/>
        <v>44.145320818113163</v>
      </c>
    </row>
    <row r="21" spans="4:20" x14ac:dyDescent="0.3">
      <c r="D21" s="10"/>
    </row>
    <row r="22" spans="4:20" x14ac:dyDescent="0.3">
      <c r="D22" s="2" t="s">
        <v>264</v>
      </c>
      <c r="E22" s="2"/>
      <c r="F22" s="2" t="s">
        <v>265</v>
      </c>
      <c r="G22" s="2"/>
      <c r="H22" s="2" t="s">
        <v>266</v>
      </c>
      <c r="I22" s="61" t="s">
        <v>267</v>
      </c>
      <c r="J22" s="61" t="s">
        <v>268</v>
      </c>
      <c r="K22" s="62" t="s">
        <v>270</v>
      </c>
      <c r="L22" s="62" t="s">
        <v>269</v>
      </c>
      <c r="M22" s="134"/>
      <c r="N22" s="134"/>
    </row>
    <row r="23" spans="4:20" x14ac:dyDescent="0.3">
      <c r="D23" t="s">
        <v>224</v>
      </c>
      <c r="F23" s="66">
        <f>R18</f>
        <v>0.63379118136491253</v>
      </c>
      <c r="H23" s="59">
        <f>F23*N20</f>
        <v>101336.06010908549</v>
      </c>
      <c r="I23" s="59">
        <f>K20-L20</f>
        <v>43523.343249281999</v>
      </c>
      <c r="J23" s="59">
        <f>H23-I23</f>
        <v>57812.716859803491</v>
      </c>
      <c r="K23" s="59">
        <f>I20</f>
        <v>1125.3063400000001</v>
      </c>
      <c r="L23" s="59">
        <f>J23/K23</f>
        <v>51.375092101412569</v>
      </c>
    </row>
    <row r="24" spans="4:20" x14ac:dyDescent="0.3">
      <c r="D24" t="s">
        <v>225</v>
      </c>
      <c r="F24" s="66">
        <f>S18</f>
        <v>6.8466747988981638</v>
      </c>
      <c r="H24" s="59">
        <f>F24*O20</f>
        <v>52428.780328068533</v>
      </c>
      <c r="I24" s="59">
        <f t="shared" ref="I24:I25" si="6">I23</f>
        <v>43523.343249281999</v>
      </c>
      <c r="J24" s="59">
        <f>H24-I24</f>
        <v>8905.4370787865337</v>
      </c>
      <c r="K24" s="59">
        <f>K23</f>
        <v>1125.3063400000001</v>
      </c>
      <c r="L24" s="59">
        <f t="shared" ref="L24:L25" si="7">J24/K24</f>
        <v>7.9137891276668118</v>
      </c>
    </row>
    <row r="25" spans="4:20" x14ac:dyDescent="0.3">
      <c r="D25" t="s">
        <v>226</v>
      </c>
      <c r="F25" s="66">
        <f>T18</f>
        <v>7.6751961169495271</v>
      </c>
      <c r="H25" s="59">
        <f>J25+I25</f>
        <v>51218.181872274203</v>
      </c>
      <c r="I25" s="59">
        <f t="shared" si="6"/>
        <v>43523.343249281999</v>
      </c>
      <c r="J25" s="59">
        <f>F25*P20</f>
        <v>7694.8386229922071</v>
      </c>
      <c r="K25" s="59">
        <f>K24</f>
        <v>1125.3063400000001</v>
      </c>
      <c r="L25" s="59">
        <f t="shared" si="7"/>
        <v>6.8379945526586177</v>
      </c>
    </row>
    <row r="28" spans="4:20" x14ac:dyDescent="0.3">
      <c r="D28" s="179" t="s">
        <v>392</v>
      </c>
    </row>
  </sheetData>
  <mergeCells count="2">
    <mergeCell ref="H1:L1"/>
    <mergeCell ref="M1:Q1"/>
  </mergeCells>
  <hyperlinks>
    <hyperlink ref="D28" location="'Cover page'!A1" display="Back to Cover" xr:uid="{8328E109-7851-4B7D-88E6-FFE32FE15946}"/>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6CC26-8FEF-4BDA-A4E5-37EA785E58B6}">
  <sheetPr>
    <tabColor theme="9" tint="0.39997558519241921"/>
    <pageSetUpPr fitToPage="1"/>
  </sheetPr>
  <dimension ref="A1:AP52"/>
  <sheetViews>
    <sheetView tabSelected="1" zoomScale="97" zoomScaleNormal="80" workbookViewId="0">
      <pane xSplit="4" ySplit="4" topLeftCell="E23" activePane="bottomRight" state="frozen"/>
      <selection activeCell="N32" sqref="N32"/>
      <selection pane="topRight" activeCell="N32" sqref="N32"/>
      <selection pane="bottomLeft" activeCell="N32" sqref="N32"/>
      <selection pane="bottomRight" activeCell="H27" sqref="H27"/>
    </sheetView>
  </sheetViews>
  <sheetFormatPr defaultColWidth="11.77734375" defaultRowHeight="14.4" x14ac:dyDescent="0.3"/>
  <cols>
    <col min="1" max="3" width="1.33203125" customWidth="1"/>
    <col min="4" max="4" width="40.77734375" customWidth="1"/>
    <col min="5" max="6" width="12.77734375" customWidth="1"/>
    <col min="7" max="7" width="2.77734375" customWidth="1"/>
    <col min="8" max="8" width="12.109375" customWidth="1"/>
    <col min="9" max="14" width="11.77734375" customWidth="1"/>
    <col min="42" max="42" width="11.77734375" customWidth="1"/>
  </cols>
  <sheetData>
    <row r="1" spans="1:42" ht="32.4" x14ac:dyDescent="0.6">
      <c r="A1" s="1" t="s">
        <v>1</v>
      </c>
      <c r="B1" s="2"/>
      <c r="C1" s="2"/>
      <c r="D1" s="2"/>
      <c r="E1" s="3"/>
      <c r="F1" s="3"/>
      <c r="G1" s="3"/>
      <c r="H1" s="205"/>
      <c r="I1" s="205"/>
      <c r="J1" s="205"/>
      <c r="K1" s="205"/>
      <c r="L1" s="205"/>
      <c r="M1" s="205"/>
      <c r="N1" s="205"/>
      <c r="O1" s="205"/>
      <c r="P1" s="205"/>
      <c r="Q1" s="205"/>
      <c r="R1" s="113"/>
      <c r="S1" s="113"/>
      <c r="T1" s="113"/>
      <c r="U1" s="113"/>
      <c r="V1" s="113"/>
      <c r="W1" s="113"/>
      <c r="X1" s="113"/>
      <c r="Y1" s="113"/>
      <c r="Z1" s="113"/>
      <c r="AA1" s="113"/>
      <c r="AB1" s="113"/>
      <c r="AC1" s="113"/>
      <c r="AD1" s="113"/>
      <c r="AE1" s="113"/>
      <c r="AF1" s="113"/>
      <c r="AG1" s="113"/>
      <c r="AH1" s="113"/>
      <c r="AI1" s="113"/>
      <c r="AJ1" s="113"/>
      <c r="AK1" s="113"/>
      <c r="AL1" s="113"/>
      <c r="AM1" s="113"/>
      <c r="AN1" s="113"/>
      <c r="AO1" s="113"/>
      <c r="AP1" s="113"/>
    </row>
    <row r="2" spans="1:42" ht="15.6" x14ac:dyDescent="0.3">
      <c r="A2" s="4" t="s">
        <v>480</v>
      </c>
      <c r="B2" s="4"/>
      <c r="C2" s="4"/>
      <c r="D2" s="4"/>
      <c r="E2" s="5"/>
      <c r="F2" s="5"/>
      <c r="G2" s="5"/>
      <c r="H2" s="6"/>
      <c r="I2" s="6"/>
      <c r="J2" s="6"/>
      <c r="K2" s="6"/>
      <c r="L2" s="6"/>
      <c r="M2" s="7"/>
      <c r="N2" s="7"/>
      <c r="O2" s="7"/>
      <c r="P2" s="7"/>
      <c r="Q2" s="7"/>
      <c r="R2" s="113"/>
      <c r="S2" s="113"/>
      <c r="T2" s="113"/>
      <c r="U2" s="113"/>
      <c r="V2" s="113"/>
      <c r="W2" s="113"/>
      <c r="X2" s="113"/>
      <c r="Y2" s="113"/>
      <c r="Z2" s="113"/>
      <c r="AA2" s="113"/>
      <c r="AB2" s="113"/>
      <c r="AC2" s="113"/>
      <c r="AD2" s="113"/>
      <c r="AE2" s="113"/>
      <c r="AF2" s="113"/>
      <c r="AG2" s="113"/>
      <c r="AH2" s="113"/>
      <c r="AI2" s="113"/>
      <c r="AJ2" s="113"/>
      <c r="AK2" s="113"/>
      <c r="AL2" s="113"/>
      <c r="AM2" s="113"/>
      <c r="AN2" s="113"/>
      <c r="AO2" s="113"/>
      <c r="AP2" s="113"/>
    </row>
    <row r="4" spans="1:42" ht="21" x14ac:dyDescent="0.4">
      <c r="A4" s="16" t="s">
        <v>479</v>
      </c>
      <c r="B4" s="17"/>
      <c r="C4" s="17"/>
      <c r="D4" s="17"/>
      <c r="E4" s="17"/>
      <c r="F4" s="17"/>
      <c r="G4" s="17"/>
      <c r="H4" s="180">
        <f>'Financial Statements'!H2</f>
        <v>2021</v>
      </c>
      <c r="I4" s="180">
        <f>'Financial Statements'!I2</f>
        <v>2022</v>
      </c>
      <c r="J4" s="180">
        <f>'Financial Statements'!J2</f>
        <v>2023</v>
      </c>
      <c r="K4" s="180">
        <f>'Financial Statements'!K2</f>
        <v>2024</v>
      </c>
      <c r="L4" s="180">
        <f>'Financial Statements'!L2</f>
        <v>2025</v>
      </c>
      <c r="M4" s="181">
        <f>'Financial Statements'!M2</f>
        <v>2026</v>
      </c>
      <c r="N4" s="181">
        <f>'Financial Statements'!N2</f>
        <v>2027</v>
      </c>
      <c r="O4" s="181">
        <f>'Financial Statements'!O2</f>
        <v>2028</v>
      </c>
      <c r="P4" s="181">
        <f>'Financial Statements'!P2</f>
        <v>2029</v>
      </c>
      <c r="Q4" s="181">
        <f>'Financial Statements'!Q2</f>
        <v>2030</v>
      </c>
      <c r="R4" s="181">
        <f>'Financial Statements'!R2</f>
        <v>2031</v>
      </c>
      <c r="S4" s="181">
        <f>'Financial Statements'!S2</f>
        <v>2032</v>
      </c>
      <c r="T4" s="181">
        <f>'Financial Statements'!T2</f>
        <v>2033</v>
      </c>
      <c r="U4" s="181">
        <f>'Financial Statements'!U2</f>
        <v>2034</v>
      </c>
      <c r="V4" s="181">
        <f>'Financial Statements'!V2</f>
        <v>2035</v>
      </c>
      <c r="W4" s="113"/>
      <c r="X4" s="113"/>
      <c r="Y4" s="226" t="s">
        <v>505</v>
      </c>
      <c r="Z4" s="226"/>
      <c r="AA4" s="226"/>
      <c r="AB4" s="226"/>
      <c r="AC4" s="226"/>
      <c r="AD4" s="226"/>
      <c r="AE4" s="226"/>
      <c r="AF4" s="226"/>
      <c r="AG4" s="226"/>
      <c r="AH4" s="226"/>
      <c r="AI4" s="226"/>
      <c r="AJ4" s="226"/>
      <c r="AK4" s="226"/>
      <c r="AL4" s="226"/>
      <c r="AM4" s="226"/>
      <c r="AN4" s="226"/>
      <c r="AO4" s="226"/>
      <c r="AP4" s="226"/>
    </row>
    <row r="5" spans="1:42" x14ac:dyDescent="0.3">
      <c r="A5" s="9"/>
      <c r="B5" s="9"/>
      <c r="C5" s="9"/>
      <c r="D5" s="9"/>
      <c r="E5" s="9"/>
      <c r="F5" s="9"/>
      <c r="G5" s="9"/>
      <c r="H5" s="12"/>
      <c r="I5" s="12"/>
      <c r="J5" s="9"/>
      <c r="K5" s="12"/>
      <c r="L5" s="12"/>
    </row>
    <row r="6" spans="1:42" ht="18" customHeight="1" x14ac:dyDescent="0.3">
      <c r="A6" s="9"/>
      <c r="B6" s="9"/>
      <c r="C6" s="10"/>
      <c r="D6" s="9" t="s">
        <v>112</v>
      </c>
      <c r="E6" s="9"/>
      <c r="F6" s="9" t="s">
        <v>113</v>
      </c>
      <c r="G6" s="9"/>
      <c r="H6" s="25"/>
      <c r="I6" s="25">
        <f>'Financial Statements'!I10/'Financial Statements'!H10-1</f>
        <v>0.16424864181770293</v>
      </c>
      <c r="J6" s="25">
        <f>'Financial Statements'!J10/'Financial Statements'!I10-1</f>
        <v>0.49060071958198792</v>
      </c>
      <c r="K6" s="25">
        <f>'Financial Statements'!K10/'Financial Statements'!J10-1</f>
        <v>-0.34168134981350662</v>
      </c>
      <c r="L6" s="25">
        <f>'Financial Statements'!L10/'Financial Statements'!K10-1</f>
        <v>0.10192011409632307</v>
      </c>
      <c r="M6" s="26">
        <f t="array" ref="M6:V6">CHOOSE('Financial Statements'!$G$6,'Rev Growth Scenarios'!H5:Q5,'Rev Growth Scenarios'!H6:Q6,'Rev Growth Scenarios'!H7:Q7)</f>
        <v>9.8639711666887717E-2</v>
      </c>
      <c r="N6" s="26">
        <v>8.9268939058533392E-2</v>
      </c>
      <c r="O6" s="26">
        <v>8.0788389847972722E-2</v>
      </c>
      <c r="P6" s="26">
        <v>7.3113492812415318E-2</v>
      </c>
      <c r="Q6" s="26">
        <v>6.6167710995235871E-2</v>
      </c>
      <c r="R6" s="26">
        <v>5.9881778450688462E-2</v>
      </c>
      <c r="S6" s="26">
        <v>5.4193009497873063E-2</v>
      </c>
      <c r="T6" s="26">
        <v>4.9044673595575121E-2</v>
      </c>
      <c r="U6" s="26">
        <v>4.4385429603995483E-2</v>
      </c>
      <c r="V6" s="26">
        <v>4.0168813791615916E-2</v>
      </c>
      <c r="Y6" s="209"/>
      <c r="Z6" s="209"/>
      <c r="AA6" s="209"/>
      <c r="AB6" s="209"/>
      <c r="AC6" s="209"/>
      <c r="AD6" s="209"/>
      <c r="AE6" s="209"/>
      <c r="AF6" s="209"/>
      <c r="AG6" s="209"/>
      <c r="AH6" s="209"/>
      <c r="AI6" s="209"/>
      <c r="AJ6" s="209"/>
      <c r="AK6" s="209"/>
      <c r="AL6" s="209"/>
      <c r="AM6" s="209"/>
      <c r="AN6" s="209"/>
      <c r="AO6" s="209"/>
      <c r="AP6" s="209"/>
    </row>
    <row r="7" spans="1:42" ht="18" customHeight="1" x14ac:dyDescent="0.3">
      <c r="A7" s="9"/>
      <c r="B7" s="9"/>
      <c r="C7" s="9"/>
      <c r="D7" s="9" t="s">
        <v>114</v>
      </c>
      <c r="E7" s="9"/>
      <c r="F7" s="9" t="s">
        <v>113</v>
      </c>
      <c r="G7" s="9"/>
      <c r="H7" s="25">
        <f>-'Financial Statements'!H11/'Financial Statements'!H10</f>
        <v>0.71024060864885918</v>
      </c>
      <c r="I7" s="25">
        <f>-'Financial Statements'!I11/'Financial Statements'!I10</f>
        <v>0.71164868479988685</v>
      </c>
      <c r="J7" s="25">
        <f>-'Financial Statements'!J11/'Financial Statements'!J10</f>
        <v>0.74001261243012462</v>
      </c>
      <c r="K7" s="25">
        <f>-'Financial Statements'!K11/'Financial Statements'!K10</f>
        <v>0.74018682208135922</v>
      </c>
      <c r="L7" s="25">
        <f>-'Financial Statements'!L11/'Financial Statements'!L10</f>
        <v>0.82932426288323247</v>
      </c>
      <c r="M7" s="26">
        <f>AVERAGE(H7:L7)</f>
        <v>0.74628259816869247</v>
      </c>
      <c r="N7" s="26">
        <f>M7</f>
        <v>0.74628259816869247</v>
      </c>
      <c r="O7" s="26">
        <f t="shared" ref="O7:V7" si="0">N7</f>
        <v>0.74628259816869247</v>
      </c>
      <c r="P7" s="26">
        <f t="shared" si="0"/>
        <v>0.74628259816869247</v>
      </c>
      <c r="Q7" s="26">
        <f t="shared" si="0"/>
        <v>0.74628259816869247</v>
      </c>
      <c r="R7" s="26">
        <f t="shared" si="0"/>
        <v>0.74628259816869247</v>
      </c>
      <c r="S7" s="26">
        <f t="shared" si="0"/>
        <v>0.74628259816869247</v>
      </c>
      <c r="T7" s="26">
        <f t="shared" si="0"/>
        <v>0.74628259816869247</v>
      </c>
      <c r="U7" s="26">
        <f t="shared" si="0"/>
        <v>0.74628259816869247</v>
      </c>
      <c r="V7" s="26">
        <f t="shared" si="0"/>
        <v>0.74628259816869247</v>
      </c>
      <c r="Y7" s="209"/>
      <c r="Z7" s="209"/>
      <c r="AA7" s="209"/>
      <c r="AB7" s="209"/>
      <c r="AC7" s="209"/>
      <c r="AD7" s="209"/>
      <c r="AE7" s="209"/>
      <c r="AF7" s="209"/>
      <c r="AG7" s="209"/>
      <c r="AH7" s="209"/>
      <c r="AI7" s="209"/>
      <c r="AJ7" s="209"/>
      <c r="AK7" s="209"/>
      <c r="AL7" s="209"/>
      <c r="AM7" s="209"/>
      <c r="AN7" s="209"/>
      <c r="AO7" s="209"/>
      <c r="AP7" s="209"/>
    </row>
    <row r="8" spans="1:42" ht="18" customHeight="1" x14ac:dyDescent="0.3">
      <c r="A8" s="9"/>
      <c r="B8" s="9"/>
      <c r="C8" s="9"/>
      <c r="D8" s="9" t="s">
        <v>115</v>
      </c>
      <c r="E8" s="9"/>
      <c r="F8" s="9" t="s">
        <v>113</v>
      </c>
      <c r="G8" s="9"/>
      <c r="H8" s="25">
        <f>-'Financial Statements'!H14/'Financial Statements'!H10</f>
        <v>6.2162601183865546E-2</v>
      </c>
      <c r="I8" s="25">
        <f>-'Financial Statements'!I14/'Financial Statements'!I10</f>
        <v>6.0263954289718188E-2</v>
      </c>
      <c r="J8" s="25">
        <f>-'Financial Statements'!J14/'Financial Statements'!J10</f>
        <v>5.563432096341029E-2</v>
      </c>
      <c r="K8" s="25">
        <f>-'Financial Statements'!K14/'Financial Statements'!K10</f>
        <v>7.4006961591924311E-2</v>
      </c>
      <c r="L8" s="25">
        <f>-'Financial Statements'!L14/'Financial Statements'!L10</f>
        <v>6.2856616257619402E-2</v>
      </c>
      <c r="M8" s="26">
        <f>AVERAGE(H8:L8)</f>
        <v>6.2984890857307546E-2</v>
      </c>
      <c r="N8" s="26">
        <f t="shared" ref="N8:V8" si="1">M8</f>
        <v>6.2984890857307546E-2</v>
      </c>
      <c r="O8" s="26">
        <f t="shared" si="1"/>
        <v>6.2984890857307546E-2</v>
      </c>
      <c r="P8" s="26">
        <f t="shared" si="1"/>
        <v>6.2984890857307546E-2</v>
      </c>
      <c r="Q8" s="26">
        <f t="shared" si="1"/>
        <v>6.2984890857307546E-2</v>
      </c>
      <c r="R8" s="26">
        <f t="shared" si="1"/>
        <v>6.2984890857307546E-2</v>
      </c>
      <c r="S8" s="26">
        <f t="shared" si="1"/>
        <v>6.2984890857307546E-2</v>
      </c>
      <c r="T8" s="26">
        <f t="shared" si="1"/>
        <v>6.2984890857307546E-2</v>
      </c>
      <c r="U8" s="26">
        <f t="shared" si="1"/>
        <v>6.2984890857307546E-2</v>
      </c>
      <c r="V8" s="26">
        <f t="shared" si="1"/>
        <v>6.2984890857307546E-2</v>
      </c>
      <c r="Y8" s="209"/>
      <c r="Z8" s="209"/>
      <c r="AA8" s="209"/>
      <c r="AB8" s="209"/>
      <c r="AC8" s="209"/>
      <c r="AD8" s="209"/>
      <c r="AE8" s="209"/>
      <c r="AF8" s="209"/>
      <c r="AG8" s="209"/>
      <c r="AH8" s="209"/>
      <c r="AI8" s="209"/>
      <c r="AJ8" s="209"/>
      <c r="AK8" s="209"/>
      <c r="AL8" s="209"/>
      <c r="AM8" s="209"/>
      <c r="AN8" s="209"/>
      <c r="AO8" s="209"/>
      <c r="AP8" s="209"/>
    </row>
    <row r="9" spans="1:42" ht="18" customHeight="1" x14ac:dyDescent="0.3">
      <c r="A9" s="9"/>
      <c r="B9" s="9"/>
      <c r="C9" s="9"/>
      <c r="D9" s="9" t="s">
        <v>116</v>
      </c>
      <c r="E9" s="9"/>
      <c r="F9" s="9" t="s">
        <v>113</v>
      </c>
      <c r="G9" s="9"/>
      <c r="H9" s="25">
        <f>-'Financial Statements'!H15/'Financial Statements'!H10</f>
        <v>0.1669727884097961</v>
      </c>
      <c r="I9" s="25">
        <f>-'Financial Statements'!I15/'Financial Statements'!I10</f>
        <v>0.15191692615718172</v>
      </c>
      <c r="J9" s="25">
        <f>-'Financial Statements'!J15/'Financial Statements'!J10</f>
        <v>9.6812797158157118E-2</v>
      </c>
      <c r="K9" s="25">
        <f>-'Financial Statements'!K15/'Financial Statements'!K10</f>
        <v>0.13083856193911136</v>
      </c>
      <c r="L9" s="25">
        <f>-'Financial Statements'!L15/'Financial Statements'!L10</f>
        <v>7.9091228891141882E-2</v>
      </c>
      <c r="M9" s="26">
        <f>AVERAGE(H9:L9)</f>
        <v>0.12512646051107762</v>
      </c>
      <c r="N9" s="26">
        <f t="shared" ref="N9:V9" si="2">M9</f>
        <v>0.12512646051107762</v>
      </c>
      <c r="O9" s="26">
        <f t="shared" si="2"/>
        <v>0.12512646051107762</v>
      </c>
      <c r="P9" s="26">
        <f t="shared" si="2"/>
        <v>0.12512646051107762</v>
      </c>
      <c r="Q9" s="26">
        <f t="shared" si="2"/>
        <v>0.12512646051107762</v>
      </c>
      <c r="R9" s="26">
        <f t="shared" si="2"/>
        <v>0.12512646051107762</v>
      </c>
      <c r="S9" s="26">
        <f t="shared" si="2"/>
        <v>0.12512646051107762</v>
      </c>
      <c r="T9" s="26">
        <f t="shared" si="2"/>
        <v>0.12512646051107762</v>
      </c>
      <c r="U9" s="26">
        <f t="shared" si="2"/>
        <v>0.12512646051107762</v>
      </c>
      <c r="V9" s="26">
        <f t="shared" si="2"/>
        <v>0.12512646051107762</v>
      </c>
      <c r="Y9" s="209"/>
      <c r="Z9" s="209"/>
      <c r="AA9" s="209"/>
      <c r="AB9" s="209"/>
      <c r="AC9" s="209"/>
      <c r="AD9" s="209"/>
      <c r="AE9" s="209"/>
      <c r="AF9" s="209"/>
      <c r="AG9" s="209"/>
      <c r="AH9" s="209"/>
      <c r="AI9" s="209"/>
      <c r="AJ9" s="209"/>
      <c r="AK9" s="209"/>
      <c r="AL9" s="209"/>
      <c r="AM9" s="209"/>
      <c r="AN9" s="209"/>
      <c r="AO9" s="209"/>
      <c r="AP9" s="209"/>
    </row>
    <row r="10" spans="1:42" ht="18" customHeight="1" x14ac:dyDescent="0.3">
      <c r="A10" s="9"/>
      <c r="B10" s="9"/>
      <c r="C10" s="9"/>
      <c r="D10" s="9" t="s">
        <v>117</v>
      </c>
      <c r="E10" s="9"/>
      <c r="F10" s="9" t="s">
        <v>113</v>
      </c>
      <c r="G10" s="9"/>
      <c r="H10" s="25"/>
      <c r="I10" s="25">
        <f>-'Financial Statements'!I17/'Working Schedules'!I14</f>
        <v>8.7686535814723673E-2</v>
      </c>
      <c r="J10" s="25">
        <f>-'Financial Statements'!J17/'Working Schedules'!J14</f>
        <v>7.8299504037168635E-2</v>
      </c>
      <c r="K10" s="25">
        <f>-'Financial Statements'!K17/'Working Schedules'!K14</f>
        <v>0.11124512094546934</v>
      </c>
      <c r="L10" s="25">
        <f>-'Financial Statements'!L17/'Working Schedules'!L14</f>
        <v>8.260506261285995E-2</v>
      </c>
      <c r="M10" s="26">
        <f>L10</f>
        <v>8.260506261285995E-2</v>
      </c>
      <c r="N10" s="26">
        <f>M10</f>
        <v>8.260506261285995E-2</v>
      </c>
      <c r="O10" s="26">
        <f>N10+2%</f>
        <v>0.10260506261285995</v>
      </c>
      <c r="P10" s="26">
        <f t="shared" ref="P10:Q12" si="3">O10</f>
        <v>0.10260506261285995</v>
      </c>
      <c r="Q10" s="26">
        <f t="shared" si="3"/>
        <v>0.10260506261285995</v>
      </c>
      <c r="R10" s="26">
        <f>Q10+2%</f>
        <v>0.12260506261285996</v>
      </c>
      <c r="S10" s="26">
        <f t="shared" ref="S10:T12" si="4">R10</f>
        <v>0.12260506261285996</v>
      </c>
      <c r="T10" s="26">
        <f t="shared" si="4"/>
        <v>0.12260506261285996</v>
      </c>
      <c r="U10" s="26">
        <f>T10+2%</f>
        <v>0.14260506261285996</v>
      </c>
      <c r="V10" s="26">
        <f t="shared" ref="V10:V17" si="5">U10</f>
        <v>0.14260506261285996</v>
      </c>
      <c r="Y10" s="209"/>
      <c r="Z10" s="209"/>
      <c r="AA10" s="209"/>
      <c r="AB10" s="209"/>
      <c r="AC10" s="209"/>
      <c r="AD10" s="209"/>
      <c r="AE10" s="209"/>
      <c r="AF10" s="209"/>
      <c r="AG10" s="209"/>
      <c r="AH10" s="209"/>
      <c r="AI10" s="209"/>
      <c r="AJ10" s="209"/>
      <c r="AK10" s="209"/>
      <c r="AL10" s="209"/>
      <c r="AM10" s="209"/>
      <c r="AN10" s="209"/>
      <c r="AO10" s="209"/>
      <c r="AP10" s="209"/>
    </row>
    <row r="11" spans="1:42" ht="18" customHeight="1" x14ac:dyDescent="0.3">
      <c r="A11" s="9"/>
      <c r="B11" s="9"/>
      <c r="C11" s="9"/>
      <c r="D11" s="9" t="s">
        <v>118</v>
      </c>
      <c r="E11" s="9"/>
      <c r="F11" s="9" t="s">
        <v>113</v>
      </c>
      <c r="G11" s="9"/>
      <c r="H11" s="25"/>
      <c r="I11" s="25">
        <f>-'Financial Statements'!I19/'Working Schedules'!I20</f>
        <v>7.8566308864640833E-2</v>
      </c>
      <c r="J11" s="25">
        <f>-'Financial Statements'!J19/'Working Schedules'!J20</f>
        <v>7.5967592088147379E-2</v>
      </c>
      <c r="K11" s="25">
        <f>-'Financial Statements'!K19/'Working Schedules'!K20</f>
        <v>0.12789375071107931</v>
      </c>
      <c r="L11" s="25">
        <f>-'Financial Statements'!L19/'Working Schedules'!L20</f>
        <v>9.4259030516020317E-2</v>
      </c>
      <c r="M11" s="26">
        <f>AVERAGE(H11:L11)</f>
        <v>9.4171670544971955E-2</v>
      </c>
      <c r="N11" s="26">
        <f>M11</f>
        <v>9.4171670544971955E-2</v>
      </c>
      <c r="O11" s="26">
        <f>N11</f>
        <v>9.4171670544971955E-2</v>
      </c>
      <c r="P11" s="26">
        <f t="shared" si="3"/>
        <v>9.4171670544971955E-2</v>
      </c>
      <c r="Q11" s="26">
        <f t="shared" si="3"/>
        <v>9.4171670544971955E-2</v>
      </c>
      <c r="R11" s="26">
        <f t="shared" ref="R11:R17" si="6">Q11</f>
        <v>9.4171670544971955E-2</v>
      </c>
      <c r="S11" s="26">
        <f t="shared" si="4"/>
        <v>9.4171670544971955E-2</v>
      </c>
      <c r="T11" s="26">
        <f t="shared" si="4"/>
        <v>9.4171670544971955E-2</v>
      </c>
      <c r="U11" s="26">
        <f>T11</f>
        <v>9.4171670544971955E-2</v>
      </c>
      <c r="V11" s="26">
        <f t="shared" si="5"/>
        <v>9.4171670544971955E-2</v>
      </c>
      <c r="Y11" s="209"/>
      <c r="Z11" s="209"/>
      <c r="AA11" s="209"/>
      <c r="AB11" s="209"/>
      <c r="AC11" s="209"/>
      <c r="AD11" s="209"/>
      <c r="AE11" s="209"/>
      <c r="AF11" s="209"/>
      <c r="AG11" s="209"/>
      <c r="AH11" s="209"/>
      <c r="AI11" s="209"/>
      <c r="AJ11" s="209"/>
      <c r="AK11" s="209"/>
      <c r="AL11" s="209"/>
      <c r="AM11" s="209"/>
      <c r="AN11" s="209"/>
      <c r="AO11" s="209"/>
      <c r="AP11" s="209"/>
    </row>
    <row r="12" spans="1:42" ht="18" customHeight="1" x14ac:dyDescent="0.3">
      <c r="D12" s="9" t="s">
        <v>119</v>
      </c>
      <c r="E12" s="9"/>
      <c r="F12" s="9" t="s">
        <v>113</v>
      </c>
      <c r="H12" s="26">
        <f>'Financial Statements'!H20/'Financial Statements'!H10</f>
        <v>5.2463190254290653E-3</v>
      </c>
      <c r="I12" s="26">
        <f>'Financial Statements'!I20/'Financial Statements'!I10</f>
        <v>1.7245843349936118E-3</v>
      </c>
      <c r="J12" s="26">
        <f>'Financial Statements'!J20/'Financial Statements'!J10</f>
        <v>3.3106211660493168E-3</v>
      </c>
      <c r="K12" s="26">
        <f>'Financial Statements'!K20/'Financial Statements'!K10</f>
        <v>2.589919518435347E-2</v>
      </c>
      <c r="L12" s="26">
        <f>'Financial Statements'!L20/'Financial Statements'!L10</f>
        <v>9.5159721096733044E-3</v>
      </c>
      <c r="M12" s="26">
        <f>AVERAGE(H12:L12)</f>
        <v>9.1393383640997524E-3</v>
      </c>
      <c r="N12" s="26">
        <f>M12</f>
        <v>9.1393383640997524E-3</v>
      </c>
      <c r="O12" s="26">
        <f>N12</f>
        <v>9.1393383640997524E-3</v>
      </c>
      <c r="P12" s="26">
        <f t="shared" si="3"/>
        <v>9.1393383640997524E-3</v>
      </c>
      <c r="Q12" s="26">
        <f t="shared" si="3"/>
        <v>9.1393383640997524E-3</v>
      </c>
      <c r="R12" s="26">
        <f t="shared" si="6"/>
        <v>9.1393383640997524E-3</v>
      </c>
      <c r="S12" s="26">
        <f t="shared" si="4"/>
        <v>9.1393383640997524E-3</v>
      </c>
      <c r="T12" s="26">
        <f t="shared" si="4"/>
        <v>9.1393383640997524E-3</v>
      </c>
      <c r="U12" s="26">
        <f>T12</f>
        <v>9.1393383640997524E-3</v>
      </c>
      <c r="V12" s="26">
        <f t="shared" si="5"/>
        <v>9.1393383640997524E-3</v>
      </c>
      <c r="Y12" s="209"/>
      <c r="Z12" s="209"/>
      <c r="AA12" s="209"/>
      <c r="AB12" s="209"/>
      <c r="AC12" s="209"/>
      <c r="AD12" s="209"/>
      <c r="AE12" s="209"/>
      <c r="AF12" s="209"/>
      <c r="AG12" s="209"/>
      <c r="AH12" s="209"/>
      <c r="AI12" s="209"/>
      <c r="AJ12" s="209"/>
      <c r="AK12" s="209"/>
      <c r="AL12" s="209"/>
      <c r="AM12" s="209"/>
      <c r="AN12" s="209"/>
      <c r="AO12" s="209"/>
      <c r="AP12" s="209"/>
    </row>
    <row r="13" spans="1:42" ht="18" customHeight="1" x14ac:dyDescent="0.3">
      <c r="D13" s="9" t="s">
        <v>120</v>
      </c>
      <c r="E13" s="9"/>
      <c r="F13" s="9" t="s">
        <v>113</v>
      </c>
      <c r="H13" s="26">
        <f>-'Financial Statements'!H22/'Financial Statements'!H21</f>
        <v>8.3365141146049593E-2</v>
      </c>
      <c r="I13" s="26">
        <f>-'Financial Statements'!I22/'Financial Statements'!I21</f>
        <v>6.556189128803229E-2</v>
      </c>
      <c r="J13" s="26">
        <f>-'Financial Statements'!J22/'Financial Statements'!J21</f>
        <v>0.30557090524851671</v>
      </c>
      <c r="K13" s="26">
        <f>-'Financial Statements'!K22/'Financial Statements'!K21</f>
        <v>0.29055346393122705</v>
      </c>
      <c r="L13" s="26">
        <f>-'Financial Statements'!L22/'Financial Statements'!L21</f>
        <v>0.26509762065207004</v>
      </c>
      <c r="M13" s="26">
        <f>L13+0.5%</f>
        <v>0.27009762065207005</v>
      </c>
      <c r="N13" s="26">
        <f>M13</f>
        <v>0.27009762065207005</v>
      </c>
      <c r="O13" s="26">
        <f>N13+0.5%</f>
        <v>0.27509762065207005</v>
      </c>
      <c r="P13" s="26">
        <f>O13</f>
        <v>0.27509762065207005</v>
      </c>
      <c r="Q13" s="26">
        <f>P13+0.5%</f>
        <v>0.28009762065207006</v>
      </c>
      <c r="R13" s="26">
        <f>Q13</f>
        <v>0.28009762065207006</v>
      </c>
      <c r="S13" s="26">
        <f>R13+0.5%</f>
        <v>0.28509762065207006</v>
      </c>
      <c r="T13" s="26">
        <f>S13</f>
        <v>0.28509762065207006</v>
      </c>
      <c r="U13" s="26">
        <f>T13+0.5%</f>
        <v>0.29009762065207007</v>
      </c>
      <c r="V13" s="26">
        <f>U13</f>
        <v>0.29009762065207007</v>
      </c>
      <c r="Y13" s="209"/>
      <c r="Z13" s="209"/>
      <c r="AA13" s="209"/>
      <c r="AB13" s="209"/>
      <c r="AC13" s="209"/>
      <c r="AD13" s="209"/>
      <c r="AE13" s="209"/>
      <c r="AF13" s="209"/>
      <c r="AG13" s="209"/>
      <c r="AH13" s="209"/>
      <c r="AI13" s="209"/>
      <c r="AJ13" s="209"/>
      <c r="AK13" s="209"/>
      <c r="AL13" s="209"/>
      <c r="AM13" s="209"/>
      <c r="AN13" s="209"/>
      <c r="AO13" s="209"/>
      <c r="AP13" s="209"/>
    </row>
    <row r="14" spans="1:42" ht="18" customHeight="1" x14ac:dyDescent="0.3">
      <c r="D14" s="9" t="s">
        <v>121</v>
      </c>
      <c r="E14" s="9"/>
      <c r="F14" s="9" t="s">
        <v>113</v>
      </c>
      <c r="H14" s="26">
        <f>-'Financial Statements'!H78/'Financial Statements'!H23</f>
        <v>6.5980082812335625E-2</v>
      </c>
      <c r="I14" s="26">
        <f>-'Financial Statements'!I78/'Financial Statements'!I23</f>
        <v>5.1928988838729255E-2</v>
      </c>
      <c r="J14" s="26">
        <f>-'Financial Statements'!J78/'Financial Statements'!J23</f>
        <v>2.7293106125300823E-2</v>
      </c>
      <c r="K14" s="26">
        <f>-'Financial Statements'!K78/'Financial Statements'!K23</f>
        <v>0.26605179141539853</v>
      </c>
      <c r="L14" s="152">
        <f>-'Financial Statements'!L78/'Financial Statements'!L23</f>
        <v>-0.17308224868457434</v>
      </c>
      <c r="M14" s="26">
        <f>AVERAGE(H14:K14)</f>
        <v>0.10281349229794105</v>
      </c>
      <c r="N14" s="26">
        <f t="shared" ref="N14:N17" si="7">M14</f>
        <v>0.10281349229794105</v>
      </c>
      <c r="O14" s="26">
        <f>N14</f>
        <v>0.10281349229794105</v>
      </c>
      <c r="P14" s="26">
        <f t="shared" ref="P14:P17" si="8">O14</f>
        <v>0.10281349229794105</v>
      </c>
      <c r="Q14" s="26">
        <f>P14</f>
        <v>0.10281349229794105</v>
      </c>
      <c r="R14" s="26">
        <f t="shared" si="6"/>
        <v>0.10281349229794105</v>
      </c>
      <c r="S14" s="26">
        <f>R14</f>
        <v>0.10281349229794105</v>
      </c>
      <c r="T14" s="26">
        <f t="shared" ref="T14:T17" si="9">S14</f>
        <v>0.10281349229794105</v>
      </c>
      <c r="U14" s="26">
        <f>T14</f>
        <v>0.10281349229794105</v>
      </c>
      <c r="V14" s="26">
        <f t="shared" si="5"/>
        <v>0.10281349229794105</v>
      </c>
      <c r="Y14" s="209"/>
      <c r="Z14" s="209"/>
      <c r="AA14" s="209"/>
      <c r="AB14" s="209"/>
      <c r="AC14" s="209"/>
      <c r="AD14" s="209"/>
      <c r="AE14" s="209"/>
      <c r="AF14" s="209"/>
      <c r="AG14" s="209"/>
      <c r="AH14" s="209"/>
      <c r="AI14" s="209"/>
      <c r="AJ14" s="209"/>
      <c r="AK14" s="209"/>
      <c r="AL14" s="209"/>
      <c r="AM14" s="209"/>
      <c r="AN14" s="209"/>
      <c r="AO14" s="209"/>
      <c r="AP14" s="209"/>
    </row>
    <row r="15" spans="1:42" ht="18" customHeight="1" x14ac:dyDescent="0.3">
      <c r="D15" s="9" t="s">
        <v>122</v>
      </c>
      <c r="E15" s="9"/>
      <c r="F15" s="9" t="s">
        <v>123</v>
      </c>
      <c r="H15" s="27">
        <f>'Financial Statements'!H31/'Financial Statements'!H10*365</f>
        <v>16.108597068530244</v>
      </c>
      <c r="I15" s="27">
        <f>'Financial Statements'!I31/'Financial Statements'!I10*365</f>
        <v>24.92278975928653</v>
      </c>
      <c r="J15" s="27">
        <f>'Financial Statements'!J31/'Financial Statements'!J10*365</f>
        <v>35.237488915158337</v>
      </c>
      <c r="K15" s="27">
        <f>'Financial Statements'!K31/'Financial Statements'!K10*365</f>
        <v>40.607744093772446</v>
      </c>
      <c r="L15" s="27">
        <f>'Financial Statements'!L31/'Financial Statements'!L10*365</f>
        <v>31.232115142914374</v>
      </c>
      <c r="M15" s="27">
        <f>AVERAGE(H15:L15)</f>
        <v>29.621746995932387</v>
      </c>
      <c r="N15" s="27">
        <f t="shared" si="7"/>
        <v>29.621746995932387</v>
      </c>
      <c r="O15" s="27">
        <f>N15</f>
        <v>29.621746995932387</v>
      </c>
      <c r="P15" s="27">
        <f t="shared" si="8"/>
        <v>29.621746995932387</v>
      </c>
      <c r="Q15" s="27">
        <f>P15</f>
        <v>29.621746995932387</v>
      </c>
      <c r="R15" s="27">
        <f t="shared" si="6"/>
        <v>29.621746995932387</v>
      </c>
      <c r="S15" s="27">
        <f>R15</f>
        <v>29.621746995932387</v>
      </c>
      <c r="T15" s="27">
        <f t="shared" si="9"/>
        <v>29.621746995932387</v>
      </c>
      <c r="U15" s="27">
        <f>T15</f>
        <v>29.621746995932387</v>
      </c>
      <c r="V15" s="27">
        <f t="shared" si="5"/>
        <v>29.621746995932387</v>
      </c>
      <c r="Y15" s="209"/>
      <c r="Z15" s="209"/>
      <c r="AA15" s="209"/>
      <c r="AB15" s="209"/>
      <c r="AC15" s="209"/>
      <c r="AD15" s="209"/>
      <c r="AE15" s="209"/>
      <c r="AF15" s="209"/>
      <c r="AG15" s="209"/>
      <c r="AH15" s="209"/>
      <c r="AI15" s="209"/>
      <c r="AJ15" s="209"/>
      <c r="AK15" s="209"/>
      <c r="AL15" s="209"/>
      <c r="AM15" s="209"/>
      <c r="AN15" s="209"/>
      <c r="AO15" s="209"/>
      <c r="AP15" s="209"/>
    </row>
    <row r="16" spans="1:42" ht="18" customHeight="1" x14ac:dyDescent="0.3">
      <c r="D16" s="9" t="s">
        <v>124</v>
      </c>
      <c r="E16" s="9"/>
      <c r="F16" s="9" t="s">
        <v>123</v>
      </c>
      <c r="H16" s="27">
        <f>-'Financial Statements'!H32/'Financial Statements'!H11*365</f>
        <v>291.95108963960786</v>
      </c>
      <c r="I16" s="27">
        <f>-'Financial Statements'!I32/'Financial Statements'!I11*365</f>
        <v>303.21720536070262</v>
      </c>
      <c r="J16" s="27">
        <f>-'Financial Statements'!J32/'Financial Statements'!J11*365</f>
        <v>92.869522379163101</v>
      </c>
      <c r="K16" s="27">
        <f>-'Financial Statements'!K32/'Financial Statements'!K11*365</f>
        <v>187.27620778517982</v>
      </c>
      <c r="L16" s="27">
        <f>-'Financial Statements'!L32/'Financial Statements'!L11*365</f>
        <v>164.58720709320542</v>
      </c>
      <c r="M16" s="27">
        <f>AVERAGE(H16:L16)</f>
        <v>207.98024645157179</v>
      </c>
      <c r="N16" s="27">
        <f t="shared" si="7"/>
        <v>207.98024645157179</v>
      </c>
      <c r="O16" s="27">
        <f>N16</f>
        <v>207.98024645157179</v>
      </c>
      <c r="P16" s="27">
        <f t="shared" si="8"/>
        <v>207.98024645157179</v>
      </c>
      <c r="Q16" s="27">
        <f>P16</f>
        <v>207.98024645157179</v>
      </c>
      <c r="R16" s="27">
        <f t="shared" si="6"/>
        <v>207.98024645157179</v>
      </c>
      <c r="S16" s="27">
        <f>R16</f>
        <v>207.98024645157179</v>
      </c>
      <c r="T16" s="27">
        <f t="shared" si="9"/>
        <v>207.98024645157179</v>
      </c>
      <c r="U16" s="27">
        <f>T16</f>
        <v>207.98024645157179</v>
      </c>
      <c r="V16" s="27">
        <f t="shared" si="5"/>
        <v>207.98024645157179</v>
      </c>
      <c r="Y16" s="209"/>
      <c r="Z16" s="209"/>
      <c r="AA16" s="209"/>
      <c r="AB16" s="209"/>
      <c r="AC16" s="209"/>
      <c r="AD16" s="209"/>
      <c r="AE16" s="209"/>
      <c r="AF16" s="209"/>
      <c r="AG16" s="209"/>
      <c r="AH16" s="209"/>
      <c r="AI16" s="209"/>
      <c r="AJ16" s="209"/>
      <c r="AK16" s="209"/>
      <c r="AL16" s="209"/>
      <c r="AM16" s="209"/>
      <c r="AN16" s="209"/>
      <c r="AO16" s="209"/>
      <c r="AP16" s="209"/>
    </row>
    <row r="17" spans="2:42" ht="18" customHeight="1" x14ac:dyDescent="0.3">
      <c r="D17" s="9" t="s">
        <v>125</v>
      </c>
      <c r="E17" s="9"/>
      <c r="F17" s="9" t="s">
        <v>123</v>
      </c>
      <c r="H17" s="27">
        <f>-'Financial Statements'!H44/'Financial Statements'!H11*365</f>
        <v>54.011977597654464</v>
      </c>
      <c r="I17" s="27">
        <f>-'Financial Statements'!I44/'Financial Statements'!I11*365</f>
        <v>91.297985661047846</v>
      </c>
      <c r="J17" s="27">
        <f>-'Financial Statements'!J44/'Financial Statements'!J11*365</f>
        <v>39.68876918868947</v>
      </c>
      <c r="K17" s="27">
        <f>-'Financial Statements'!K44/'Financial Statements'!K11*365</f>
        <v>71.428628623186285</v>
      </c>
      <c r="L17" s="27">
        <f>-'Financial Statements'!L44/'Financial Statements'!L11*365</f>
        <v>36.995666986377252</v>
      </c>
      <c r="M17" s="27">
        <f>AVERAGE(H17:L17)</f>
        <v>58.684605611391063</v>
      </c>
      <c r="N17" s="27">
        <f t="shared" si="7"/>
        <v>58.684605611391063</v>
      </c>
      <c r="O17" s="27">
        <f>N17</f>
        <v>58.684605611391063</v>
      </c>
      <c r="P17" s="27">
        <f t="shared" si="8"/>
        <v>58.684605611391063</v>
      </c>
      <c r="Q17" s="27">
        <f>P17</f>
        <v>58.684605611391063</v>
      </c>
      <c r="R17" s="27">
        <f t="shared" si="6"/>
        <v>58.684605611391063</v>
      </c>
      <c r="S17" s="27">
        <f>R17</f>
        <v>58.684605611391063</v>
      </c>
      <c r="T17" s="27">
        <f t="shared" si="9"/>
        <v>58.684605611391063</v>
      </c>
      <c r="U17" s="27">
        <f>T17</f>
        <v>58.684605611391063</v>
      </c>
      <c r="V17" s="27">
        <f t="shared" si="5"/>
        <v>58.684605611391063</v>
      </c>
      <c r="Y17" s="209"/>
      <c r="Z17" s="209"/>
      <c r="AA17" s="209"/>
      <c r="AB17" s="209"/>
      <c r="AC17" s="209"/>
      <c r="AD17" s="209"/>
      <c r="AE17" s="209"/>
      <c r="AF17" s="209"/>
      <c r="AG17" s="209"/>
      <c r="AH17" s="209"/>
      <c r="AI17" s="209"/>
      <c r="AJ17" s="209"/>
      <c r="AK17" s="209"/>
      <c r="AL17" s="209"/>
      <c r="AM17" s="209"/>
      <c r="AN17" s="209"/>
      <c r="AO17" s="209"/>
      <c r="AP17" s="209"/>
    </row>
    <row r="18" spans="2:42" x14ac:dyDescent="0.3">
      <c r="D18" s="9"/>
      <c r="E18" s="9"/>
      <c r="F18" s="9"/>
      <c r="H18" s="150"/>
      <c r="I18" s="150"/>
      <c r="J18" s="150"/>
      <c r="K18" s="150"/>
      <c r="L18" s="150"/>
      <c r="M18" s="150"/>
      <c r="N18" s="150"/>
      <c r="O18" s="150"/>
      <c r="P18" s="150"/>
      <c r="Q18" s="150"/>
      <c r="R18" s="150"/>
      <c r="S18" s="150"/>
      <c r="T18" s="150"/>
      <c r="U18" s="150"/>
      <c r="V18" s="150"/>
      <c r="Y18" s="209"/>
      <c r="Z18" s="209"/>
      <c r="AA18" s="209"/>
      <c r="AB18" s="209"/>
      <c r="AC18" s="209"/>
      <c r="AD18" s="209"/>
      <c r="AE18" s="209"/>
      <c r="AF18" s="209"/>
      <c r="AG18" s="209"/>
      <c r="AH18" s="209"/>
      <c r="AI18" s="209"/>
      <c r="AJ18" s="209"/>
      <c r="AK18" s="209"/>
      <c r="AL18" s="209"/>
      <c r="AM18" s="209"/>
      <c r="AN18" s="209"/>
      <c r="AO18" s="209"/>
      <c r="AP18" s="209"/>
    </row>
    <row r="19" spans="2:42" x14ac:dyDescent="0.3">
      <c r="B19" s="10" t="s">
        <v>397</v>
      </c>
      <c r="D19" s="9"/>
      <c r="E19" s="9"/>
      <c r="F19" s="9"/>
      <c r="H19" s="28"/>
      <c r="I19" s="28"/>
      <c r="J19" s="28"/>
      <c r="K19" s="28"/>
      <c r="L19" s="28"/>
      <c r="M19" s="28"/>
      <c r="N19" s="28"/>
      <c r="O19" s="28"/>
      <c r="P19" s="28"/>
      <c r="Q19" s="28"/>
      <c r="R19" s="28"/>
      <c r="S19" s="28"/>
      <c r="T19" s="28"/>
      <c r="U19" s="28"/>
      <c r="V19" s="28"/>
      <c r="Y19" s="209"/>
      <c r="Z19" s="209"/>
      <c r="AA19" s="209"/>
      <c r="AB19" s="209"/>
      <c r="AC19" s="209"/>
      <c r="AD19" s="209"/>
      <c r="AE19" s="209"/>
      <c r="AF19" s="209"/>
      <c r="AG19" s="209"/>
      <c r="AH19" s="209"/>
      <c r="AI19" s="209"/>
      <c r="AJ19" s="209"/>
      <c r="AK19" s="209"/>
      <c r="AL19" s="209"/>
      <c r="AM19" s="209"/>
      <c r="AN19" s="209"/>
      <c r="AO19" s="209"/>
      <c r="AP19" s="209"/>
    </row>
    <row r="20" spans="2:42" ht="43.2" customHeight="1" x14ac:dyDescent="0.3">
      <c r="D20" s="9" t="s">
        <v>398</v>
      </c>
      <c r="E20" s="9"/>
      <c r="F20" s="9" t="s">
        <v>113</v>
      </c>
      <c r="H20" s="26">
        <f>'Financial Statements'!H12/'Financial Statements'!H10</f>
        <v>0.28975939135114082</v>
      </c>
      <c r="I20" s="26">
        <f>'Financial Statements'!I12/'Financial Statements'!I10</f>
        <v>0.28835131520011315</v>
      </c>
      <c r="J20" s="26">
        <f>'Financial Statements'!J12/'Financial Statements'!J10</f>
        <v>0.25998738756987538</v>
      </c>
      <c r="K20" s="26">
        <f>'Financial Statements'!K12/'Financial Statements'!K10</f>
        <v>0.25981317791864073</v>
      </c>
      <c r="L20" s="26">
        <f>'Financial Statements'!L12/'Financial Statements'!L10</f>
        <v>0.17067573711676751</v>
      </c>
      <c r="M20" s="26">
        <f>'Financial Statements'!M12/'Financial Statements'!M10</f>
        <v>0.25371740183130748</v>
      </c>
      <c r="N20" s="26">
        <f>'Financial Statements'!N12/'Financial Statements'!N10</f>
        <v>0.25371740183130759</v>
      </c>
      <c r="O20" s="26">
        <f>'Financial Statements'!O12/'Financial Statements'!O10</f>
        <v>0.25371740183130759</v>
      </c>
      <c r="P20" s="26">
        <f>'Financial Statements'!P12/'Financial Statements'!P10</f>
        <v>0.25371740183130748</v>
      </c>
      <c r="Q20" s="26">
        <f>'Financial Statements'!Q12/'Financial Statements'!Q10</f>
        <v>0.25371740183130753</v>
      </c>
      <c r="R20" s="26">
        <f>'Financial Statements'!R12/'Financial Statements'!R10</f>
        <v>0.25371740183130753</v>
      </c>
      <c r="S20" s="26">
        <f>'Financial Statements'!S12/'Financial Statements'!S10</f>
        <v>0.25371740183130753</v>
      </c>
      <c r="T20" s="26">
        <f>'Financial Statements'!T12/'Financial Statements'!T10</f>
        <v>0.25371740183130748</v>
      </c>
      <c r="U20" s="26">
        <f>'Financial Statements'!U12/'Financial Statements'!U10</f>
        <v>0.25371740183130759</v>
      </c>
      <c r="V20" s="26">
        <f>'Financial Statements'!V12/'Financial Statements'!V10</f>
        <v>0.25371740183130748</v>
      </c>
      <c r="Y20" s="209" t="s">
        <v>513</v>
      </c>
      <c r="Z20" s="209"/>
      <c r="AA20" s="209"/>
      <c r="AB20" s="209"/>
      <c r="AC20" s="209"/>
      <c r="AD20" s="209"/>
      <c r="AE20" s="209"/>
      <c r="AF20" s="209"/>
      <c r="AG20" s="209"/>
      <c r="AH20" s="209"/>
      <c r="AI20" s="209"/>
      <c r="AJ20" s="209"/>
      <c r="AK20" s="209"/>
      <c r="AL20" s="209"/>
      <c r="AM20" s="209"/>
      <c r="AN20" s="209"/>
      <c r="AO20" s="209"/>
      <c r="AP20" s="209"/>
    </row>
    <row r="21" spans="2:42" ht="58.05" customHeight="1" x14ac:dyDescent="0.3">
      <c r="D21" s="9" t="s">
        <v>399</v>
      </c>
      <c r="E21" s="9"/>
      <c r="F21" s="9" t="s">
        <v>113</v>
      </c>
      <c r="H21" s="26">
        <f>'Financial Statements'!H16/'Financial Statements'!H10</f>
        <v>6.0624001757479173E-2</v>
      </c>
      <c r="I21" s="26">
        <f>'Financial Statements'!I16/'Financial Statements'!I10</f>
        <v>7.6170434753213237E-2</v>
      </c>
      <c r="J21" s="26">
        <f>'Financial Statements'!J16/'Financial Statements'!J10</f>
        <v>0.107540269448308</v>
      </c>
      <c r="K21" s="26">
        <f>'Financial Statements'!K16/'Financial Statements'!K10</f>
        <v>5.4967654387605057E-2</v>
      </c>
      <c r="L21" s="26">
        <f>'Financial Statements'!L16/'Financial Statements'!L10</f>
        <v>2.8727891968006226E-2</v>
      </c>
      <c r="M21" s="26">
        <f>'Financial Statements'!M16/'Financial Statements'!M10</f>
        <v>6.5606050462922311E-2</v>
      </c>
      <c r="N21" s="26">
        <f>'Financial Statements'!N16/'Financial Statements'!N10</f>
        <v>6.5606050462922422E-2</v>
      </c>
      <c r="O21" s="26">
        <f>'Financial Statements'!O16/'Financial Statements'!O10</f>
        <v>6.5606050462922449E-2</v>
      </c>
      <c r="P21" s="26">
        <f>'Financial Statements'!P16/'Financial Statements'!P10</f>
        <v>6.5606050462922338E-2</v>
      </c>
      <c r="Q21" s="26">
        <f>'Financial Statements'!Q16/'Financial Statements'!Q10</f>
        <v>6.5606050462922394E-2</v>
      </c>
      <c r="R21" s="26">
        <f>'Financial Statements'!R16/'Financial Statements'!R10</f>
        <v>6.5606050462922352E-2</v>
      </c>
      <c r="S21" s="26">
        <f>'Financial Statements'!S16/'Financial Statements'!S10</f>
        <v>6.5606050462922394E-2</v>
      </c>
      <c r="T21" s="26">
        <f>'Financial Statements'!T16/'Financial Statements'!T10</f>
        <v>6.5606050462922325E-2</v>
      </c>
      <c r="U21" s="26">
        <f>'Financial Statements'!U16/'Financial Statements'!U10</f>
        <v>6.5606050462922394E-2</v>
      </c>
      <c r="V21" s="26">
        <f>'Financial Statements'!V16/'Financial Statements'!V10</f>
        <v>6.5606050462922297E-2</v>
      </c>
      <c r="Y21" s="209" t="s">
        <v>514</v>
      </c>
      <c r="Z21" s="209"/>
      <c r="AA21" s="209"/>
      <c r="AB21" s="209"/>
      <c r="AC21" s="209"/>
      <c r="AD21" s="209"/>
      <c r="AE21" s="209"/>
      <c r="AF21" s="209"/>
      <c r="AG21" s="209"/>
      <c r="AH21" s="209"/>
      <c r="AI21" s="209"/>
      <c r="AJ21" s="209"/>
      <c r="AK21" s="209"/>
      <c r="AL21" s="209"/>
      <c r="AM21" s="209"/>
      <c r="AN21" s="209"/>
      <c r="AO21" s="209"/>
      <c r="AP21" s="209"/>
    </row>
    <row r="22" spans="2:42" ht="58.05" customHeight="1" x14ac:dyDescent="0.3">
      <c r="D22" s="9" t="s">
        <v>400</v>
      </c>
      <c r="E22" s="9"/>
      <c r="F22" s="9" t="s">
        <v>113</v>
      </c>
      <c r="H22" s="26">
        <f>'Financial Statements'!H18/'Financial Statements'!H10</f>
        <v>4.9508982751514045E-2</v>
      </c>
      <c r="I22" s="26">
        <f>'Financial Statements'!I18/'Financial Statements'!I10</f>
        <v>6.7350062116382406E-2</v>
      </c>
      <c r="J22" s="26">
        <f>'Financial Statements'!J18/'Financial Statements'!J10</f>
        <v>9.8221554576077785E-2</v>
      </c>
      <c r="K22" s="26">
        <f>'Financial Statements'!K18/'Financial Statements'!K10</f>
        <v>3.219810644323829E-2</v>
      </c>
      <c r="L22" s="26">
        <f>'Financial Statements'!L18/'Financial Statements'!L10</f>
        <v>9.1869996625722882E-3</v>
      </c>
      <c r="M22" s="26">
        <f>'Financial Statements'!M18/'Financial Statements'!M10</f>
        <v>4.5188082364615877E-2</v>
      </c>
      <c r="N22" s="26">
        <f>'Financial Statements'!N18/'Financial Statements'!N10</f>
        <v>4.4272723458862635E-2</v>
      </c>
      <c r="O22" s="26">
        <f>'Financial Statements'!O18/'Financial Statements'!O10</f>
        <v>3.8335234878409265E-2</v>
      </c>
      <c r="P22" s="26">
        <f>'Financial Statements'!P18/'Financial Statements'!P10</f>
        <v>3.8325647016117514E-2</v>
      </c>
      <c r="Q22" s="26">
        <f>'Financial Statements'!Q18/'Financial Statements'!Q10</f>
        <v>3.842574950060873E-2</v>
      </c>
      <c r="R22" s="26">
        <f>'Financial Statements'!R18/'Financial Statements'!R10</f>
        <v>3.3327263354626928E-2</v>
      </c>
      <c r="S22" s="26">
        <f>'Financial Statements'!S18/'Financial Statements'!S10</f>
        <v>3.4184167716682153E-2</v>
      </c>
      <c r="T22" s="26">
        <f>'Financial Statements'!T18/'Financial Statements'!T10</f>
        <v>3.4960324961383848E-2</v>
      </c>
      <c r="U22" s="26">
        <f>'Financial Statements'!U18/'Financial Statements'!U10</f>
        <v>3.0774755392434298E-2</v>
      </c>
      <c r="V22" s="26">
        <f>'Financial Statements'!V18/'Financial Statements'!V10</f>
        <v>3.2174500518271434E-2</v>
      </c>
      <c r="Y22" s="209" t="s">
        <v>515</v>
      </c>
      <c r="Z22" s="209"/>
      <c r="AA22" s="209"/>
      <c r="AB22" s="209"/>
      <c r="AC22" s="209"/>
      <c r="AD22" s="209"/>
      <c r="AE22" s="209"/>
      <c r="AF22" s="209"/>
      <c r="AG22" s="209"/>
      <c r="AH22" s="209"/>
      <c r="AI22" s="209"/>
      <c r="AJ22" s="209"/>
      <c r="AK22" s="209"/>
      <c r="AL22" s="209"/>
      <c r="AM22" s="209"/>
      <c r="AN22" s="209"/>
      <c r="AO22" s="209"/>
      <c r="AP22" s="209"/>
    </row>
    <row r="23" spans="2:42" ht="69.599999999999994" customHeight="1" x14ac:dyDescent="0.3">
      <c r="D23" s="9" t="s">
        <v>401</v>
      </c>
      <c r="E23" s="9"/>
      <c r="F23" s="9" t="s">
        <v>113</v>
      </c>
      <c r="H23" s="26">
        <f>'Financial Statements'!H21/'Financial Statements'!H10</f>
        <v>1.6638538172221391E-2</v>
      </c>
      <c r="I23" s="26">
        <f>'Financial Statements'!I21/'Financial Statements'!I10</f>
        <v>3.5624455953453871E-2</v>
      </c>
      <c r="J23" s="26">
        <f>'Financial Statements'!J21/'Financial Statements'!J10</f>
        <v>7.6485033756419296E-2</v>
      </c>
      <c r="K23" s="26">
        <f>'Financial Statements'!K21/'Financial Statements'!K10</f>
        <v>2.3332716898341124E-2</v>
      </c>
      <c r="L23" s="26">
        <f>'Financial Statements'!L21/'Financial Statements'!L10</f>
        <v>-1.5710459341456883E-2</v>
      </c>
      <c r="M23" s="26">
        <f>'Financial Statements'!M21/'Financial Statements'!M10</f>
        <v>1.7116516314295737E-2</v>
      </c>
      <c r="N23" s="26">
        <f>'Financial Statements'!N21/'Financial Statements'!N10</f>
        <v>1.9250705448859155E-2</v>
      </c>
      <c r="O23" s="26">
        <f>'Financial Statements'!O21/'Financial Statements'!O10</f>
        <v>1.5866761116669584E-2</v>
      </c>
      <c r="P23" s="26">
        <f>'Financial Statements'!P21/'Financial Statements'!P10</f>
        <v>1.8010680371898249E-2</v>
      </c>
      <c r="Q23" s="26">
        <f>'Financial Statements'!Q21/'Financial Statements'!Q10</f>
        <v>1.9938754123252089E-2</v>
      </c>
      <c r="R23" s="26">
        <f>'Financial Statements'!R21/'Financial Statements'!R10</f>
        <v>1.6401115639854798E-2</v>
      </c>
      <c r="S23" s="26">
        <f>'Financial Statements'!S21/'Financial Statements'!S10</f>
        <v>1.859797115118942E-2</v>
      </c>
      <c r="T23" s="26">
        <f>'Financial Statements'!T21/'Financial Statements'!T10</f>
        <v>2.0530090406490252E-2</v>
      </c>
      <c r="U23" s="26">
        <f>'Financial Statements'!U21/'Financial Statements'!U10</f>
        <v>1.7346206221057484E-2</v>
      </c>
      <c r="V23" s="26">
        <f>'Financial Statements'!V21/'Financial Statements'!V10</f>
        <v>1.9617468796815293E-2</v>
      </c>
      <c r="Y23" s="209" t="s">
        <v>516</v>
      </c>
      <c r="Z23" s="209"/>
      <c r="AA23" s="209"/>
      <c r="AB23" s="209"/>
      <c r="AC23" s="209"/>
      <c r="AD23" s="209"/>
      <c r="AE23" s="209"/>
      <c r="AF23" s="209"/>
      <c r="AG23" s="209"/>
      <c r="AH23" s="209"/>
      <c r="AI23" s="209"/>
      <c r="AJ23" s="209"/>
      <c r="AK23" s="209"/>
      <c r="AL23" s="209"/>
      <c r="AM23" s="209"/>
      <c r="AN23" s="209"/>
      <c r="AO23" s="209"/>
      <c r="AP23" s="209"/>
    </row>
    <row r="24" spans="2:42" ht="58.05" customHeight="1" x14ac:dyDescent="0.3">
      <c r="D24" s="9" t="s">
        <v>402</v>
      </c>
      <c r="E24" s="9"/>
      <c r="F24" s="9" t="s">
        <v>113</v>
      </c>
      <c r="H24" s="26">
        <f>'Financial Statements'!H23/'Financial Statements'!H10</f>
        <v>1.525146408903022E-2</v>
      </c>
      <c r="I24" s="26">
        <f>'Financial Statements'!I23/'Financial Statements'!I10</f>
        <v>3.3288849245038235E-2</v>
      </c>
      <c r="J24" s="26">
        <f>'Financial Statements'!J23/'Financial Statements'!J10</f>
        <v>5.3113432753506891E-2</v>
      </c>
      <c r="K24" s="26">
        <f>'Financial Statements'!K23/'Financial Statements'!K10</f>
        <v>1.6553315180601436E-2</v>
      </c>
      <c r="L24" s="26">
        <f>'Financial Statements'!L23/'Financial Statements'!L10</f>
        <v>-1.1545653950685577E-2</v>
      </c>
      <c r="M24" s="26">
        <f>'Financial Statements'!M23/'Financial Statements'!M10</f>
        <v>1.2493385983952119E-2</v>
      </c>
      <c r="N24" s="26">
        <f>'Financial Statements'!N23/'Financial Statements'!N10</f>
        <v>1.4051135711248459E-2</v>
      </c>
      <c r="O24" s="26">
        <f>'Financial Statements'!O23/'Financial Statements'!O10</f>
        <v>1.1501852886018999E-2</v>
      </c>
      <c r="P24" s="26">
        <f>'Financial Statements'!P23/'Financial Statements'!P10</f>
        <v>1.30559850552641E-2</v>
      </c>
      <c r="Q24" s="26">
        <f>'Financial Statements'!Q23/'Financial Statements'!Q10</f>
        <v>1.4353956534562527E-2</v>
      </c>
      <c r="R24" s="26">
        <f>'Financial Statements'!R23/'Financial Statements'!R10</f>
        <v>1.1807202173092016E-2</v>
      </c>
      <c r="S24" s="26">
        <f>'Financial Statements'!S23/'Financial Statements'!S10</f>
        <v>1.3295733827029475E-2</v>
      </c>
      <c r="T24" s="26">
        <f>'Financial Statements'!T23/'Financial Statements'!T10</f>
        <v>1.4677010479827992E-2</v>
      </c>
      <c r="U24" s="26">
        <f>'Financial Statements'!U23/'Financial Statements'!U10</f>
        <v>1.2314113068988572E-2</v>
      </c>
      <c r="V24" s="26">
        <f>'Financial Statements'!V23/'Financial Statements'!V10</f>
        <v>1.3926487775642949E-2</v>
      </c>
      <c r="Y24" s="209" t="s">
        <v>517</v>
      </c>
      <c r="Z24" s="209"/>
      <c r="AA24" s="209"/>
      <c r="AB24" s="209"/>
      <c r="AC24" s="209"/>
      <c r="AD24" s="209"/>
      <c r="AE24" s="209"/>
      <c r="AF24" s="209"/>
      <c r="AG24" s="209"/>
      <c r="AH24" s="209"/>
      <c r="AI24" s="209"/>
      <c r="AJ24" s="209"/>
      <c r="AK24" s="209"/>
      <c r="AL24" s="209"/>
      <c r="AM24" s="209"/>
      <c r="AN24" s="209"/>
      <c r="AO24" s="209"/>
      <c r="AP24" s="209"/>
    </row>
    <row r="25" spans="2:42" x14ac:dyDescent="0.3">
      <c r="D25" s="9"/>
      <c r="E25" s="9"/>
      <c r="F25" s="9"/>
      <c r="H25" s="28"/>
      <c r="I25" s="28"/>
      <c r="J25" s="28"/>
      <c r="K25" s="28"/>
      <c r="L25" s="28"/>
      <c r="M25" s="28"/>
      <c r="N25" s="28"/>
      <c r="O25" s="28"/>
      <c r="P25" s="28"/>
      <c r="Q25" s="28"/>
      <c r="R25" s="28"/>
      <c r="S25" s="28"/>
      <c r="T25" s="28"/>
      <c r="U25" s="28"/>
      <c r="V25" s="28"/>
      <c r="Y25" s="209"/>
      <c r="Z25" s="209"/>
      <c r="AA25" s="209"/>
      <c r="AB25" s="209"/>
      <c r="AC25" s="209"/>
      <c r="AD25" s="209"/>
      <c r="AE25" s="209"/>
      <c r="AF25" s="209"/>
      <c r="AG25" s="209"/>
      <c r="AH25" s="209"/>
      <c r="AI25" s="209"/>
      <c r="AJ25" s="209"/>
      <c r="AK25" s="209"/>
      <c r="AL25" s="209"/>
      <c r="AM25" s="209"/>
      <c r="AN25" s="209"/>
      <c r="AO25" s="209"/>
      <c r="AP25" s="209"/>
    </row>
    <row r="26" spans="2:42" x14ac:dyDescent="0.3">
      <c r="C26" s="10" t="s">
        <v>403</v>
      </c>
      <c r="D26" s="9"/>
      <c r="E26" s="9"/>
      <c r="F26" s="9"/>
      <c r="H26" s="28"/>
      <c r="I26" s="28"/>
      <c r="J26" s="28"/>
      <c r="K26" s="28"/>
      <c r="L26" s="28"/>
      <c r="M26" s="28"/>
      <c r="N26" s="28"/>
      <c r="O26" s="28"/>
      <c r="P26" s="28"/>
      <c r="Q26" s="28"/>
      <c r="R26" s="28"/>
      <c r="S26" s="28"/>
      <c r="T26" s="28"/>
      <c r="U26" s="28"/>
      <c r="V26" s="28"/>
      <c r="Y26" s="209"/>
      <c r="Z26" s="209"/>
      <c r="AA26" s="209"/>
      <c r="AB26" s="209"/>
      <c r="AC26" s="209"/>
      <c r="AD26" s="209"/>
      <c r="AE26" s="209"/>
      <c r="AF26" s="209"/>
      <c r="AG26" s="209"/>
      <c r="AH26" s="209"/>
      <c r="AI26" s="209"/>
      <c r="AJ26" s="209"/>
      <c r="AK26" s="209"/>
      <c r="AL26" s="209"/>
      <c r="AM26" s="209"/>
      <c r="AN26" s="209"/>
      <c r="AO26" s="209"/>
      <c r="AP26" s="209"/>
    </row>
    <row r="27" spans="2:42" ht="58.05" customHeight="1" x14ac:dyDescent="0.3">
      <c r="D27" s="9" t="s">
        <v>404</v>
      </c>
      <c r="E27" s="9"/>
      <c r="F27" s="9" t="s">
        <v>126</v>
      </c>
      <c r="H27" s="182">
        <f>SUM('Financial Statements'!H29:H33)/SUM('Financial Statements'!H44:H45)</f>
        <v>3.0743343368357565</v>
      </c>
      <c r="I27" s="182">
        <f>SUM('Financial Statements'!I29:I33)/SUM('Financial Statements'!I44:I45)</f>
        <v>2.3705197683890216</v>
      </c>
      <c r="J27" s="182">
        <f>SUM('Financial Statements'!J29:J33)/SUM('Financial Statements'!J44:J45)</f>
        <v>1.8995364552055387</v>
      </c>
      <c r="K27" s="182">
        <f>SUM('Financial Statements'!K29:K33)/SUM('Financial Statements'!K44:K45)</f>
        <v>2.2645648539667209</v>
      </c>
      <c r="L27" s="182">
        <f>SUM('Financial Statements'!L29:L33)/SUM('Financial Statements'!L44:L45)</f>
        <v>2.4524122956377301</v>
      </c>
      <c r="M27" s="182">
        <f>SUM('Financial Statements'!M29:M33)/SUM('Financial Statements'!M44:M45)</f>
        <v>2.0851182774451305</v>
      </c>
      <c r="N27" s="182">
        <f>SUM('Financial Statements'!N29:N33)/SUM('Financial Statements'!N44:N45)</f>
        <v>1.9648181951905956</v>
      </c>
      <c r="O27" s="182">
        <f>SUM('Financial Statements'!O29:O33)/SUM('Financial Statements'!O44:O45)</f>
        <v>1.882527960338515</v>
      </c>
      <c r="P27" s="182">
        <f>SUM('Financial Statements'!P29:P33)/SUM('Financial Statements'!P44:P45)</f>
        <v>1.825267859193817</v>
      </c>
      <c r="Q27" s="182">
        <f>SUM('Financial Statements'!Q29:Q33)/SUM('Financial Statements'!Q44:Q45)</f>
        <v>1.7891258434905519</v>
      </c>
      <c r="R27" s="182">
        <f>SUM('Financial Statements'!R29:R33)/SUM('Financial Statements'!R44:R45)</f>
        <v>1.7808493210629024</v>
      </c>
      <c r="S27" s="182">
        <f>SUM('Financial Statements'!S29:S33)/SUM('Financial Statements'!S44:S45)</f>
        <v>1.7868906622878955</v>
      </c>
      <c r="T27" s="182">
        <f>SUM('Financial Statements'!T29:T33)/SUM('Financial Statements'!T44:T45)</f>
        <v>1.8056907939762274</v>
      </c>
      <c r="U27" s="182">
        <f>SUM('Financial Statements'!U29:U33)/SUM('Financial Statements'!U44:U45)</f>
        <v>1.8444473374959143</v>
      </c>
      <c r="V27" s="182">
        <f>SUM('Financial Statements'!V29:V33)/SUM('Financial Statements'!V44:V45)</f>
        <v>1.8912960774421184</v>
      </c>
      <c r="Y27" s="209" t="s">
        <v>518</v>
      </c>
      <c r="Z27" s="209"/>
      <c r="AA27" s="209"/>
      <c r="AB27" s="209"/>
      <c r="AC27" s="209"/>
      <c r="AD27" s="209"/>
      <c r="AE27" s="209"/>
      <c r="AF27" s="209"/>
      <c r="AG27" s="209"/>
      <c r="AH27" s="209"/>
      <c r="AI27" s="209"/>
      <c r="AJ27" s="209"/>
      <c r="AK27" s="209"/>
      <c r="AL27" s="209"/>
      <c r="AM27" s="209"/>
      <c r="AN27" s="209"/>
      <c r="AO27" s="209"/>
      <c r="AP27" s="209"/>
    </row>
    <row r="28" spans="2:42" ht="58.05" customHeight="1" x14ac:dyDescent="0.3">
      <c r="D28" s="9" t="s">
        <v>405</v>
      </c>
      <c r="E28" s="9"/>
      <c r="F28" s="9" t="s">
        <v>126</v>
      </c>
      <c r="H28" s="182">
        <f>SUM('Financial Statements'!H29:H31,'Financial Statements'!H33)/SUM('Financial Statements'!H44:H45)</f>
        <v>0.48948682999730164</v>
      </c>
      <c r="I28" s="182">
        <f>SUM('Financial Statements'!I29:I31,'Financial Statements'!I33)/SUM('Financial Statements'!I44:I45)</f>
        <v>0.39388482694295035</v>
      </c>
      <c r="J28" s="182">
        <f>SUM('Financial Statements'!J29:J31,'Financial Statements'!J33)/SUM('Financial Statements'!J44:J45)</f>
        <v>0.80592459583528175</v>
      </c>
      <c r="K28" s="182">
        <f>SUM('Financial Statements'!K29:K31,'Financial Statements'!K33)/SUM('Financial Statements'!K44:K45)</f>
        <v>0.75952849612964968</v>
      </c>
      <c r="L28" s="182">
        <f>SUM('Financial Statements'!L29:L31,'Financial Statements'!L33)/SUM('Financial Statements'!L44:L45)</f>
        <v>0.66900131573909261</v>
      </c>
      <c r="M28" s="182">
        <f>SUM('Financial Statements'!M29:M31,'Financial Statements'!M33)/SUM('Financial Statements'!M44:M45)</f>
        <v>0.27048233341088956</v>
      </c>
      <c r="N28" s="182">
        <f>SUM('Financial Statements'!N29:N31,'Financial Statements'!N33)/SUM('Financial Statements'!N44:N45)</f>
        <v>7.4590123682402518E-2</v>
      </c>
      <c r="O28" s="182">
        <f>SUM('Financial Statements'!O29:O31,'Financial Statements'!O33)/SUM('Financial Statements'!O44:O45)</f>
        <v>-7.6017070605496562E-2</v>
      </c>
      <c r="P28" s="182">
        <f>SUM('Financial Statements'!P29:P31,'Financial Statements'!P33)/SUM('Financial Statements'!P44:P45)</f>
        <v>-0.19485070919337424</v>
      </c>
      <c r="Q28" s="182">
        <f>SUM('Financial Statements'!Q29:Q31,'Financial Statements'!Q33)/SUM('Financial Statements'!Q44:Q45)</f>
        <v>-0.28637968000138586</v>
      </c>
      <c r="R28" s="182">
        <f>SUM('Financial Statements'!R29:R31,'Financial Statements'!R33)/SUM('Financial Statements'!R44:R45)</f>
        <v>-0.34441087724863306</v>
      </c>
      <c r="S28" s="182">
        <f>SUM('Financial Statements'!S29:S31,'Financial Statements'!S33)/SUM('Financial Statements'!S44:S45)</f>
        <v>-0.38302570279626935</v>
      </c>
      <c r="T28" s="182">
        <f>SUM('Financial Statements'!T29:T31,'Financial Statements'!T33)/SUM('Financial Statements'!T44:T45)</f>
        <v>-0.40428562864852935</v>
      </c>
      <c r="U28" s="182">
        <f>SUM('Financial Statements'!U29:U31,'Financial Statements'!U33)/SUM('Financial Statements'!U44:U45)</f>
        <v>-0.40145831065304166</v>
      </c>
      <c r="V28" s="182">
        <f>SUM('Financial Statements'!V29:V31,'Financial Statements'!V33)/SUM('Financial Statements'!V44:V45)</f>
        <v>-0.38683386823852722</v>
      </c>
      <c r="Y28" s="209" t="s">
        <v>519</v>
      </c>
      <c r="Z28" s="209"/>
      <c r="AA28" s="209"/>
      <c r="AB28" s="209"/>
      <c r="AC28" s="209"/>
      <c r="AD28" s="209"/>
      <c r="AE28" s="209"/>
      <c r="AF28" s="209"/>
      <c r="AG28" s="209"/>
      <c r="AH28" s="209"/>
      <c r="AI28" s="209"/>
      <c r="AJ28" s="209"/>
      <c r="AK28" s="209"/>
      <c r="AL28" s="209"/>
      <c r="AM28" s="209"/>
      <c r="AN28" s="209"/>
      <c r="AO28" s="209"/>
      <c r="AP28" s="209"/>
    </row>
    <row r="29" spans="2:42" ht="58.05" customHeight="1" x14ac:dyDescent="0.3">
      <c r="D29" s="9" t="s">
        <v>406</v>
      </c>
      <c r="E29" s="9"/>
      <c r="F29" s="9" t="s">
        <v>123</v>
      </c>
      <c r="H29" s="151">
        <f t="shared" ref="H29:V29" si="10">H15+H16-H17</f>
        <v>254.04770911048362</v>
      </c>
      <c r="I29" s="151">
        <f t="shared" si="10"/>
        <v>236.84200945894133</v>
      </c>
      <c r="J29" s="151">
        <f t="shared" si="10"/>
        <v>88.418242105631975</v>
      </c>
      <c r="K29" s="151">
        <f t="shared" si="10"/>
        <v>156.45532325576599</v>
      </c>
      <c r="L29" s="151">
        <f t="shared" si="10"/>
        <v>158.82365524974256</v>
      </c>
      <c r="M29" s="151">
        <f t="shared" si="10"/>
        <v>178.91738783611311</v>
      </c>
      <c r="N29" s="151">
        <f t="shared" si="10"/>
        <v>178.91738783611311</v>
      </c>
      <c r="O29" s="151">
        <f t="shared" si="10"/>
        <v>178.91738783611311</v>
      </c>
      <c r="P29" s="151">
        <f t="shared" si="10"/>
        <v>178.91738783611311</v>
      </c>
      <c r="Q29" s="151">
        <f t="shared" si="10"/>
        <v>178.91738783611311</v>
      </c>
      <c r="R29" s="151">
        <f t="shared" si="10"/>
        <v>178.91738783611311</v>
      </c>
      <c r="S29" s="151">
        <f t="shared" si="10"/>
        <v>178.91738783611311</v>
      </c>
      <c r="T29" s="151">
        <f t="shared" si="10"/>
        <v>178.91738783611311</v>
      </c>
      <c r="U29" s="151">
        <f t="shared" si="10"/>
        <v>178.91738783611311</v>
      </c>
      <c r="V29" s="151">
        <f t="shared" si="10"/>
        <v>178.91738783611311</v>
      </c>
      <c r="Y29" s="209" t="s">
        <v>520</v>
      </c>
      <c r="Z29" s="209"/>
      <c r="AA29" s="209"/>
      <c r="AB29" s="209"/>
      <c r="AC29" s="209"/>
      <c r="AD29" s="209"/>
      <c r="AE29" s="209"/>
      <c r="AF29" s="209"/>
      <c r="AG29" s="209"/>
      <c r="AH29" s="209"/>
      <c r="AI29" s="209"/>
      <c r="AJ29" s="209"/>
      <c r="AK29" s="209"/>
      <c r="AL29" s="209"/>
      <c r="AM29" s="209"/>
      <c r="AN29" s="209"/>
      <c r="AO29" s="209"/>
      <c r="AP29" s="209"/>
    </row>
    <row r="30" spans="2:42" x14ac:dyDescent="0.3">
      <c r="D30" s="9"/>
      <c r="E30" s="9"/>
      <c r="F30" s="9"/>
      <c r="H30" s="28"/>
      <c r="I30" s="28"/>
      <c r="J30" s="28"/>
      <c r="K30" s="28"/>
      <c r="L30" s="28"/>
      <c r="M30" s="28"/>
      <c r="N30" s="28"/>
      <c r="O30" s="28"/>
      <c r="P30" s="28"/>
      <c r="Q30" s="28"/>
      <c r="R30" s="28"/>
      <c r="S30" s="28"/>
      <c r="T30" s="28"/>
      <c r="U30" s="28"/>
      <c r="V30" s="28"/>
      <c r="Y30" s="209"/>
      <c r="Z30" s="209"/>
      <c r="AA30" s="209"/>
      <c r="AB30" s="209"/>
      <c r="AC30" s="209"/>
      <c r="AD30" s="209"/>
      <c r="AE30" s="209"/>
      <c r="AF30" s="209"/>
      <c r="AG30" s="209"/>
      <c r="AH30" s="209"/>
      <c r="AI30" s="209"/>
      <c r="AJ30" s="209"/>
      <c r="AK30" s="209"/>
      <c r="AL30" s="209"/>
      <c r="AM30" s="209"/>
      <c r="AN30" s="209"/>
      <c r="AO30" s="209"/>
      <c r="AP30" s="209"/>
    </row>
    <row r="31" spans="2:42" x14ac:dyDescent="0.3">
      <c r="C31" s="10" t="s">
        <v>407</v>
      </c>
      <c r="D31" s="9"/>
      <c r="E31" s="9"/>
      <c r="F31" s="9"/>
      <c r="H31" s="28"/>
      <c r="I31" s="28"/>
      <c r="J31" s="28"/>
      <c r="K31" s="28"/>
      <c r="L31" s="28"/>
      <c r="M31" s="28"/>
      <c r="N31" s="28"/>
      <c r="O31" s="28"/>
      <c r="P31" s="28"/>
      <c r="Q31" s="28"/>
      <c r="R31" s="28"/>
      <c r="S31" s="28"/>
      <c r="T31" s="28"/>
      <c r="U31" s="28"/>
      <c r="V31" s="28"/>
      <c r="Y31" s="227"/>
      <c r="Z31" s="227"/>
      <c r="AA31" s="227"/>
      <c r="AB31" s="227"/>
      <c r="AC31" s="227"/>
      <c r="AD31" s="227"/>
      <c r="AE31" s="227"/>
      <c r="AF31" s="227"/>
      <c r="AG31" s="227"/>
      <c r="AH31" s="227"/>
      <c r="AI31" s="227"/>
      <c r="AJ31" s="227"/>
      <c r="AK31" s="227"/>
      <c r="AL31" s="227"/>
      <c r="AM31" s="227"/>
      <c r="AN31" s="227"/>
      <c r="AO31" s="227"/>
      <c r="AP31" s="227"/>
    </row>
    <row r="32" spans="2:42" ht="58.05" customHeight="1" x14ac:dyDescent="0.3">
      <c r="D32" s="9" t="s">
        <v>408</v>
      </c>
      <c r="E32" s="9"/>
      <c r="F32" s="9" t="s">
        <v>126</v>
      </c>
      <c r="H32" s="28">
        <f>'Financial Statements'!H47/'Financial Statements'!H53</f>
        <v>6.8839986136628752</v>
      </c>
      <c r="I32" s="28">
        <f>'Financial Statements'!I47/'Financial Statements'!I53</f>
        <v>5.2535372167434282</v>
      </c>
      <c r="J32" s="28">
        <f>'Financial Statements'!J47/'Financial Statements'!J53</f>
        <v>1.5721441043605526</v>
      </c>
      <c r="K32" s="28">
        <f>'Financial Statements'!K47/'Financial Statements'!K53</f>
        <v>2.1868428097260861</v>
      </c>
      <c r="L32" s="28">
        <f>'Financial Statements'!L47/'Financial Statements'!L53</f>
        <v>2.8285948543780561</v>
      </c>
      <c r="M32" s="28">
        <f>'Financial Statements'!M47/'Financial Statements'!M53</f>
        <v>2.6184906626263276</v>
      </c>
      <c r="N32" s="28">
        <f>'Financial Statements'!N47/'Financial Statements'!N53</f>
        <v>2.4000881856473808</v>
      </c>
      <c r="O32" s="28">
        <f>'Financial Statements'!O47/'Financial Statements'!O53</f>
        <v>2.2351538757695764</v>
      </c>
      <c r="P32" s="28">
        <f>'Financial Statements'!P47/'Financial Statements'!P53</f>
        <v>2.0625040626895674</v>
      </c>
      <c r="Q32" s="28">
        <f>'Financial Statements'!Q47/'Financial Statements'!Q53</f>
        <v>1.8912665411455158</v>
      </c>
      <c r="R32" s="28">
        <f>'Financial Statements'!R47/'Financial Statements'!R53</f>
        <v>1.7636109870440155</v>
      </c>
      <c r="S32" s="28">
        <f>'Financial Statements'!S47/'Financial Statements'!S53</f>
        <v>1.6327829355971903</v>
      </c>
      <c r="T32" s="28">
        <f>'Financial Statements'!T47/'Financial Statements'!T53</f>
        <v>1.5036151962624706</v>
      </c>
      <c r="U32" s="28">
        <f>'Financial Statements'!U47/'Financial Statements'!U53</f>
        <v>1.4061428572293997</v>
      </c>
      <c r="V32" s="28">
        <f>'Financial Statements'!V47/'Financial Statements'!V53</f>
        <v>1.3065106120261669</v>
      </c>
      <c r="Y32" s="209" t="s">
        <v>521</v>
      </c>
      <c r="Z32" s="209"/>
      <c r="AA32" s="209"/>
      <c r="AB32" s="209"/>
      <c r="AC32" s="209"/>
      <c r="AD32" s="209"/>
      <c r="AE32" s="209"/>
      <c r="AF32" s="209"/>
      <c r="AG32" s="209"/>
      <c r="AH32" s="209"/>
      <c r="AI32" s="209"/>
      <c r="AJ32" s="209"/>
      <c r="AK32" s="209"/>
      <c r="AL32" s="209"/>
      <c r="AM32" s="209"/>
      <c r="AN32" s="209"/>
      <c r="AO32" s="209"/>
      <c r="AP32" s="209"/>
    </row>
    <row r="33" spans="3:42" ht="58.05" customHeight="1" x14ac:dyDescent="0.3">
      <c r="D33" s="9" t="s">
        <v>409</v>
      </c>
      <c r="E33" s="9"/>
      <c r="F33" s="9" t="s">
        <v>126</v>
      </c>
      <c r="H33" s="28">
        <f>'Financial Statements'!H40/'Financial Statements'!H53</f>
        <v>11.098490805578644</v>
      </c>
      <c r="I33" s="28">
        <f>'Financial Statements'!I40/'Financial Statements'!I53</f>
        <v>9.5567112671892147</v>
      </c>
      <c r="J33" s="28">
        <f>'Financial Statements'!J40/'Financial Statements'!J53</f>
        <v>4.1496225225780048</v>
      </c>
      <c r="K33" s="28">
        <f>'Financial Statements'!K40/'Financial Statements'!K53</f>
        <v>4.6187154766966225</v>
      </c>
      <c r="L33" s="28">
        <f>'Financial Statements'!L40/'Financial Statements'!L53</f>
        <v>5.234355750966083</v>
      </c>
      <c r="M33" s="28">
        <f>'Financial Statements'!M40/'Financial Statements'!M53</f>
        <v>5.2079355379670051</v>
      </c>
      <c r="N33" s="28">
        <f>'Financial Statements'!N40/'Financial Statements'!N53</f>
        <v>4.9220207331067449</v>
      </c>
      <c r="O33" s="28">
        <f>'Financial Statements'!O40/'Financial Statements'!O53</f>
        <v>4.7122268148448869</v>
      </c>
      <c r="P33" s="28">
        <f>'Financial Statements'!P40/'Financial Statements'!P53</f>
        <v>4.4793915251247416</v>
      </c>
      <c r="Q33" s="28">
        <f>'Financial Statements'!Q40/'Financial Statements'!Q53</f>
        <v>4.2385252585863489</v>
      </c>
      <c r="R33" s="28">
        <f>'Financial Statements'!R40/'Financial Statements'!R53</f>
        <v>4.0631278274894305</v>
      </c>
      <c r="S33" s="28">
        <f>'Financial Statements'!S40/'Financial Statements'!S53</f>
        <v>3.8742575488120243</v>
      </c>
      <c r="T33" s="28">
        <f>'Financial Statements'!T40/'Financial Statements'!T53</f>
        <v>3.6805786705527415</v>
      </c>
      <c r="U33" s="28">
        <f>'Financial Statements'!U40/'Financial Statements'!U53</f>
        <v>3.5367300867978773</v>
      </c>
      <c r="V33" s="28">
        <f>'Financial Statements'!V40/'Financial Statements'!V53</f>
        <v>3.383266494503165</v>
      </c>
      <c r="Y33" s="209" t="s">
        <v>522</v>
      </c>
      <c r="Z33" s="209"/>
      <c r="AA33" s="209"/>
      <c r="AB33" s="209"/>
      <c r="AC33" s="209"/>
      <c r="AD33" s="209"/>
      <c r="AE33" s="209"/>
      <c r="AF33" s="209"/>
      <c r="AG33" s="209"/>
      <c r="AH33" s="209"/>
      <c r="AI33" s="209"/>
      <c r="AJ33" s="209"/>
      <c r="AK33" s="209"/>
      <c r="AL33" s="209"/>
      <c r="AM33" s="209"/>
      <c r="AN33" s="209"/>
      <c r="AO33" s="209"/>
      <c r="AP33" s="209"/>
    </row>
    <row r="34" spans="3:42" ht="72.599999999999994" customHeight="1" x14ac:dyDescent="0.3">
      <c r="D34" s="9" t="s">
        <v>410</v>
      </c>
      <c r="E34" s="9"/>
      <c r="F34" s="9" t="s">
        <v>126</v>
      </c>
      <c r="H34" s="28">
        <f>'Financial Statements'!H47/('Financial Statements'!H47+'Financial Statements'!H53)</f>
        <v>0.87316080976130417</v>
      </c>
      <c r="I34" s="28">
        <f>'Financial Statements'!I47/('Financial Statements'!I47+'Financial Statements'!I53)</f>
        <v>0.84009050152886799</v>
      </c>
      <c r="J34" s="28">
        <f>'Financial Statements'!J47/('Financial Statements'!J47+'Financial Statements'!J53)</f>
        <v>0.61121929432153466</v>
      </c>
      <c r="K34" s="28">
        <f>'Financial Statements'!K47/('Financial Statements'!K47+'Financial Statements'!K53)</f>
        <v>0.68620981337766351</v>
      </c>
      <c r="L34" s="28">
        <f>'Financial Statements'!L47/('Financial Statements'!L47+'Financial Statements'!L53)</f>
        <v>0.73880756830238004</v>
      </c>
      <c r="M34" s="28">
        <f>'Financial Statements'!M47/('Financial Statements'!M47+'Financial Statements'!M53)</f>
        <v>0.7236416801268758</v>
      </c>
      <c r="N34" s="28">
        <f>'Financial Statements'!N47/('Financial Statements'!N47+'Financial Statements'!N53)</f>
        <v>0.70588998125953062</v>
      </c>
      <c r="O34" s="28">
        <f>'Financial Statements'!O47/('Financial Statements'!O47+'Financial Statements'!O53)</f>
        <v>0.69089569201337575</v>
      </c>
      <c r="P34" s="28">
        <f>'Financial Statements'!P47/('Financial Statements'!P47+'Financial Statements'!P53)</f>
        <v>0.67346982092759244</v>
      </c>
      <c r="Q34" s="28">
        <f>'Financial Statements'!Q47/('Financial Statements'!Q47+'Financial Statements'!Q53)</f>
        <v>0.65413081576221566</v>
      </c>
      <c r="R34" s="28">
        <f>'Financial Statements'!R47/('Financial Statements'!R47+'Financial Statements'!R53)</f>
        <v>0.63815457215647797</v>
      </c>
      <c r="S34" s="28">
        <f>'Financial Statements'!S47/('Financial Statements'!S47+'Financial Statements'!S53)</f>
        <v>0.62017377639483551</v>
      </c>
      <c r="T34" s="28">
        <f>'Financial Statements'!T47/('Financial Statements'!T47+'Financial Statements'!T53)</f>
        <v>0.60057759615261452</v>
      </c>
      <c r="U34" s="28">
        <f>'Financial Statements'!U47/('Financial Statements'!U47+'Financial Statements'!U53)</f>
        <v>0.58439707892013126</v>
      </c>
      <c r="V34" s="28">
        <f>'Financial Statements'!V47/('Financial Statements'!V47+'Financial Statements'!V53)</f>
        <v>0.56644465679629175</v>
      </c>
      <c r="Y34" s="209" t="s">
        <v>523</v>
      </c>
      <c r="Z34" s="209"/>
      <c r="AA34" s="209"/>
      <c r="AB34" s="209"/>
      <c r="AC34" s="209"/>
      <c r="AD34" s="209"/>
      <c r="AE34" s="209"/>
      <c r="AF34" s="209"/>
      <c r="AG34" s="209"/>
      <c r="AH34" s="209"/>
      <c r="AI34" s="209"/>
      <c r="AJ34" s="209"/>
      <c r="AK34" s="209"/>
      <c r="AL34" s="209"/>
      <c r="AM34" s="209"/>
      <c r="AN34" s="209"/>
      <c r="AO34" s="209"/>
      <c r="AP34" s="209"/>
    </row>
    <row r="35" spans="3:42" x14ac:dyDescent="0.3">
      <c r="D35" s="9"/>
      <c r="E35" s="9"/>
      <c r="F35" s="9"/>
      <c r="H35" s="28"/>
      <c r="I35" s="28"/>
      <c r="J35" s="28"/>
      <c r="K35" s="28"/>
      <c r="L35" s="28"/>
      <c r="M35" s="28"/>
      <c r="N35" s="28"/>
      <c r="O35" s="28"/>
      <c r="P35" s="28"/>
      <c r="Q35" s="28"/>
      <c r="R35" s="28"/>
      <c r="S35" s="28"/>
      <c r="T35" s="28"/>
      <c r="U35" s="28"/>
      <c r="V35" s="28"/>
      <c r="Y35" s="209"/>
      <c r="Z35" s="209"/>
      <c r="AA35" s="209"/>
      <c r="AB35" s="209"/>
      <c r="AC35" s="209"/>
      <c r="AD35" s="209"/>
      <c r="AE35" s="209"/>
      <c r="AF35" s="209"/>
      <c r="AG35" s="209"/>
      <c r="AH35" s="209"/>
      <c r="AI35" s="209"/>
      <c r="AJ35" s="209"/>
      <c r="AK35" s="209"/>
      <c r="AL35" s="209"/>
      <c r="AM35" s="209"/>
      <c r="AN35" s="209"/>
      <c r="AO35" s="209"/>
      <c r="AP35" s="209"/>
    </row>
    <row r="36" spans="3:42" x14ac:dyDescent="0.3">
      <c r="C36" s="10" t="s">
        <v>411</v>
      </c>
      <c r="D36" s="9"/>
      <c r="E36" s="9"/>
      <c r="F36" s="9"/>
      <c r="H36" s="28"/>
      <c r="I36" s="28"/>
      <c r="J36" s="28"/>
      <c r="K36" s="28"/>
      <c r="L36" s="28"/>
      <c r="M36" s="28"/>
      <c r="N36" s="28"/>
      <c r="O36" s="28"/>
      <c r="P36" s="28"/>
      <c r="Q36" s="28"/>
      <c r="R36" s="28"/>
      <c r="S36" s="28"/>
      <c r="T36" s="28"/>
      <c r="U36" s="28"/>
      <c r="V36" s="28"/>
      <c r="Y36" s="209"/>
      <c r="Z36" s="209"/>
      <c r="AA36" s="209"/>
      <c r="AB36" s="209"/>
      <c r="AC36" s="209"/>
      <c r="AD36" s="209"/>
      <c r="AE36" s="209"/>
      <c r="AF36" s="209"/>
      <c r="AG36" s="209"/>
      <c r="AH36" s="209"/>
      <c r="AI36" s="209"/>
      <c r="AJ36" s="209"/>
      <c r="AK36" s="209"/>
      <c r="AL36" s="209"/>
      <c r="AM36" s="209"/>
      <c r="AN36" s="209"/>
      <c r="AO36" s="209"/>
      <c r="AP36" s="209"/>
    </row>
    <row r="37" spans="3:42" s="9" customFormat="1" ht="58.05" customHeight="1" x14ac:dyDescent="0.3">
      <c r="D37" s="9" t="s">
        <v>412</v>
      </c>
      <c r="F37" s="9" t="s">
        <v>126</v>
      </c>
      <c r="H37" s="175"/>
      <c r="I37" s="182">
        <f>'Financial Statements'!I10/AVERAGE('Financial Statements'!H40:I40)</f>
        <v>1.2654751855243034</v>
      </c>
      <c r="J37" s="182">
        <f>'Financial Statements'!J10/AVERAGE('Financial Statements'!I40:J40)</f>
        <v>1.8655037012731801</v>
      </c>
      <c r="K37" s="182">
        <f>'Financial Statements'!K10/AVERAGE('Financial Statements'!J40:K40)</f>
        <v>1.2761963723369083</v>
      </c>
      <c r="L37" s="182">
        <f>'Financial Statements'!L10/AVERAGE('Financial Statements'!K40:L40)</f>
        <v>1.2702983477334981</v>
      </c>
      <c r="M37" s="182">
        <f>'Financial Statements'!M10/AVERAGE('Financial Statements'!L40:M40)</f>
        <v>1.3182998567501834</v>
      </c>
      <c r="N37" s="182">
        <f>'Financial Statements'!N10/AVERAGE('Financial Statements'!M40:N40)</f>
        <v>1.3647994529224612</v>
      </c>
      <c r="O37" s="182">
        <f>'Financial Statements'!O10/AVERAGE('Financial Statements'!N40:O40)</f>
        <v>1.4327383216159284</v>
      </c>
      <c r="P37" s="182">
        <f>'Financial Statements'!P10/AVERAGE('Financial Statements'!O40:P40)</f>
        <v>1.494005079606475</v>
      </c>
      <c r="Q37" s="182">
        <f>'Financial Statements'!Q10/AVERAGE('Financial Statements'!P40:Q40)</f>
        <v>1.5448999770653613</v>
      </c>
      <c r="R37" s="182">
        <f>'Financial Statements'!R10/AVERAGE('Financial Statements'!Q40:R40)</f>
        <v>1.5898390798031286</v>
      </c>
      <c r="S37" s="182">
        <f>'Financial Statements'!S10/AVERAGE('Financial Statements'!R40:S40)</f>
        <v>1.628802935745886</v>
      </c>
      <c r="T37" s="182">
        <f>'Financial Statements'!T10/AVERAGE('Financial Statements'!S40:T40)</f>
        <v>1.6576629863360093</v>
      </c>
      <c r="U37" s="182">
        <f>'Financial Statements'!U10/AVERAGE('Financial Statements'!T40:U40)</f>
        <v>1.6815640040749908</v>
      </c>
      <c r="V37" s="182">
        <f>'Financial Statements'!V10/AVERAGE('Financial Statements'!U40:V40)</f>
        <v>1.7005494412933688</v>
      </c>
      <c r="Y37" s="209" t="s">
        <v>524</v>
      </c>
      <c r="Z37" s="209"/>
      <c r="AA37" s="209"/>
      <c r="AB37" s="209"/>
      <c r="AC37" s="209"/>
      <c r="AD37" s="209"/>
      <c r="AE37" s="209"/>
      <c r="AF37" s="209"/>
      <c r="AG37" s="209"/>
      <c r="AH37" s="209"/>
      <c r="AI37" s="209"/>
      <c r="AJ37" s="209"/>
      <c r="AK37" s="209"/>
      <c r="AL37" s="209"/>
      <c r="AM37" s="209"/>
      <c r="AN37" s="209"/>
      <c r="AO37" s="209"/>
      <c r="AP37" s="209"/>
    </row>
    <row r="38" spans="3:42" ht="58.8" customHeight="1" x14ac:dyDescent="0.3">
      <c r="D38" s="9" t="s">
        <v>413</v>
      </c>
      <c r="E38" s="9"/>
      <c r="F38" s="70" t="s">
        <v>113</v>
      </c>
      <c r="H38" s="150"/>
      <c r="I38" s="150">
        <f>'Financial Statements'!I21/AVERAGE('Financial Statements'!H40:I40)</f>
        <v>4.508186500689941E-2</v>
      </c>
      <c r="J38" s="150">
        <f>'Financial Statements'!J21/AVERAGE('Financial Statements'!I40:J40)</f>
        <v>0.14268311356460434</v>
      </c>
      <c r="K38" s="26">
        <f>'Financial Statements'!K21/AVERAGE('Financial Statements'!J40:K40)</f>
        <v>2.9777128662427019E-2</v>
      </c>
      <c r="L38" s="26">
        <f>'Financial Statements'!L21/AVERAGE('Financial Statements'!K40:L40)</f>
        <v>-1.9956970543586982E-2</v>
      </c>
      <c r="M38" s="26">
        <f>'Financial Statements'!M21/AVERAGE('Financial Statements'!L40:M40)</f>
        <v>2.2564701005198248E-2</v>
      </c>
      <c r="N38" s="26">
        <f>'Financial Statements'!N21/AVERAGE('Financial Statements'!M40:N40)</f>
        <v>2.6273352264974417E-2</v>
      </c>
      <c r="O38" s="26">
        <f>'Financial Statements'!O21/AVERAGE('Financial Statements'!N40:O40)</f>
        <v>2.273291669177805E-2</v>
      </c>
      <c r="P38" s="26">
        <f>'Financial Statements'!P21/AVERAGE('Financial Statements'!O40:P40)</f>
        <v>2.690804796278462E-2</v>
      </c>
      <c r="Q38" s="26">
        <f>'Financial Statements'!Q21/AVERAGE('Financial Statements'!P40:Q40)</f>
        <v>3.080338078772403E-2</v>
      </c>
      <c r="R38" s="26">
        <f>'Financial Statements'!R21/AVERAGE('Financial Statements'!Q40:R40)</f>
        <v>2.6075134596611448E-2</v>
      </c>
      <c r="S38" s="26">
        <f>'Financial Statements'!S21/AVERAGE('Financial Statements'!R40:S40)</f>
        <v>3.029243000997462E-2</v>
      </c>
      <c r="T38" s="26">
        <f>'Financial Statements'!T21/AVERAGE('Financial Statements'!S40:T40)</f>
        <v>3.4031970972970893E-2</v>
      </c>
      <c r="U38" s="26">
        <f>'Financial Statements'!U21/AVERAGE('Financial Statements'!T40:U40)</f>
        <v>2.9168755988591939E-2</v>
      </c>
      <c r="V38" s="26">
        <f>'Financial Statements'!V21/AVERAGE('Financial Statements'!U40:V40)</f>
        <v>3.3360475602014342E-2</v>
      </c>
      <c r="X38" s="9"/>
      <c r="Y38" s="209" t="s">
        <v>525</v>
      </c>
      <c r="Z38" s="209"/>
      <c r="AA38" s="209"/>
      <c r="AB38" s="209"/>
      <c r="AC38" s="209"/>
      <c r="AD38" s="209"/>
      <c r="AE38" s="209"/>
      <c r="AF38" s="209"/>
      <c r="AG38" s="209"/>
      <c r="AH38" s="209"/>
      <c r="AI38" s="209"/>
      <c r="AJ38" s="209"/>
      <c r="AK38" s="209"/>
      <c r="AL38" s="209"/>
      <c r="AM38" s="209"/>
      <c r="AN38" s="209"/>
      <c r="AO38" s="209"/>
      <c r="AP38" s="209"/>
    </row>
    <row r="39" spans="3:42" ht="55.8" customHeight="1" x14ac:dyDescent="0.3">
      <c r="D39" s="9" t="s">
        <v>414</v>
      </c>
      <c r="E39" s="9"/>
      <c r="F39" s="70" t="s">
        <v>113</v>
      </c>
      <c r="H39" s="150"/>
      <c r="I39" s="150">
        <f>'Financial Statements'!I21/AVERAGE('Financial Statements'!H53:I53)</f>
        <v>0.45849770322991545</v>
      </c>
      <c r="J39" s="150">
        <f>'Financial Statements'!J21/AVERAGE('Financial Statements'!I53:J53)</f>
        <v>0.86628012871106808</v>
      </c>
      <c r="K39" s="150">
        <f>'Financial Statements'!K21/AVERAGE('Financial Statements'!J53:K53)</f>
        <v>0.13076453069037472</v>
      </c>
      <c r="L39" s="150">
        <f>'Financial Statements'!L21/AVERAGE('Financial Statements'!K53:L53)</f>
        <v>-9.8060355341340597E-2</v>
      </c>
      <c r="M39" s="150">
        <f>'Financial Statements'!M21/AVERAGE('Financial Statements'!L53:M53)</f>
        <v>0.11780209279236366</v>
      </c>
      <c r="N39" s="150">
        <f>'Financial Statements'!N21/AVERAGE('Financial Statements'!M53:N53)</f>
        <v>0.1329104994927911</v>
      </c>
      <c r="O39" s="150">
        <f>'Financial Statements'!O21/AVERAGE('Financial Statements'!N53:O53)</f>
        <v>0.10942242250974843</v>
      </c>
      <c r="P39" s="150">
        <f>'Financial Statements'!P21/AVERAGE('Financial Statements'!O53:P53)</f>
        <v>0.12353840877548691</v>
      </c>
      <c r="Q39" s="150">
        <f>'Financial Statements'!Q21/AVERAGE('Financial Statements'!P53:Q53)</f>
        <v>0.13410998627668574</v>
      </c>
      <c r="R39" s="150">
        <f>'Financial Statements'!R21/AVERAGE('Financial Statements'!Q53:R53)</f>
        <v>0.1081534902463803</v>
      </c>
      <c r="S39" s="150">
        <f>'Financial Statements'!S21/AVERAGE('Financial Statements'!R53:S53)</f>
        <v>0.12011115336234812</v>
      </c>
      <c r="T39" s="150">
        <f>'Financial Statements'!T21/AVERAGE('Financial Statements'!S53:T53)</f>
        <v>0.12841725771473028</v>
      </c>
      <c r="U39" s="150">
        <f>'Financial Statements'!U21/AVERAGE('Financial Statements'!T53:U53)</f>
        <v>0.10518968124245565</v>
      </c>
      <c r="V39" s="150">
        <f>'Financial Statements'!V21/AVERAGE('Financial Statements'!U53:V53)</f>
        <v>0.11533317008442759</v>
      </c>
      <c r="X39" s="9"/>
      <c r="Y39" s="209" t="s">
        <v>526</v>
      </c>
      <c r="Z39" s="209"/>
      <c r="AA39" s="209"/>
      <c r="AB39" s="209"/>
      <c r="AC39" s="209"/>
      <c r="AD39" s="209"/>
      <c r="AE39" s="209"/>
      <c r="AF39" s="209"/>
      <c r="AG39" s="209"/>
      <c r="AH39" s="209"/>
      <c r="AI39" s="209"/>
      <c r="AJ39" s="209"/>
      <c r="AK39" s="209"/>
      <c r="AL39" s="209"/>
      <c r="AM39" s="209"/>
      <c r="AN39" s="209"/>
      <c r="AO39" s="209"/>
      <c r="AP39" s="209"/>
    </row>
    <row r="40" spans="3:42" ht="58.05" customHeight="1" x14ac:dyDescent="0.3">
      <c r="D40" s="9" t="s">
        <v>415</v>
      </c>
      <c r="E40" s="9"/>
      <c r="F40" s="9" t="s">
        <v>113</v>
      </c>
      <c r="H40" s="150">
        <f t="shared" ref="H40:V40" si="11">1-H13</f>
        <v>0.91663485885395035</v>
      </c>
      <c r="I40" s="150">
        <f t="shared" si="11"/>
        <v>0.93443810871196775</v>
      </c>
      <c r="J40" s="150">
        <f t="shared" si="11"/>
        <v>0.69442909475148329</v>
      </c>
      <c r="K40" s="150">
        <f t="shared" si="11"/>
        <v>0.70944653606877295</v>
      </c>
      <c r="L40" s="150">
        <f t="shared" si="11"/>
        <v>0.7349023793479299</v>
      </c>
      <c r="M40" s="150">
        <f t="shared" si="11"/>
        <v>0.72990237934793001</v>
      </c>
      <c r="N40" s="150">
        <f t="shared" si="11"/>
        <v>0.72990237934793001</v>
      </c>
      <c r="O40" s="150">
        <f t="shared" si="11"/>
        <v>0.72490237934792989</v>
      </c>
      <c r="P40" s="150">
        <f t="shared" si="11"/>
        <v>0.72490237934792989</v>
      </c>
      <c r="Q40" s="150">
        <f t="shared" si="11"/>
        <v>0.71990237934793</v>
      </c>
      <c r="R40" s="150">
        <f t="shared" si="11"/>
        <v>0.71990237934793</v>
      </c>
      <c r="S40" s="150">
        <f t="shared" si="11"/>
        <v>0.71490237934792988</v>
      </c>
      <c r="T40" s="150">
        <f t="shared" si="11"/>
        <v>0.71490237934792988</v>
      </c>
      <c r="U40" s="150">
        <f t="shared" si="11"/>
        <v>0.70990237934792999</v>
      </c>
      <c r="V40" s="150">
        <f t="shared" si="11"/>
        <v>0.70990237934792999</v>
      </c>
      <c r="X40" s="9"/>
      <c r="Y40" s="209" t="s">
        <v>527</v>
      </c>
      <c r="Z40" s="209"/>
      <c r="AA40" s="209"/>
      <c r="AB40" s="209"/>
      <c r="AC40" s="209"/>
      <c r="AD40" s="209"/>
      <c r="AE40" s="209"/>
      <c r="AF40" s="209"/>
      <c r="AG40" s="209"/>
      <c r="AH40" s="209"/>
      <c r="AI40" s="209"/>
      <c r="AJ40" s="209"/>
      <c r="AK40" s="209"/>
      <c r="AL40" s="209"/>
      <c r="AM40" s="209"/>
      <c r="AN40" s="209"/>
      <c r="AO40" s="209"/>
      <c r="AP40" s="209"/>
    </row>
    <row r="41" spans="3:42" ht="55.8" customHeight="1" x14ac:dyDescent="0.3">
      <c r="D41" s="9" t="s">
        <v>416</v>
      </c>
      <c r="E41" s="9"/>
      <c r="F41" s="9"/>
      <c r="H41" s="151"/>
      <c r="I41" s="150">
        <f>'Financial Statements'!I23/AVERAGE('Financial Statements'!H53:I53)</f>
        <v>0.42843772665494328</v>
      </c>
      <c r="J41" s="150">
        <f>'Financial Statements'!J23/AVERAGE('Financial Statements'!I53:J53)</f>
        <v>0.60157012558202549</v>
      </c>
      <c r="K41" s="150">
        <f>'Financial Statements'!K23/AVERAGE('Financial Statements'!J53:K53)</f>
        <v>9.2770443338945102E-2</v>
      </c>
      <c r="L41" s="150">
        <f>'Financial Statements'!L23/AVERAGE('Financial Statements'!K53:L53)</f>
        <v>-7.2064788460054707E-2</v>
      </c>
      <c r="M41" s="150">
        <f>'Financial Statements'!M23/AVERAGE('Financial Statements'!L53:M53)</f>
        <v>8.598402782131187E-2</v>
      </c>
      <c r="N41" s="150">
        <f>'Financial Statements'!N23/AVERAGE('Financial Statements'!M53:N53)</f>
        <v>9.7011689820110075E-2</v>
      </c>
      <c r="O41" s="150">
        <f>'Financial Statements'!O23/AVERAGE('Financial Statements'!N53:O53)</f>
        <v>7.9320574431331128E-2</v>
      </c>
      <c r="P41" s="150">
        <f>'Financial Statements'!P23/AVERAGE('Financial Statements'!O53:P53)</f>
        <v>8.9553286462207643E-2</v>
      </c>
      <c r="Q41" s="150">
        <f>'Financial Statements'!Q23/AVERAGE('Financial Statements'!P53:Q53)</f>
        <v>9.6546098214904286E-2</v>
      </c>
      <c r="R41" s="150">
        <f>'Financial Statements'!R23/AVERAGE('Financial Statements'!Q53:R53)</f>
        <v>7.7859954963152317E-2</v>
      </c>
      <c r="S41" s="150">
        <f>'Financial Statements'!S23/AVERAGE('Financial Statements'!R53:S53)</f>
        <v>8.5867749324966783E-2</v>
      </c>
      <c r="T41" s="150">
        <f>'Financial Statements'!T23/AVERAGE('Financial Statements'!S53:T53)</f>
        <v>9.1805803089596988E-2</v>
      </c>
      <c r="U41" s="150">
        <f>'Financial Statements'!U23/AVERAGE('Financial Statements'!T53:U53)</f>
        <v>7.4674404996869573E-2</v>
      </c>
      <c r="V41" s="150">
        <f>'Financial Statements'!V23/AVERAGE('Financial Statements'!U53:V53)</f>
        <v>8.1875291860674632E-2</v>
      </c>
      <c r="X41" s="9"/>
      <c r="Y41" s="209" t="s">
        <v>528</v>
      </c>
      <c r="Z41" s="209"/>
      <c r="AA41" s="209"/>
      <c r="AB41" s="209"/>
      <c r="AC41" s="209"/>
      <c r="AD41" s="209"/>
      <c r="AE41" s="209"/>
      <c r="AF41" s="209"/>
      <c r="AG41" s="209"/>
      <c r="AH41" s="209"/>
      <c r="AI41" s="209"/>
      <c r="AJ41" s="209"/>
      <c r="AK41" s="209"/>
      <c r="AL41" s="209"/>
      <c r="AM41" s="209"/>
      <c r="AN41" s="209"/>
      <c r="AO41" s="209"/>
      <c r="AP41" s="209"/>
    </row>
    <row r="42" spans="3:42" ht="56.4" customHeight="1" x14ac:dyDescent="0.3">
      <c r="D42" s="9" t="s">
        <v>417</v>
      </c>
      <c r="E42" s="9"/>
      <c r="F42" s="9" t="s">
        <v>113</v>
      </c>
      <c r="H42" s="150">
        <f t="shared" ref="H42:V42" si="12">1-H14</f>
        <v>0.93401991718766442</v>
      </c>
      <c r="I42" s="150">
        <f t="shared" si="12"/>
        <v>0.94807101116127079</v>
      </c>
      <c r="J42" s="150">
        <f t="shared" si="12"/>
        <v>0.97270689387469922</v>
      </c>
      <c r="K42" s="150">
        <f t="shared" si="12"/>
        <v>0.73394820858460141</v>
      </c>
      <c r="L42" s="150">
        <f t="shared" si="12"/>
        <v>1.1730822486845742</v>
      </c>
      <c r="M42" s="150">
        <f t="shared" si="12"/>
        <v>0.89718650770205899</v>
      </c>
      <c r="N42" s="150">
        <f t="shared" si="12"/>
        <v>0.89718650770205899</v>
      </c>
      <c r="O42" s="150">
        <f t="shared" si="12"/>
        <v>0.89718650770205899</v>
      </c>
      <c r="P42" s="150">
        <f t="shared" si="12"/>
        <v>0.89718650770205899</v>
      </c>
      <c r="Q42" s="150">
        <f t="shared" si="12"/>
        <v>0.89718650770205899</v>
      </c>
      <c r="R42" s="150">
        <f t="shared" si="12"/>
        <v>0.89718650770205899</v>
      </c>
      <c r="S42" s="150">
        <f t="shared" si="12"/>
        <v>0.89718650770205899</v>
      </c>
      <c r="T42" s="150">
        <f t="shared" si="12"/>
        <v>0.89718650770205899</v>
      </c>
      <c r="U42" s="150">
        <f t="shared" si="12"/>
        <v>0.89718650770205899</v>
      </c>
      <c r="V42" s="150">
        <f t="shared" si="12"/>
        <v>0.89718650770205899</v>
      </c>
      <c r="X42" s="9"/>
      <c r="Y42" s="209" t="s">
        <v>529</v>
      </c>
      <c r="Z42" s="209"/>
      <c r="AA42" s="209"/>
      <c r="AB42" s="209"/>
      <c r="AC42" s="209"/>
      <c r="AD42" s="209"/>
      <c r="AE42" s="209"/>
      <c r="AF42" s="209"/>
      <c r="AG42" s="209"/>
      <c r="AH42" s="209"/>
      <c r="AI42" s="209"/>
      <c r="AJ42" s="209"/>
      <c r="AK42" s="209"/>
      <c r="AL42" s="209"/>
      <c r="AM42" s="209"/>
      <c r="AN42" s="209"/>
      <c r="AO42" s="209"/>
      <c r="AP42" s="209"/>
    </row>
    <row r="43" spans="3:42" ht="58.05" customHeight="1" x14ac:dyDescent="0.3">
      <c r="D43" s="9" t="s">
        <v>418</v>
      </c>
      <c r="E43" s="9"/>
      <c r="F43" s="9" t="s">
        <v>113</v>
      </c>
      <c r="H43" s="150"/>
      <c r="I43" s="150">
        <f>('Financial Statements'!H23+'Financial Statements'!H78)/AVERAGE('Financial Statements'!H53:I53)</f>
        <v>0.15747472465209633</v>
      </c>
      <c r="J43" s="150">
        <f>('Financial Statements'!I23+'Financial Statements'!I78)/AVERAGE('Financial Statements'!I53:J53)</f>
        <v>0.2398060927597693</v>
      </c>
      <c r="K43" s="150">
        <f>('Financial Statements'!J23+'Financial Statements'!J78)/AVERAGE('Financial Statements'!J53:K53)</f>
        <v>0.43981987812703982</v>
      </c>
      <c r="L43" s="150">
        <f>('Financial Statements'!K23+'Financial Statements'!K78)/AVERAGE('Financial Statements'!K53:L53)</f>
        <v>6.8818447024762502E-2</v>
      </c>
      <c r="M43" s="150">
        <f>('Financial Statements'!L23+'Financial Statements'!L78)/AVERAGE('Financial Statements'!L53:M53)</f>
        <v>-8.4845601728089415E-2</v>
      </c>
      <c r="N43" s="150">
        <f>('Financial Statements'!M23+'Financial Statements'!M78)/AVERAGE('Financial Statements'!M53:N53)</f>
        <v>7.1046127841951412E-2</v>
      </c>
      <c r="O43" s="150">
        <f>('Financial Statements'!N23+'Financial Statements'!N78)/AVERAGE('Financial Statements'!N53:O53)</f>
        <v>8.0439902161634227E-2</v>
      </c>
      <c r="P43" s="150">
        <f>('Financial Statements'!O23+'Financial Statements'!O78)/AVERAGE('Financial Statements'!O53:P53)</f>
        <v>6.5959411310887547E-2</v>
      </c>
      <c r="Q43" s="150">
        <f>('Financial Statements'!P23+'Financial Statements'!P78)/AVERAGE('Financial Statements'!P53:Q53)</f>
        <v>7.3897535126029187E-2</v>
      </c>
      <c r="R43" s="150">
        <f>('Financial Statements'!Q23+'Financial Statements'!Q78)/AVERAGE('Financial Statements'!Q53:R53)</f>
        <v>8.0124269556082067E-2</v>
      </c>
      <c r="S43" s="150">
        <f>('Financial Statements'!R23+'Financial Statements'!R78)/AVERAGE('Financial Statements'!R53:S53)</f>
        <v>6.4897410633838193E-2</v>
      </c>
      <c r="T43" s="150">
        <f>('Financial Statements'!S23+'Financial Statements'!S78)/AVERAGE('Financial Statements'!S53:T53)</f>
        <v>7.1126852821003561E-2</v>
      </c>
      <c r="U43" s="150">
        <f>('Financial Statements'!T23+'Financial Statements'!T78)/AVERAGE('Financial Statements'!T53:U53)</f>
        <v>7.6458921502072189E-2</v>
      </c>
      <c r="V43" s="150">
        <f>('Financial Statements'!U23+'Financial Statements'!U78)/AVERAGE('Financial Statements'!U53:V53)</f>
        <v>6.2444371816871784E-2</v>
      </c>
      <c r="X43" s="9"/>
      <c r="Y43" s="209" t="s">
        <v>530</v>
      </c>
      <c r="Z43" s="209"/>
      <c r="AA43" s="209"/>
      <c r="AB43" s="209"/>
      <c r="AC43" s="209"/>
      <c r="AD43" s="209"/>
      <c r="AE43" s="209"/>
      <c r="AF43" s="209"/>
      <c r="AG43" s="209"/>
      <c r="AH43" s="209"/>
      <c r="AI43" s="209"/>
      <c r="AJ43" s="209"/>
      <c r="AK43" s="209"/>
      <c r="AL43" s="209"/>
      <c r="AM43" s="209"/>
      <c r="AN43" s="209"/>
      <c r="AO43" s="209"/>
      <c r="AP43" s="209"/>
    </row>
    <row r="44" spans="3:42" x14ac:dyDescent="0.3">
      <c r="D44" s="9"/>
      <c r="E44" s="9"/>
      <c r="F44" s="9"/>
      <c r="H44" s="151"/>
      <c r="I44" s="151"/>
      <c r="J44" s="151"/>
      <c r="K44" s="151"/>
      <c r="L44" s="151"/>
      <c r="M44" s="151"/>
      <c r="N44" s="151"/>
      <c r="O44" s="151"/>
      <c r="P44" s="151"/>
      <c r="Q44" s="151"/>
      <c r="R44" s="151"/>
      <c r="S44" s="151"/>
      <c r="T44" s="151"/>
      <c r="U44" s="151"/>
      <c r="V44" s="151"/>
      <c r="Y44" s="209"/>
      <c r="Z44" s="209"/>
      <c r="AA44" s="209"/>
      <c r="AB44" s="209"/>
      <c r="AC44" s="209"/>
      <c r="AD44" s="209"/>
      <c r="AE44" s="209"/>
      <c r="AF44" s="209"/>
      <c r="AG44" s="209"/>
      <c r="AH44" s="209"/>
      <c r="AI44" s="209"/>
      <c r="AJ44" s="209"/>
      <c r="AK44" s="209"/>
      <c r="AL44" s="209"/>
      <c r="AM44" s="209"/>
      <c r="AN44" s="209"/>
      <c r="AO44" s="209"/>
      <c r="AP44" s="209"/>
    </row>
    <row r="45" spans="3:42" x14ac:dyDescent="0.3">
      <c r="C45" s="10" t="s">
        <v>419</v>
      </c>
      <c r="D45" s="9"/>
      <c r="E45" s="9"/>
      <c r="F45" s="9"/>
      <c r="H45" s="151"/>
      <c r="I45" s="151"/>
      <c r="J45" s="151"/>
      <c r="K45" s="151"/>
      <c r="L45" s="151"/>
      <c r="M45" s="151"/>
      <c r="N45" s="151"/>
      <c r="O45" s="151"/>
      <c r="P45" s="151"/>
      <c r="Q45" s="151"/>
      <c r="R45" s="151"/>
      <c r="S45" s="151"/>
      <c r="T45" s="151"/>
      <c r="U45" s="151"/>
      <c r="V45" s="151"/>
      <c r="Y45" s="209"/>
      <c r="Z45" s="209"/>
      <c r="AA45" s="209"/>
      <c r="AB45" s="209"/>
      <c r="AC45" s="209"/>
      <c r="AD45" s="209"/>
      <c r="AE45" s="209"/>
      <c r="AF45" s="209"/>
      <c r="AG45" s="209"/>
      <c r="AH45" s="209"/>
      <c r="AI45" s="209"/>
      <c r="AJ45" s="209"/>
      <c r="AK45" s="209"/>
      <c r="AL45" s="209"/>
      <c r="AM45" s="209"/>
      <c r="AN45" s="209"/>
      <c r="AO45" s="209"/>
      <c r="AP45" s="209"/>
    </row>
    <row r="46" spans="3:42" ht="57.6" customHeight="1" x14ac:dyDescent="0.3">
      <c r="D46" s="9" t="s">
        <v>420</v>
      </c>
      <c r="E46" s="9"/>
      <c r="F46" s="9" t="s">
        <v>126</v>
      </c>
      <c r="H46" s="182">
        <f t="shared" ref="H46:V46" si="13">365/H15</f>
        <v>22.658708169755144</v>
      </c>
      <c r="I46" s="182">
        <f t="shared" si="13"/>
        <v>14.645230470798182</v>
      </c>
      <c r="J46" s="182">
        <f t="shared" si="13"/>
        <v>10.35828633756549</v>
      </c>
      <c r="K46" s="182">
        <f t="shared" si="13"/>
        <v>8.9884333184609471</v>
      </c>
      <c r="L46" s="182">
        <f t="shared" si="13"/>
        <v>11.686688472100087</v>
      </c>
      <c r="M46" s="182">
        <f t="shared" si="13"/>
        <v>12.322028138655064</v>
      </c>
      <c r="N46" s="182">
        <f t="shared" si="13"/>
        <v>12.322028138655064</v>
      </c>
      <c r="O46" s="182">
        <f t="shared" si="13"/>
        <v>12.322028138655064</v>
      </c>
      <c r="P46" s="182">
        <f t="shared" si="13"/>
        <v>12.322028138655064</v>
      </c>
      <c r="Q46" s="182">
        <f t="shared" si="13"/>
        <v>12.322028138655064</v>
      </c>
      <c r="R46" s="182">
        <f t="shared" si="13"/>
        <v>12.322028138655064</v>
      </c>
      <c r="S46" s="182">
        <f t="shared" si="13"/>
        <v>12.322028138655064</v>
      </c>
      <c r="T46" s="182">
        <f t="shared" si="13"/>
        <v>12.322028138655064</v>
      </c>
      <c r="U46" s="182">
        <f t="shared" si="13"/>
        <v>12.322028138655064</v>
      </c>
      <c r="V46" s="182">
        <f t="shared" si="13"/>
        <v>12.322028138655064</v>
      </c>
      <c r="Y46" s="209" t="s">
        <v>531</v>
      </c>
      <c r="Z46" s="209"/>
      <c r="AA46" s="209"/>
      <c r="AB46" s="209"/>
      <c r="AC46" s="209"/>
      <c r="AD46" s="209"/>
      <c r="AE46" s="209"/>
      <c r="AF46" s="209"/>
      <c r="AG46" s="209"/>
      <c r="AH46" s="209"/>
      <c r="AI46" s="209"/>
      <c r="AJ46" s="209"/>
      <c r="AK46" s="209"/>
      <c r="AL46" s="209"/>
      <c r="AM46" s="209"/>
      <c r="AN46" s="209"/>
      <c r="AO46" s="209"/>
      <c r="AP46" s="209"/>
    </row>
    <row r="47" spans="3:42" ht="58.05" customHeight="1" x14ac:dyDescent="0.3">
      <c r="D47" s="9" t="s">
        <v>421</v>
      </c>
      <c r="E47" s="9"/>
      <c r="F47" s="9" t="s">
        <v>126</v>
      </c>
      <c r="H47" s="182">
        <f t="shared" ref="H47:V47" si="14">365/H16</f>
        <v>1.2502094116194793</v>
      </c>
      <c r="I47" s="182">
        <f t="shared" si="14"/>
        <v>1.2037575491991013</v>
      </c>
      <c r="J47" s="182">
        <f t="shared" si="14"/>
        <v>3.9302452586091272</v>
      </c>
      <c r="K47" s="182">
        <f t="shared" si="14"/>
        <v>1.9489929036724356</v>
      </c>
      <c r="L47" s="182">
        <f t="shared" si="14"/>
        <v>2.2176693222171342</v>
      </c>
      <c r="M47" s="182">
        <f t="shared" si="14"/>
        <v>1.7549743604375923</v>
      </c>
      <c r="N47" s="182">
        <f t="shared" si="14"/>
        <v>1.7549743604375923</v>
      </c>
      <c r="O47" s="182">
        <f t="shared" si="14"/>
        <v>1.7549743604375923</v>
      </c>
      <c r="P47" s="182">
        <f t="shared" si="14"/>
        <v>1.7549743604375923</v>
      </c>
      <c r="Q47" s="182">
        <f t="shared" si="14"/>
        <v>1.7549743604375923</v>
      </c>
      <c r="R47" s="182">
        <f t="shared" si="14"/>
        <v>1.7549743604375923</v>
      </c>
      <c r="S47" s="182">
        <f t="shared" si="14"/>
        <v>1.7549743604375923</v>
      </c>
      <c r="T47" s="182">
        <f t="shared" si="14"/>
        <v>1.7549743604375923</v>
      </c>
      <c r="U47" s="182">
        <f t="shared" si="14"/>
        <v>1.7549743604375923</v>
      </c>
      <c r="V47" s="182">
        <f t="shared" si="14"/>
        <v>1.7549743604375923</v>
      </c>
      <c r="Y47" s="209" t="s">
        <v>532</v>
      </c>
      <c r="Z47" s="209"/>
      <c r="AA47" s="209"/>
      <c r="AB47" s="209"/>
      <c r="AC47" s="209"/>
      <c r="AD47" s="209"/>
      <c r="AE47" s="209"/>
      <c r="AF47" s="209"/>
      <c r="AG47" s="209"/>
      <c r="AH47" s="209"/>
      <c r="AI47" s="209"/>
      <c r="AJ47" s="209"/>
      <c r="AK47" s="209"/>
      <c r="AL47" s="209"/>
      <c r="AM47" s="209"/>
      <c r="AN47" s="209"/>
      <c r="AO47" s="209"/>
      <c r="AP47" s="209"/>
    </row>
    <row r="48" spans="3:42" ht="57.6" customHeight="1" x14ac:dyDescent="0.3">
      <c r="D48" s="9" t="s">
        <v>422</v>
      </c>
      <c r="E48" s="9"/>
      <c r="F48" s="9" t="s">
        <v>126</v>
      </c>
      <c r="H48" s="182">
        <f t="shared" ref="H48:V48" si="15">365/H17</f>
        <v>6.7577603382522797</v>
      </c>
      <c r="I48" s="182">
        <f t="shared" si="15"/>
        <v>3.997897624544489</v>
      </c>
      <c r="J48" s="182">
        <f t="shared" si="15"/>
        <v>9.196556291899773</v>
      </c>
      <c r="K48" s="182">
        <f t="shared" si="15"/>
        <v>5.1099959083005295</v>
      </c>
      <c r="L48" s="182">
        <f t="shared" si="15"/>
        <v>9.8660202594645021</v>
      </c>
      <c r="M48" s="182">
        <f t="shared" si="15"/>
        <v>6.2196890683227348</v>
      </c>
      <c r="N48" s="182">
        <f t="shared" si="15"/>
        <v>6.2196890683227348</v>
      </c>
      <c r="O48" s="182">
        <f t="shared" si="15"/>
        <v>6.2196890683227348</v>
      </c>
      <c r="P48" s="182">
        <f t="shared" si="15"/>
        <v>6.2196890683227348</v>
      </c>
      <c r="Q48" s="182">
        <f t="shared" si="15"/>
        <v>6.2196890683227348</v>
      </c>
      <c r="R48" s="182">
        <f t="shared" si="15"/>
        <v>6.2196890683227348</v>
      </c>
      <c r="S48" s="182">
        <f t="shared" si="15"/>
        <v>6.2196890683227348</v>
      </c>
      <c r="T48" s="182">
        <f t="shared" si="15"/>
        <v>6.2196890683227348</v>
      </c>
      <c r="U48" s="182">
        <f t="shared" si="15"/>
        <v>6.2196890683227348</v>
      </c>
      <c r="V48" s="182">
        <f t="shared" si="15"/>
        <v>6.2196890683227348</v>
      </c>
      <c r="Y48" s="209" t="s">
        <v>533</v>
      </c>
      <c r="Z48" s="209"/>
      <c r="AA48" s="209"/>
      <c r="AB48" s="209"/>
      <c r="AC48" s="209"/>
      <c r="AD48" s="209"/>
      <c r="AE48" s="209"/>
      <c r="AF48" s="209"/>
      <c r="AG48" s="209"/>
      <c r="AH48" s="209"/>
      <c r="AI48" s="209"/>
      <c r="AJ48" s="209"/>
      <c r="AK48" s="209"/>
      <c r="AL48" s="209"/>
      <c r="AM48" s="209"/>
      <c r="AN48" s="209"/>
      <c r="AO48" s="209"/>
      <c r="AP48" s="209"/>
    </row>
    <row r="49" spans="4:42" ht="57.6" customHeight="1" x14ac:dyDescent="0.3">
      <c r="D49" s="9" t="s">
        <v>423</v>
      </c>
      <c r="E49" s="9"/>
      <c r="F49" s="9" t="s">
        <v>113</v>
      </c>
      <c r="H49" s="26">
        <f>'Financial Statements'!H23/SUM('Financial Statements'!H53:H54,'Financial Statements'!H47)</f>
        <v>2.6865676815547464E-2</v>
      </c>
      <c r="I49" s="26">
        <f>'Financial Statements'!I23/SUM('Financial Statements'!I53:I54,'Financial Statements'!I47)</f>
        <v>5.6902810009958768E-2</v>
      </c>
      <c r="J49" s="26">
        <f>'Financial Statements'!J23/SUM('Financial Statements'!J53:J54,'Financial Statements'!J47)</f>
        <v>0.18141681802633339</v>
      </c>
      <c r="K49" s="26">
        <f>'Financial Statements'!K23/SUM('Financial Statements'!K53:K54,'Financial Statements'!K47)</f>
        <v>2.8234934957820559E-2</v>
      </c>
      <c r="L49" s="26">
        <f>'Financial Statements'!L23/SUM('Financial Statements'!L53:L54,'Financial Statements'!L47)</f>
        <v>-1.9649188910938371E-2</v>
      </c>
      <c r="M49" s="26">
        <f>'Financial Statements'!M23/SUM('Financial Statements'!M53:M54,'Financial Statements'!M47)</f>
        <v>2.2879881978652039E-2</v>
      </c>
      <c r="N49" s="26">
        <f>'Financial Statements'!N23/SUM('Financial Statements'!N53:N54,'Financial Statements'!N47)</f>
        <v>2.7342210025781164E-2</v>
      </c>
      <c r="O49" s="26">
        <f>'Financial Statements'!O23/SUM('Financial Statements'!O53:O54,'Financial Statements'!O47)</f>
        <v>2.3675880130581431E-2</v>
      </c>
      <c r="P49" s="26">
        <f>'Financial Statements'!P23/SUM('Financial Statements'!P53:P54,'Financial Statements'!P47)</f>
        <v>2.8112487692267235E-2</v>
      </c>
      <c r="Q49" s="26">
        <f>'Financial Statements'!Q23/SUM('Financial Statements'!Q53:Q54,'Financial Statements'!Q47)</f>
        <v>3.2006136742037027E-2</v>
      </c>
      <c r="R49" s="26">
        <f>'Financial Statements'!R23/SUM('Financial Statements'!R53:R54,'Financial Statements'!R47)</f>
        <v>2.7222457671574097E-2</v>
      </c>
      <c r="S49" s="26">
        <f>'Financial Statements'!S23/SUM('Financial Statements'!S53:S54,'Financial Statements'!S47)</f>
        <v>3.1405107840705514E-2</v>
      </c>
      <c r="T49" s="26">
        <f>'Financial Statements'!T23/SUM('Financial Statements'!T53:T54,'Financial Statements'!T47)</f>
        <v>3.5218859910397964E-2</v>
      </c>
      <c r="U49" s="26">
        <f>'Financial Statements'!U23/SUM('Financial Statements'!U53:U54,'Financial Statements'!U47)</f>
        <v>3.0028977128651265E-2</v>
      </c>
      <c r="V49" s="26">
        <f>'Financial Statements'!V23/SUM('Financial Statements'!V53:V54,'Financial Statements'!V47)</f>
        <v>3.4239883722503091E-2</v>
      </c>
      <c r="Y49" s="209" t="s">
        <v>534</v>
      </c>
      <c r="Z49" s="209"/>
      <c r="AA49" s="209"/>
      <c r="AB49" s="209"/>
      <c r="AC49" s="209"/>
      <c r="AD49" s="209"/>
      <c r="AE49" s="209"/>
      <c r="AF49" s="209"/>
      <c r="AG49" s="209"/>
      <c r="AH49" s="209"/>
      <c r="AI49" s="209"/>
      <c r="AJ49" s="209"/>
      <c r="AK49" s="209"/>
      <c r="AL49" s="209"/>
      <c r="AM49" s="209"/>
      <c r="AN49" s="209"/>
      <c r="AO49" s="209"/>
      <c r="AP49" s="209"/>
    </row>
    <row r="50" spans="4:42" x14ac:dyDescent="0.3">
      <c r="D50" s="9"/>
      <c r="E50" s="9"/>
      <c r="F50" s="9"/>
      <c r="H50" s="28"/>
      <c r="I50" s="28"/>
      <c r="J50" s="28"/>
      <c r="K50" s="28"/>
      <c r="L50" s="28"/>
      <c r="M50" s="28"/>
      <c r="N50" s="28"/>
      <c r="O50" s="28"/>
      <c r="P50" s="28"/>
      <c r="Q50" s="28"/>
      <c r="R50" s="28"/>
      <c r="S50" s="28"/>
      <c r="T50" s="28"/>
      <c r="U50" s="28"/>
      <c r="V50" s="28"/>
    </row>
    <row r="52" spans="4:42" x14ac:dyDescent="0.3">
      <c r="D52" s="179" t="s">
        <v>392</v>
      </c>
    </row>
  </sheetData>
  <mergeCells count="47">
    <mergeCell ref="Y45:AP45"/>
    <mergeCell ref="Y46:AP46"/>
    <mergeCell ref="Y47:AP47"/>
    <mergeCell ref="Y48:AP48"/>
    <mergeCell ref="Y39:AP39"/>
    <mergeCell ref="Y40:AP40"/>
    <mergeCell ref="Y41:AP41"/>
    <mergeCell ref="Y42:AP42"/>
    <mergeCell ref="Y43:AP43"/>
    <mergeCell ref="Y44:AP44"/>
    <mergeCell ref="Y22:AP22"/>
    <mergeCell ref="Y23:AP23"/>
    <mergeCell ref="Y24:AP24"/>
    <mergeCell ref="Y25:AP25"/>
    <mergeCell ref="Y38:AP38"/>
    <mergeCell ref="Y27:AP27"/>
    <mergeCell ref="Y28:AP28"/>
    <mergeCell ref="Y29:AP29"/>
    <mergeCell ref="Y30:AP30"/>
    <mergeCell ref="Y31:AP31"/>
    <mergeCell ref="Y32:AP32"/>
    <mergeCell ref="Y33:AP33"/>
    <mergeCell ref="Y34:AP34"/>
    <mergeCell ref="Y35:AP35"/>
    <mergeCell ref="Y36:AP36"/>
    <mergeCell ref="Y37:AP37"/>
    <mergeCell ref="Y17:AP17"/>
    <mergeCell ref="Y18:AP18"/>
    <mergeCell ref="Y19:AP19"/>
    <mergeCell ref="Y20:AP20"/>
    <mergeCell ref="Y21:AP21"/>
    <mergeCell ref="Y49:AP49"/>
    <mergeCell ref="Y15:AP15"/>
    <mergeCell ref="H1:L1"/>
    <mergeCell ref="M1:Q1"/>
    <mergeCell ref="Y6:AP6"/>
    <mergeCell ref="Y7:AP7"/>
    <mergeCell ref="Y8:AP8"/>
    <mergeCell ref="Y9:AP9"/>
    <mergeCell ref="Y10:AP10"/>
    <mergeCell ref="Y11:AP11"/>
    <mergeCell ref="Y12:AP12"/>
    <mergeCell ref="Y13:AP13"/>
    <mergeCell ref="Y14:AP14"/>
    <mergeCell ref="Y4:AP4"/>
    <mergeCell ref="Y26:AP26"/>
    <mergeCell ref="Y16:AP16"/>
  </mergeCells>
  <hyperlinks>
    <hyperlink ref="D52" location="'Cover page'!A1" display="Back to Cover" xr:uid="{8E354A7D-FDB4-43B8-BFDB-B859F912C229}"/>
  </hyperlinks>
  <pageMargins left="0" right="0" top="0" bottom="0" header="0" footer="0"/>
  <pageSetup scale="29" fitToHeight="0" orientation="landscape" r:id="rId1"/>
  <extLst>
    <ext xmlns:x14="http://schemas.microsoft.com/office/spreadsheetml/2009/9/main" uri="{05C60535-1F16-4fd2-B633-F4F36F0B64E0}">
      <x14:sparklineGroups xmlns:xm="http://schemas.microsoft.com/office/excel/2006/main">
        <x14:sparklineGroup displayEmptyCellsAs="gap" xr2:uid="{17692888-B295-46FB-9E39-E973832A015A}">
          <x14:colorSeries rgb="FF376092"/>
          <x14:colorNegative rgb="FFD00000"/>
          <x14:colorAxis rgb="FF000000"/>
          <x14:colorMarkers rgb="FFD00000"/>
          <x14:colorFirst rgb="FFD00000"/>
          <x14:colorLast rgb="FFD00000"/>
          <x14:colorHigh rgb="FFD00000"/>
          <x14:colorLow rgb="FFD00000"/>
          <x14:sparklines>
            <x14:sparkline>
              <xm:f>'Ratio Analysis &amp; Interpretation'!H6:V6</xm:f>
              <xm:sqref>W6</xm:sqref>
            </x14:sparkline>
            <x14:sparkline>
              <xm:f>'Ratio Analysis &amp; Interpretation'!H7:V7</xm:f>
              <xm:sqref>W7</xm:sqref>
            </x14:sparkline>
            <x14:sparkline>
              <xm:f>'Ratio Analysis &amp; Interpretation'!H8:V8</xm:f>
              <xm:sqref>W8</xm:sqref>
            </x14:sparkline>
            <x14:sparkline>
              <xm:f>'Ratio Analysis &amp; Interpretation'!H9:V9</xm:f>
              <xm:sqref>W9</xm:sqref>
            </x14:sparkline>
            <x14:sparkline>
              <xm:f>'Ratio Analysis &amp; Interpretation'!H10:V10</xm:f>
              <xm:sqref>W10</xm:sqref>
            </x14:sparkline>
            <x14:sparkline>
              <xm:f>'Ratio Analysis &amp; Interpretation'!H11:V11</xm:f>
              <xm:sqref>W11</xm:sqref>
            </x14:sparkline>
            <x14:sparkline>
              <xm:f>'Ratio Analysis &amp; Interpretation'!H12:V12</xm:f>
              <xm:sqref>W12</xm:sqref>
            </x14:sparkline>
            <x14:sparkline>
              <xm:f>'Ratio Analysis &amp; Interpretation'!H13:V13</xm:f>
              <xm:sqref>W13</xm:sqref>
            </x14:sparkline>
            <x14:sparkline>
              <xm:f>'Ratio Analysis &amp; Interpretation'!H14:V14</xm:f>
              <xm:sqref>W14</xm:sqref>
            </x14:sparkline>
            <x14:sparkline>
              <xm:f>'Ratio Analysis &amp; Interpretation'!H15:V15</xm:f>
              <xm:sqref>W15</xm:sqref>
            </x14:sparkline>
            <x14:sparkline>
              <xm:f>'Ratio Analysis &amp; Interpretation'!H16:V16</xm:f>
              <xm:sqref>W16</xm:sqref>
            </x14:sparkline>
            <x14:sparkline>
              <xm:f>'Ratio Analysis &amp; Interpretation'!H17:V17</xm:f>
              <xm:sqref>W17</xm:sqref>
            </x14:sparkline>
            <x14:sparkline>
              <xm:f>'Ratio Analysis &amp; Interpretation'!H18:V18</xm:f>
              <xm:sqref>W18</xm:sqref>
            </x14:sparkline>
            <x14:sparkline>
              <xm:f>'Ratio Analysis &amp; Interpretation'!H19:V19</xm:f>
              <xm:sqref>W19</xm:sqref>
            </x14:sparkline>
            <x14:sparkline>
              <xm:f>'Ratio Analysis &amp; Interpretation'!H20:V20</xm:f>
              <xm:sqref>W20</xm:sqref>
            </x14:sparkline>
            <x14:sparkline>
              <xm:f>'Ratio Analysis &amp; Interpretation'!H21:V21</xm:f>
              <xm:sqref>W21</xm:sqref>
            </x14:sparkline>
            <x14:sparkline>
              <xm:f>'Ratio Analysis &amp; Interpretation'!H22:V22</xm:f>
              <xm:sqref>W22</xm:sqref>
            </x14:sparkline>
            <x14:sparkline>
              <xm:f>'Ratio Analysis &amp; Interpretation'!H23:V23</xm:f>
              <xm:sqref>W23</xm:sqref>
            </x14:sparkline>
            <x14:sparkline>
              <xm:f>'Ratio Analysis &amp; Interpretation'!H24:V24</xm:f>
              <xm:sqref>W24</xm:sqref>
            </x14:sparkline>
            <x14:sparkline>
              <xm:f>'Ratio Analysis &amp; Interpretation'!H25:V25</xm:f>
              <xm:sqref>W25</xm:sqref>
            </x14:sparkline>
            <x14:sparkline>
              <xm:f>'Ratio Analysis &amp; Interpretation'!H26:V26</xm:f>
              <xm:sqref>W26</xm:sqref>
            </x14:sparkline>
            <x14:sparkline>
              <xm:f>'Ratio Analysis &amp; Interpretation'!H27:V27</xm:f>
              <xm:sqref>W27</xm:sqref>
            </x14:sparkline>
            <x14:sparkline>
              <xm:f>'Ratio Analysis &amp; Interpretation'!H28:V28</xm:f>
              <xm:sqref>W28</xm:sqref>
            </x14:sparkline>
            <x14:sparkline>
              <xm:f>'Ratio Analysis &amp; Interpretation'!H29:V29</xm:f>
              <xm:sqref>W29</xm:sqref>
            </x14:sparkline>
            <x14:sparkline>
              <xm:f>'Ratio Analysis &amp; Interpretation'!H30:V30</xm:f>
              <xm:sqref>W30</xm:sqref>
            </x14:sparkline>
            <x14:sparkline>
              <xm:f>'Ratio Analysis &amp; Interpretation'!H31:V31</xm:f>
              <xm:sqref>W31</xm:sqref>
            </x14:sparkline>
            <x14:sparkline>
              <xm:f>'Ratio Analysis &amp; Interpretation'!H32:V32</xm:f>
              <xm:sqref>W32</xm:sqref>
            </x14:sparkline>
            <x14:sparkline>
              <xm:f>'Ratio Analysis &amp; Interpretation'!H33:V33</xm:f>
              <xm:sqref>W33</xm:sqref>
            </x14:sparkline>
            <x14:sparkline>
              <xm:f>'Ratio Analysis &amp; Interpretation'!H34:V34</xm:f>
              <xm:sqref>W34</xm:sqref>
            </x14:sparkline>
            <x14:sparkline>
              <xm:f>'Ratio Analysis &amp; Interpretation'!H35:V35</xm:f>
              <xm:sqref>W35</xm:sqref>
            </x14:sparkline>
            <x14:sparkline>
              <xm:f>'Ratio Analysis &amp; Interpretation'!H36:V36</xm:f>
              <xm:sqref>W36</xm:sqref>
            </x14:sparkline>
            <x14:sparkline>
              <xm:f>'Ratio Analysis &amp; Interpretation'!H37:V37</xm:f>
              <xm:sqref>W37</xm:sqref>
            </x14:sparkline>
            <x14:sparkline>
              <xm:f>'Ratio Analysis &amp; Interpretation'!H38:V38</xm:f>
              <xm:sqref>W38</xm:sqref>
            </x14:sparkline>
            <x14:sparkline>
              <xm:f>'Ratio Analysis &amp; Interpretation'!H39:V39</xm:f>
              <xm:sqref>W39</xm:sqref>
            </x14:sparkline>
            <x14:sparkline>
              <xm:f>'Ratio Analysis &amp; Interpretation'!H40:V40</xm:f>
              <xm:sqref>W40</xm:sqref>
            </x14:sparkline>
            <x14:sparkline>
              <xm:f>'Ratio Analysis &amp; Interpretation'!H41:V41</xm:f>
              <xm:sqref>W41</xm:sqref>
            </x14:sparkline>
            <x14:sparkline>
              <xm:f>'Ratio Analysis &amp; Interpretation'!H42:V42</xm:f>
              <xm:sqref>W42</xm:sqref>
            </x14:sparkline>
            <x14:sparkline>
              <xm:f>'Ratio Analysis &amp; Interpretation'!H43:V43</xm:f>
              <xm:sqref>W43</xm:sqref>
            </x14:sparkline>
            <x14:sparkline>
              <xm:f>'Ratio Analysis &amp; Interpretation'!H44:V44</xm:f>
              <xm:sqref>W44</xm:sqref>
            </x14:sparkline>
            <x14:sparkline>
              <xm:f>'Ratio Analysis &amp; Interpretation'!H45:V45</xm:f>
              <xm:sqref>W45</xm:sqref>
            </x14:sparkline>
            <x14:sparkline>
              <xm:f>'Ratio Analysis &amp; Interpretation'!H46:V46</xm:f>
              <xm:sqref>W46</xm:sqref>
            </x14:sparkline>
            <x14:sparkline>
              <xm:f>'Ratio Analysis &amp; Interpretation'!H47:V47</xm:f>
              <xm:sqref>W47</xm:sqref>
            </x14:sparkline>
            <x14:sparkline>
              <xm:f>'Ratio Analysis &amp; Interpretation'!H48:V48</xm:f>
              <xm:sqref>W48</xm:sqref>
            </x14:sparkline>
            <x14:sparkline>
              <xm:f>'Ratio Analysis &amp; Interpretation'!H49:V49</xm:f>
              <xm:sqref>W49</xm:sqref>
            </x14:sparkline>
            <x14:sparkline>
              <xm:f>'Ratio Analysis &amp; Interpretation'!H50:V50</xm:f>
              <xm:sqref>W50</xm:sqref>
            </x14:sparkline>
          </x14:sparklines>
        </x14:sparklineGroup>
      </x14:sparklineGroup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DC5A0-E73D-4ABE-A1A3-4EEFA1F73702}">
  <sheetPr>
    <tabColor theme="9" tint="0.39997558519241921"/>
  </sheetPr>
  <dimension ref="B2:F2510"/>
  <sheetViews>
    <sheetView topLeftCell="A2" workbookViewId="0">
      <selection activeCell="F7" sqref="F7"/>
    </sheetView>
  </sheetViews>
  <sheetFormatPr defaultRowHeight="14.4" x14ac:dyDescent="0.3"/>
  <cols>
    <col min="2" max="2" width="16.5546875" customWidth="1"/>
    <col min="3" max="3" width="16" customWidth="1"/>
    <col min="5" max="5" width="15.109375" bestFit="1" customWidth="1"/>
    <col min="6" max="6" width="9.5546875" bestFit="1" customWidth="1"/>
  </cols>
  <sheetData>
    <row r="2" spans="2:6" x14ac:dyDescent="0.3">
      <c r="B2" s="228" t="s">
        <v>272</v>
      </c>
      <c r="C2" s="229" t="s">
        <v>273</v>
      </c>
      <c r="E2" s="10" t="s">
        <v>274</v>
      </c>
      <c r="F2" t="s">
        <v>275</v>
      </c>
    </row>
    <row r="3" spans="2:6" x14ac:dyDescent="0.3">
      <c r="B3" s="228"/>
      <c r="C3" s="229"/>
    </row>
    <row r="4" spans="2:6" x14ac:dyDescent="0.3">
      <c r="B4" s="126">
        <v>46118</v>
      </c>
      <c r="C4" s="129">
        <v>34615.19</v>
      </c>
      <c r="E4" s="10" t="s">
        <v>276</v>
      </c>
      <c r="F4" s="68">
        <f>YEARFRAC(B4,B2476)</f>
        <v>10.002777777777778</v>
      </c>
    </row>
    <row r="5" spans="2:6" x14ac:dyDescent="0.3">
      <c r="B5" s="126">
        <v>46114</v>
      </c>
      <c r="C5" s="129">
        <v>34230.629999999997</v>
      </c>
      <c r="E5" s="10" t="s">
        <v>277</v>
      </c>
      <c r="F5" s="193">
        <f>_xlfn.RRI(F4,C2476,C4)</f>
        <v>0.13054079176681599</v>
      </c>
    </row>
    <row r="6" spans="2:6" x14ac:dyDescent="0.3">
      <c r="B6" s="126">
        <v>46113</v>
      </c>
      <c r="C6" s="129">
        <v>34179.9</v>
      </c>
    </row>
    <row r="7" spans="2:6" x14ac:dyDescent="0.3">
      <c r="B7" s="126">
        <v>46111</v>
      </c>
      <c r="C7" s="129">
        <v>33655.43</v>
      </c>
      <c r="E7" s="10" t="s">
        <v>278</v>
      </c>
      <c r="F7" s="194">
        <v>6.9610000000000005E-2</v>
      </c>
    </row>
    <row r="8" spans="2:6" x14ac:dyDescent="0.3">
      <c r="B8" s="126">
        <v>46108</v>
      </c>
      <c r="C8" s="129">
        <v>34391.129999999997</v>
      </c>
      <c r="E8" s="9" t="s">
        <v>466</v>
      </c>
    </row>
    <row r="9" spans="2:6" x14ac:dyDescent="0.3">
      <c r="B9" s="126">
        <v>46106</v>
      </c>
      <c r="C9" s="129">
        <v>35124.870000000003</v>
      </c>
    </row>
    <row r="10" spans="2:6" x14ac:dyDescent="0.3">
      <c r="B10" s="126">
        <v>46105</v>
      </c>
      <c r="C10" s="129">
        <v>34530.99</v>
      </c>
      <c r="E10" s="179" t="s">
        <v>392</v>
      </c>
    </row>
    <row r="11" spans="2:6" x14ac:dyDescent="0.3">
      <c r="B11" s="126">
        <v>46104</v>
      </c>
      <c r="C11" s="129">
        <v>33928.589999999997</v>
      </c>
    </row>
    <row r="12" spans="2:6" x14ac:dyDescent="0.3">
      <c r="B12" s="126">
        <v>46101</v>
      </c>
      <c r="C12" s="129">
        <v>34835.629999999997</v>
      </c>
    </row>
    <row r="13" spans="2:6" x14ac:dyDescent="0.3">
      <c r="B13" s="126">
        <v>46100</v>
      </c>
      <c r="C13" s="129">
        <v>34666.28</v>
      </c>
    </row>
    <row r="14" spans="2:6" x14ac:dyDescent="0.3">
      <c r="B14" s="126">
        <v>46099</v>
      </c>
      <c r="C14" s="129">
        <v>35835.24</v>
      </c>
    </row>
    <row r="15" spans="2:6" x14ac:dyDescent="0.3">
      <c r="B15" s="126">
        <v>46098</v>
      </c>
      <c r="C15" s="129">
        <v>35538.92</v>
      </c>
    </row>
    <row r="16" spans="2:6" x14ac:dyDescent="0.3">
      <c r="B16" s="126">
        <v>46097</v>
      </c>
      <c r="C16" s="129">
        <v>35279.17</v>
      </c>
    </row>
    <row r="17" spans="2:3" x14ac:dyDescent="0.3">
      <c r="B17" s="126">
        <v>46094</v>
      </c>
      <c r="C17" s="129">
        <v>34890.78</v>
      </c>
    </row>
    <row r="18" spans="2:3" x14ac:dyDescent="0.3">
      <c r="B18" s="126">
        <v>46093</v>
      </c>
      <c r="C18" s="129">
        <v>35626.269999999997</v>
      </c>
    </row>
    <row r="19" spans="2:3" x14ac:dyDescent="0.3">
      <c r="B19" s="126">
        <v>46092</v>
      </c>
      <c r="C19" s="129">
        <v>35969.449999999997</v>
      </c>
    </row>
    <row r="20" spans="2:3" x14ac:dyDescent="0.3">
      <c r="B20" s="126">
        <v>46091</v>
      </c>
      <c r="C20" s="129">
        <v>36564.400000000001</v>
      </c>
    </row>
    <row r="21" spans="2:3" x14ac:dyDescent="0.3">
      <c r="B21" s="126">
        <v>46090</v>
      </c>
      <c r="C21" s="129">
        <v>36212.400000000001</v>
      </c>
    </row>
    <row r="22" spans="2:3" x14ac:dyDescent="0.3">
      <c r="B22" s="126">
        <v>46087</v>
      </c>
      <c r="C22" s="129">
        <v>36848.97</v>
      </c>
    </row>
    <row r="23" spans="2:3" x14ac:dyDescent="0.3">
      <c r="B23" s="126">
        <v>46086</v>
      </c>
      <c r="C23" s="129">
        <v>37321.660000000003</v>
      </c>
    </row>
    <row r="24" spans="2:3" x14ac:dyDescent="0.3">
      <c r="B24" s="126">
        <v>46085</v>
      </c>
      <c r="C24" s="129">
        <v>36891.56</v>
      </c>
    </row>
    <row r="25" spans="2:3" x14ac:dyDescent="0.3">
      <c r="B25" s="126">
        <v>46083</v>
      </c>
      <c r="C25" s="129">
        <v>37472.06</v>
      </c>
    </row>
    <row r="26" spans="2:3" x14ac:dyDescent="0.3">
      <c r="B26" s="126">
        <v>46080</v>
      </c>
      <c r="C26" s="129">
        <v>37943.67</v>
      </c>
    </row>
    <row r="27" spans="2:3" x14ac:dyDescent="0.3">
      <c r="B27" s="126">
        <v>46079</v>
      </c>
      <c r="C27" s="129">
        <v>38422.720000000001</v>
      </c>
    </row>
    <row r="28" spans="2:3" x14ac:dyDescent="0.3">
      <c r="B28" s="126">
        <v>46078</v>
      </c>
      <c r="C28" s="129">
        <v>38401.58</v>
      </c>
    </row>
    <row r="29" spans="2:3" x14ac:dyDescent="0.3">
      <c r="B29" s="126">
        <v>46077</v>
      </c>
      <c r="C29" s="129">
        <v>38314.370000000003</v>
      </c>
    </row>
    <row r="30" spans="2:3" x14ac:dyDescent="0.3">
      <c r="B30" s="126">
        <v>46076</v>
      </c>
      <c r="C30" s="129">
        <v>38748.94</v>
      </c>
    </row>
    <row r="31" spans="2:3" x14ac:dyDescent="0.3">
      <c r="B31" s="126">
        <v>46073</v>
      </c>
      <c r="C31" s="129">
        <v>38535.31</v>
      </c>
    </row>
    <row r="32" spans="2:3" x14ac:dyDescent="0.3">
      <c r="B32" s="126">
        <v>46072</v>
      </c>
      <c r="C32" s="129">
        <v>38359.129999999997</v>
      </c>
    </row>
    <row r="33" spans="2:3" x14ac:dyDescent="0.3">
      <c r="B33" s="126">
        <v>46071</v>
      </c>
      <c r="C33" s="129">
        <v>38909.22</v>
      </c>
    </row>
    <row r="34" spans="2:3" x14ac:dyDescent="0.3">
      <c r="B34" s="126">
        <v>46070</v>
      </c>
      <c r="C34" s="129">
        <v>38763.5</v>
      </c>
    </row>
    <row r="35" spans="2:3" x14ac:dyDescent="0.3">
      <c r="B35" s="126">
        <v>46069</v>
      </c>
      <c r="C35" s="129">
        <v>38699.22</v>
      </c>
    </row>
    <row r="36" spans="2:3" x14ac:dyDescent="0.3">
      <c r="B36" s="126">
        <v>46066</v>
      </c>
      <c r="C36" s="129">
        <v>38379.949999999997</v>
      </c>
    </row>
    <row r="37" spans="2:3" x14ac:dyDescent="0.3">
      <c r="B37" s="126">
        <v>46065</v>
      </c>
      <c r="C37" s="129">
        <v>38886.410000000003</v>
      </c>
    </row>
    <row r="38" spans="2:3" x14ac:dyDescent="0.3">
      <c r="B38" s="126">
        <v>46064</v>
      </c>
      <c r="C38" s="129">
        <v>39107.4</v>
      </c>
    </row>
    <row r="39" spans="2:3" x14ac:dyDescent="0.3">
      <c r="B39" s="126">
        <v>46063</v>
      </c>
      <c r="C39" s="129">
        <v>39079.22</v>
      </c>
    </row>
    <row r="40" spans="2:3" x14ac:dyDescent="0.3">
      <c r="B40" s="126">
        <v>46062</v>
      </c>
      <c r="C40" s="129">
        <v>38976.99</v>
      </c>
    </row>
    <row r="41" spans="2:3" x14ac:dyDescent="0.3">
      <c r="B41" s="126">
        <v>46059</v>
      </c>
      <c r="C41" s="129">
        <v>38710.58</v>
      </c>
    </row>
    <row r="42" spans="2:3" x14ac:dyDescent="0.3">
      <c r="B42" s="126">
        <v>46058</v>
      </c>
      <c r="C42" s="129">
        <v>38627.94</v>
      </c>
    </row>
    <row r="43" spans="2:3" x14ac:dyDescent="0.3">
      <c r="B43" s="126">
        <v>46057</v>
      </c>
      <c r="C43" s="129">
        <v>38824.69</v>
      </c>
    </row>
    <row r="44" spans="2:3" x14ac:dyDescent="0.3">
      <c r="B44" s="126">
        <v>46056</v>
      </c>
      <c r="C44" s="129">
        <v>38751.71</v>
      </c>
    </row>
    <row r="45" spans="2:3" x14ac:dyDescent="0.3">
      <c r="B45" s="126">
        <v>46055</v>
      </c>
      <c r="C45" s="129">
        <v>37789</v>
      </c>
    </row>
    <row r="46" spans="2:3" x14ac:dyDescent="0.3">
      <c r="B46" s="126">
        <v>46054</v>
      </c>
      <c r="C46" s="129">
        <v>37392.92</v>
      </c>
    </row>
    <row r="47" spans="2:3" x14ac:dyDescent="0.3">
      <c r="B47" s="126">
        <v>46052</v>
      </c>
      <c r="C47" s="129">
        <v>38138.83</v>
      </c>
    </row>
    <row r="48" spans="2:3" x14ac:dyDescent="0.3">
      <c r="B48" s="126">
        <v>46051</v>
      </c>
      <c r="C48" s="129">
        <v>38286.86</v>
      </c>
    </row>
    <row r="49" spans="2:3" x14ac:dyDescent="0.3">
      <c r="B49" s="126">
        <v>46050</v>
      </c>
      <c r="C49" s="129">
        <v>38172.11</v>
      </c>
    </row>
    <row r="50" spans="2:3" x14ac:dyDescent="0.3">
      <c r="B50" s="126">
        <v>46049</v>
      </c>
      <c r="C50" s="129">
        <v>37920.03</v>
      </c>
    </row>
    <row r="51" spans="2:3" x14ac:dyDescent="0.3">
      <c r="B51" s="126">
        <v>46045</v>
      </c>
      <c r="C51" s="129">
        <v>37729.14</v>
      </c>
    </row>
    <row r="52" spans="2:3" x14ac:dyDescent="0.3">
      <c r="B52" s="126">
        <v>46044</v>
      </c>
      <c r="C52" s="129">
        <v>38092.550000000003</v>
      </c>
    </row>
    <row r="53" spans="2:3" x14ac:dyDescent="0.3">
      <c r="B53" s="126">
        <v>46042</v>
      </c>
      <c r="C53" s="129">
        <v>38006.050000000003</v>
      </c>
    </row>
    <row r="54" spans="2:3" x14ac:dyDescent="0.3">
      <c r="B54" s="126">
        <v>46041</v>
      </c>
      <c r="C54" s="129">
        <v>38537.78</v>
      </c>
    </row>
    <row r="55" spans="2:3" x14ac:dyDescent="0.3">
      <c r="B55" s="126">
        <v>46038</v>
      </c>
      <c r="C55" s="129">
        <v>38701.71</v>
      </c>
    </row>
    <row r="56" spans="2:3" x14ac:dyDescent="0.3">
      <c r="B56" s="126">
        <v>46036</v>
      </c>
      <c r="C56" s="129">
        <v>38635.050000000003</v>
      </c>
    </row>
    <row r="57" spans="2:3" x14ac:dyDescent="0.3">
      <c r="B57" s="126">
        <v>46035</v>
      </c>
      <c r="C57" s="129">
        <v>38735.47</v>
      </c>
    </row>
    <row r="58" spans="2:3" x14ac:dyDescent="0.3">
      <c r="B58" s="126">
        <v>46034</v>
      </c>
      <c r="C58" s="129">
        <v>38822.720000000001</v>
      </c>
    </row>
    <row r="59" spans="2:3" x14ac:dyDescent="0.3">
      <c r="B59" s="126">
        <v>46031</v>
      </c>
      <c r="C59" s="129">
        <v>38661.67</v>
      </c>
    </row>
    <row r="60" spans="2:3" x14ac:dyDescent="0.3">
      <c r="B60" s="126">
        <v>46030</v>
      </c>
      <c r="C60" s="129">
        <v>38953.08</v>
      </c>
    </row>
    <row r="61" spans="2:3" x14ac:dyDescent="0.3">
      <c r="B61" s="126">
        <v>46029</v>
      </c>
      <c r="C61" s="129">
        <v>39350.28</v>
      </c>
    </row>
    <row r="62" spans="2:3" x14ac:dyDescent="0.3">
      <c r="B62" s="126">
        <v>46028</v>
      </c>
      <c r="C62" s="129">
        <v>39407.42</v>
      </c>
    </row>
    <row r="63" spans="2:3" x14ac:dyDescent="0.3">
      <c r="B63" s="126">
        <v>46027</v>
      </c>
      <c r="C63" s="129">
        <v>39515.230000000003</v>
      </c>
    </row>
    <row r="64" spans="2:3" x14ac:dyDescent="0.3">
      <c r="B64" s="126">
        <v>46024</v>
      </c>
      <c r="C64" s="129">
        <v>39632.99</v>
      </c>
    </row>
    <row r="65" spans="2:3" x14ac:dyDescent="0.3">
      <c r="B65" s="126">
        <v>46023</v>
      </c>
      <c r="C65" s="129">
        <v>39359.019999999997</v>
      </c>
    </row>
    <row r="66" spans="2:3" x14ac:dyDescent="0.3">
      <c r="B66" s="126">
        <v>46022</v>
      </c>
      <c r="C66" s="129">
        <v>39333.550000000003</v>
      </c>
    </row>
    <row r="67" spans="2:3" x14ac:dyDescent="0.3">
      <c r="B67" s="126">
        <v>46021</v>
      </c>
      <c r="C67" s="129">
        <v>39046.400000000001</v>
      </c>
    </row>
    <row r="68" spans="2:3" x14ac:dyDescent="0.3">
      <c r="B68" s="126">
        <v>46020</v>
      </c>
      <c r="C68" s="129">
        <v>39051.24</v>
      </c>
    </row>
    <row r="69" spans="2:3" x14ac:dyDescent="0.3">
      <c r="B69" s="126">
        <v>46017</v>
      </c>
      <c r="C69" s="129">
        <v>39202.11</v>
      </c>
    </row>
    <row r="70" spans="2:3" x14ac:dyDescent="0.3">
      <c r="B70" s="126">
        <v>46015</v>
      </c>
      <c r="C70" s="129">
        <v>39352.35</v>
      </c>
    </row>
    <row r="71" spans="2:3" x14ac:dyDescent="0.3">
      <c r="B71" s="126">
        <v>46014</v>
      </c>
      <c r="C71" s="129">
        <v>39405.1</v>
      </c>
    </row>
    <row r="72" spans="2:3" x14ac:dyDescent="0.3">
      <c r="B72" s="126">
        <v>46013</v>
      </c>
      <c r="C72" s="129">
        <v>39397.94</v>
      </c>
    </row>
    <row r="73" spans="2:3" x14ac:dyDescent="0.3">
      <c r="B73" s="126">
        <v>46010</v>
      </c>
      <c r="C73" s="129">
        <v>39087.879999999997</v>
      </c>
    </row>
    <row r="74" spans="2:3" x14ac:dyDescent="0.3">
      <c r="B74" s="126">
        <v>46009</v>
      </c>
      <c r="C74" s="129">
        <v>38860.78</v>
      </c>
    </row>
    <row r="75" spans="2:3" x14ac:dyDescent="0.3">
      <c r="B75" s="126">
        <v>46008</v>
      </c>
      <c r="C75" s="129">
        <v>38865.29</v>
      </c>
    </row>
    <row r="76" spans="2:3" x14ac:dyDescent="0.3">
      <c r="B76" s="126">
        <v>46007</v>
      </c>
      <c r="C76" s="129">
        <v>38927.870000000003</v>
      </c>
    </row>
    <row r="77" spans="2:3" x14ac:dyDescent="0.3">
      <c r="B77" s="126">
        <v>46006</v>
      </c>
      <c r="C77" s="129">
        <v>39179.54</v>
      </c>
    </row>
    <row r="78" spans="2:3" x14ac:dyDescent="0.3">
      <c r="B78" s="126">
        <v>46003</v>
      </c>
      <c r="C78" s="129">
        <v>39209.120000000003</v>
      </c>
    </row>
    <row r="79" spans="2:3" x14ac:dyDescent="0.3">
      <c r="B79" s="126">
        <v>46002</v>
      </c>
      <c r="C79" s="129">
        <v>38985.75</v>
      </c>
    </row>
    <row r="80" spans="2:3" x14ac:dyDescent="0.3">
      <c r="B80" s="126">
        <v>46001</v>
      </c>
      <c r="C80" s="129">
        <v>38774.129999999997</v>
      </c>
    </row>
    <row r="81" spans="2:3" x14ac:dyDescent="0.3">
      <c r="B81" s="126">
        <v>46000</v>
      </c>
      <c r="C81" s="129">
        <v>38897.019999999997</v>
      </c>
    </row>
    <row r="82" spans="2:3" x14ac:dyDescent="0.3">
      <c r="B82" s="126">
        <v>45999</v>
      </c>
      <c r="C82" s="129">
        <v>39079.019999999997</v>
      </c>
    </row>
    <row r="83" spans="2:3" x14ac:dyDescent="0.3">
      <c r="B83" s="126">
        <v>45996</v>
      </c>
      <c r="C83" s="129">
        <v>39419.07</v>
      </c>
    </row>
    <row r="84" spans="2:3" x14ac:dyDescent="0.3">
      <c r="B84" s="126">
        <v>45995</v>
      </c>
      <c r="C84" s="129">
        <v>39189.269999999997</v>
      </c>
    </row>
    <row r="85" spans="2:3" x14ac:dyDescent="0.3">
      <c r="B85" s="126">
        <v>45994</v>
      </c>
      <c r="C85" s="129">
        <v>39117.33</v>
      </c>
    </row>
    <row r="86" spans="2:3" x14ac:dyDescent="0.3">
      <c r="B86" s="126">
        <v>45993</v>
      </c>
      <c r="C86" s="129">
        <v>39186.92</v>
      </c>
    </row>
    <row r="87" spans="2:3" x14ac:dyDescent="0.3">
      <c r="B87" s="126">
        <v>45992</v>
      </c>
      <c r="C87" s="129">
        <v>39403.019999999997</v>
      </c>
    </row>
    <row r="88" spans="2:3" x14ac:dyDescent="0.3">
      <c r="B88" s="126">
        <v>45989</v>
      </c>
      <c r="C88" s="129">
        <v>39443.910000000003</v>
      </c>
    </row>
    <row r="89" spans="2:3" x14ac:dyDescent="0.3">
      <c r="B89" s="126">
        <v>45988</v>
      </c>
      <c r="C89" s="129">
        <v>39462.93</v>
      </c>
    </row>
    <row r="90" spans="2:3" x14ac:dyDescent="0.3">
      <c r="B90" s="126">
        <v>45987</v>
      </c>
      <c r="C90" s="129">
        <v>39447.49</v>
      </c>
    </row>
    <row r="91" spans="2:3" x14ac:dyDescent="0.3">
      <c r="B91" s="126">
        <v>45986</v>
      </c>
      <c r="C91" s="129">
        <v>38965</v>
      </c>
    </row>
    <row r="92" spans="2:3" x14ac:dyDescent="0.3">
      <c r="B92" s="126">
        <v>45985</v>
      </c>
      <c r="C92" s="129">
        <v>39077.5</v>
      </c>
    </row>
    <row r="93" spans="2:3" x14ac:dyDescent="0.3">
      <c r="B93" s="126">
        <v>45982</v>
      </c>
      <c r="C93" s="129">
        <v>39241</v>
      </c>
    </row>
    <row r="94" spans="2:3" x14ac:dyDescent="0.3">
      <c r="B94" s="126">
        <v>45981</v>
      </c>
      <c r="C94" s="129">
        <v>39427.65</v>
      </c>
    </row>
    <row r="95" spans="2:3" x14ac:dyDescent="0.3">
      <c r="B95" s="126">
        <v>45980</v>
      </c>
      <c r="C95" s="129">
        <v>39217.69</v>
      </c>
    </row>
    <row r="96" spans="2:3" x14ac:dyDescent="0.3">
      <c r="B96" s="126">
        <v>45979</v>
      </c>
      <c r="C96" s="129">
        <v>39003.01</v>
      </c>
    </row>
    <row r="97" spans="2:3" x14ac:dyDescent="0.3">
      <c r="B97" s="126">
        <v>45978</v>
      </c>
      <c r="C97" s="129">
        <v>39157.99</v>
      </c>
    </row>
    <row r="98" spans="2:3" x14ac:dyDescent="0.3">
      <c r="B98" s="126">
        <v>45975</v>
      </c>
      <c r="C98" s="129">
        <v>39002.370000000003</v>
      </c>
    </row>
    <row r="99" spans="2:3" x14ac:dyDescent="0.3">
      <c r="B99" s="126">
        <v>45974</v>
      </c>
      <c r="C99" s="129">
        <v>38955.83</v>
      </c>
    </row>
    <row r="100" spans="2:3" x14ac:dyDescent="0.3">
      <c r="B100" s="126">
        <v>45973</v>
      </c>
      <c r="C100" s="129">
        <v>38950.78</v>
      </c>
    </row>
    <row r="101" spans="2:3" x14ac:dyDescent="0.3">
      <c r="B101" s="126">
        <v>45972</v>
      </c>
      <c r="C101" s="129">
        <v>38678.54</v>
      </c>
    </row>
    <row r="102" spans="2:3" x14ac:dyDescent="0.3">
      <c r="B102" s="126">
        <v>45971</v>
      </c>
      <c r="C102" s="129">
        <v>38497.01</v>
      </c>
    </row>
    <row r="103" spans="2:3" x14ac:dyDescent="0.3">
      <c r="B103" s="126">
        <v>45968</v>
      </c>
      <c r="C103" s="129">
        <v>38366.879999999997</v>
      </c>
    </row>
    <row r="104" spans="2:3" x14ac:dyDescent="0.3">
      <c r="B104" s="126">
        <v>45967</v>
      </c>
      <c r="C104" s="129">
        <v>38381.019999999997</v>
      </c>
    </row>
    <row r="105" spans="2:3" x14ac:dyDescent="0.3">
      <c r="B105" s="126">
        <v>45965</v>
      </c>
      <c r="C105" s="129">
        <v>38513.370000000003</v>
      </c>
    </row>
    <row r="106" spans="2:3" x14ac:dyDescent="0.3">
      <c r="B106" s="126">
        <v>45964</v>
      </c>
      <c r="C106" s="129">
        <v>38762.65</v>
      </c>
    </row>
    <row r="107" spans="2:3" x14ac:dyDescent="0.3">
      <c r="B107" s="126">
        <v>45961</v>
      </c>
      <c r="C107" s="129">
        <v>38700.6</v>
      </c>
    </row>
    <row r="108" spans="2:3" x14ac:dyDescent="0.3">
      <c r="B108" s="126">
        <v>45960</v>
      </c>
      <c r="C108" s="129">
        <v>38934.92</v>
      </c>
    </row>
    <row r="109" spans="2:3" x14ac:dyDescent="0.3">
      <c r="B109" s="126">
        <v>45959</v>
      </c>
      <c r="C109" s="129">
        <v>39199.800000000003</v>
      </c>
    </row>
    <row r="110" spans="2:3" x14ac:dyDescent="0.3">
      <c r="B110" s="126">
        <v>45958</v>
      </c>
      <c r="C110" s="129">
        <v>39022.730000000003</v>
      </c>
    </row>
    <row r="111" spans="2:3" x14ac:dyDescent="0.3">
      <c r="B111" s="126">
        <v>45957</v>
      </c>
      <c r="C111" s="129">
        <v>39067.589999999997</v>
      </c>
    </row>
    <row r="112" spans="2:3" x14ac:dyDescent="0.3">
      <c r="B112" s="126">
        <v>45954</v>
      </c>
      <c r="C112" s="129">
        <v>38783.54</v>
      </c>
    </row>
    <row r="113" spans="2:3" x14ac:dyDescent="0.3">
      <c r="B113" s="126">
        <v>45953</v>
      </c>
      <c r="C113" s="129">
        <v>38928.230000000003</v>
      </c>
    </row>
    <row r="114" spans="2:3" x14ac:dyDescent="0.3">
      <c r="B114" s="126">
        <v>45951</v>
      </c>
      <c r="C114" s="129">
        <v>38893.949999999997</v>
      </c>
    </row>
    <row r="115" spans="2:3" x14ac:dyDescent="0.3">
      <c r="B115" s="126">
        <v>45950</v>
      </c>
      <c r="C115" s="129">
        <v>38855.68</v>
      </c>
    </row>
    <row r="116" spans="2:3" x14ac:dyDescent="0.3">
      <c r="B116" s="126">
        <v>45947</v>
      </c>
      <c r="C116" s="129">
        <v>38652.19</v>
      </c>
    </row>
    <row r="117" spans="2:3" x14ac:dyDescent="0.3">
      <c r="B117" s="126">
        <v>45946</v>
      </c>
      <c r="C117" s="129">
        <v>38460.730000000003</v>
      </c>
    </row>
    <row r="118" spans="2:3" x14ac:dyDescent="0.3">
      <c r="B118" s="126">
        <v>45945</v>
      </c>
      <c r="C118" s="129">
        <v>38067.31</v>
      </c>
    </row>
    <row r="119" spans="2:3" x14ac:dyDescent="0.3">
      <c r="B119" s="126">
        <v>45944</v>
      </c>
      <c r="C119" s="129">
        <v>37795.97</v>
      </c>
    </row>
    <row r="120" spans="2:3" x14ac:dyDescent="0.3">
      <c r="B120" s="126">
        <v>45940</v>
      </c>
      <c r="C120" s="129">
        <v>38006.18</v>
      </c>
    </row>
    <row r="121" spans="2:3" x14ac:dyDescent="0.3">
      <c r="B121" s="126">
        <v>45939</v>
      </c>
      <c r="C121" s="129">
        <v>37850.519999999997</v>
      </c>
    </row>
    <row r="122" spans="2:3" x14ac:dyDescent="0.3">
      <c r="B122" s="126">
        <v>45938</v>
      </c>
      <c r="C122" s="129">
        <v>37646.65</v>
      </c>
    </row>
    <row r="123" spans="2:3" x14ac:dyDescent="0.3">
      <c r="B123" s="126">
        <v>45937</v>
      </c>
      <c r="C123" s="129">
        <v>37740.1</v>
      </c>
    </row>
    <row r="124" spans="2:3" x14ac:dyDescent="0.3">
      <c r="B124" s="126">
        <v>45936</v>
      </c>
      <c r="C124" s="129">
        <v>37694.019999999997</v>
      </c>
    </row>
    <row r="125" spans="2:3" x14ac:dyDescent="0.3">
      <c r="B125" s="126">
        <v>45933</v>
      </c>
      <c r="C125" s="129">
        <v>37418.300000000003</v>
      </c>
    </row>
    <row r="126" spans="2:3" x14ac:dyDescent="0.3">
      <c r="B126" s="126">
        <v>45931</v>
      </c>
      <c r="C126" s="129">
        <v>37331.199999999997</v>
      </c>
    </row>
    <row r="127" spans="2:3" x14ac:dyDescent="0.3">
      <c r="B127" s="126">
        <v>45930</v>
      </c>
      <c r="C127" s="129">
        <v>36992.699999999997</v>
      </c>
    </row>
    <row r="128" spans="2:3" x14ac:dyDescent="0.3">
      <c r="B128" s="126">
        <v>45929</v>
      </c>
      <c r="C128" s="129">
        <v>37028.480000000003</v>
      </c>
    </row>
    <row r="129" spans="2:3" x14ac:dyDescent="0.3">
      <c r="B129" s="126">
        <v>45926</v>
      </c>
      <c r="C129" s="129">
        <v>37058.300000000003</v>
      </c>
    </row>
    <row r="130" spans="2:3" x14ac:dyDescent="0.3">
      <c r="B130" s="126">
        <v>45925</v>
      </c>
      <c r="C130" s="129">
        <v>37413.25</v>
      </c>
    </row>
    <row r="131" spans="2:3" x14ac:dyDescent="0.3">
      <c r="B131" s="126">
        <v>45924</v>
      </c>
      <c r="C131" s="129">
        <v>37662.839999999997</v>
      </c>
    </row>
    <row r="132" spans="2:3" x14ac:dyDescent="0.3">
      <c r="B132" s="126">
        <v>45923</v>
      </c>
      <c r="C132" s="129">
        <v>37832.089999999997</v>
      </c>
    </row>
    <row r="133" spans="2:3" x14ac:dyDescent="0.3">
      <c r="B133" s="126">
        <v>45922</v>
      </c>
      <c r="C133" s="129">
        <v>37881.410000000003</v>
      </c>
    </row>
    <row r="134" spans="2:3" x14ac:dyDescent="0.3">
      <c r="B134" s="126">
        <v>45919</v>
      </c>
      <c r="C134" s="129">
        <v>38068.839999999997</v>
      </c>
    </row>
    <row r="135" spans="2:3" x14ac:dyDescent="0.3">
      <c r="B135" s="126">
        <v>45918</v>
      </c>
      <c r="C135" s="129">
        <v>38213.97</v>
      </c>
    </row>
    <row r="136" spans="2:3" x14ac:dyDescent="0.3">
      <c r="B136" s="126">
        <v>45917</v>
      </c>
      <c r="C136" s="129">
        <v>38073.65</v>
      </c>
    </row>
    <row r="137" spans="2:3" x14ac:dyDescent="0.3">
      <c r="B137" s="126">
        <v>45916</v>
      </c>
      <c r="C137" s="129">
        <v>37936.660000000003</v>
      </c>
    </row>
    <row r="138" spans="2:3" x14ac:dyDescent="0.3">
      <c r="B138" s="126">
        <v>45915</v>
      </c>
      <c r="C138" s="129">
        <v>37681.33</v>
      </c>
    </row>
    <row r="139" spans="2:3" x14ac:dyDescent="0.3">
      <c r="B139" s="126">
        <v>45912</v>
      </c>
      <c r="C139" s="129">
        <v>37748.61</v>
      </c>
    </row>
    <row r="140" spans="2:3" x14ac:dyDescent="0.3">
      <c r="B140" s="126">
        <v>45911</v>
      </c>
      <c r="C140" s="129">
        <v>37585.519999999997</v>
      </c>
    </row>
    <row r="141" spans="2:3" x14ac:dyDescent="0.3">
      <c r="B141" s="126">
        <v>45910</v>
      </c>
      <c r="C141" s="129">
        <v>37536.879999999997</v>
      </c>
    </row>
    <row r="142" spans="2:3" x14ac:dyDescent="0.3">
      <c r="B142" s="126">
        <v>45909</v>
      </c>
      <c r="C142" s="129">
        <v>37379.78</v>
      </c>
    </row>
    <row r="143" spans="2:3" x14ac:dyDescent="0.3">
      <c r="B143" s="126">
        <v>45908</v>
      </c>
      <c r="C143" s="129">
        <v>37236.28</v>
      </c>
    </row>
    <row r="144" spans="2:3" x14ac:dyDescent="0.3">
      <c r="B144" s="126">
        <v>45905</v>
      </c>
      <c r="C144" s="129">
        <v>37188.019999999997</v>
      </c>
    </row>
    <row r="145" spans="2:3" x14ac:dyDescent="0.3">
      <c r="B145" s="126">
        <v>45904</v>
      </c>
      <c r="C145" s="129">
        <v>37177.94</v>
      </c>
    </row>
    <row r="146" spans="2:3" x14ac:dyDescent="0.3">
      <c r="B146" s="126">
        <v>45903</v>
      </c>
      <c r="C146" s="129">
        <v>37142.11</v>
      </c>
    </row>
    <row r="147" spans="2:3" x14ac:dyDescent="0.3">
      <c r="B147" s="126">
        <v>45902</v>
      </c>
      <c r="C147" s="129">
        <v>36938.57</v>
      </c>
    </row>
    <row r="148" spans="2:3" x14ac:dyDescent="0.3">
      <c r="B148" s="126">
        <v>45901</v>
      </c>
      <c r="C148" s="129">
        <v>37006.870000000003</v>
      </c>
    </row>
    <row r="149" spans="2:3" x14ac:dyDescent="0.3">
      <c r="B149" s="126">
        <v>45898</v>
      </c>
      <c r="C149" s="129">
        <v>36709</v>
      </c>
    </row>
    <row r="150" spans="2:3" x14ac:dyDescent="0.3">
      <c r="B150" s="126">
        <v>45897</v>
      </c>
      <c r="C150" s="129">
        <v>36820.25</v>
      </c>
    </row>
    <row r="151" spans="2:3" x14ac:dyDescent="0.3">
      <c r="B151" s="126">
        <v>45895</v>
      </c>
      <c r="C151" s="129">
        <v>37137.57</v>
      </c>
    </row>
    <row r="152" spans="2:3" x14ac:dyDescent="0.3">
      <c r="B152" s="126">
        <v>45894</v>
      </c>
      <c r="C152" s="129">
        <v>37521.9</v>
      </c>
    </row>
    <row r="153" spans="2:3" x14ac:dyDescent="0.3">
      <c r="B153" s="126">
        <v>45891</v>
      </c>
      <c r="C153" s="129">
        <v>37375.089999999997</v>
      </c>
    </row>
    <row r="154" spans="2:3" x14ac:dyDescent="0.3">
      <c r="B154" s="126">
        <v>45890</v>
      </c>
      <c r="C154" s="129">
        <v>37696.230000000003</v>
      </c>
    </row>
    <row r="155" spans="2:3" x14ac:dyDescent="0.3">
      <c r="B155" s="126">
        <v>45889</v>
      </c>
      <c r="C155" s="129">
        <v>37642.410000000003</v>
      </c>
    </row>
    <row r="156" spans="2:3" x14ac:dyDescent="0.3">
      <c r="B156" s="126">
        <v>45888</v>
      </c>
      <c r="C156" s="129">
        <v>37537.42</v>
      </c>
    </row>
    <row r="157" spans="2:3" x14ac:dyDescent="0.3">
      <c r="B157" s="126">
        <v>45887</v>
      </c>
      <c r="C157" s="129">
        <v>37379.379999999997</v>
      </c>
    </row>
    <row r="158" spans="2:3" x14ac:dyDescent="0.3">
      <c r="B158" s="126">
        <v>45883</v>
      </c>
      <c r="C158" s="129">
        <v>37010.269999999997</v>
      </c>
    </row>
    <row r="159" spans="2:3" x14ac:dyDescent="0.3">
      <c r="B159" s="126">
        <v>45882</v>
      </c>
      <c r="C159" s="129">
        <v>36978.89</v>
      </c>
    </row>
    <row r="160" spans="2:3" x14ac:dyDescent="0.3">
      <c r="B160" s="126">
        <v>45881</v>
      </c>
      <c r="C160" s="129">
        <v>36780.730000000003</v>
      </c>
    </row>
    <row r="161" spans="2:3" x14ac:dyDescent="0.3">
      <c r="B161" s="126">
        <v>45880</v>
      </c>
      <c r="C161" s="129">
        <v>36900.03</v>
      </c>
    </row>
    <row r="162" spans="2:3" x14ac:dyDescent="0.3">
      <c r="B162" s="126">
        <v>45877</v>
      </c>
      <c r="C162" s="129">
        <v>36566.629999999997</v>
      </c>
    </row>
    <row r="163" spans="2:3" x14ac:dyDescent="0.3">
      <c r="B163" s="126">
        <v>45876</v>
      </c>
      <c r="C163" s="129">
        <v>36913.760000000002</v>
      </c>
    </row>
    <row r="164" spans="2:3" x14ac:dyDescent="0.3">
      <c r="B164" s="126">
        <v>45875</v>
      </c>
      <c r="C164" s="129">
        <v>36880.81</v>
      </c>
    </row>
    <row r="165" spans="2:3" x14ac:dyDescent="0.3">
      <c r="B165" s="126">
        <v>45874</v>
      </c>
      <c r="C165" s="129">
        <v>36989.75</v>
      </c>
    </row>
    <row r="166" spans="2:3" x14ac:dyDescent="0.3">
      <c r="B166" s="126">
        <v>45873</v>
      </c>
      <c r="C166" s="129">
        <v>37099.550000000003</v>
      </c>
    </row>
    <row r="167" spans="2:3" x14ac:dyDescent="0.3">
      <c r="B167" s="126">
        <v>45870</v>
      </c>
      <c r="C167" s="129">
        <v>36863.4</v>
      </c>
    </row>
    <row r="168" spans="2:3" x14ac:dyDescent="0.3">
      <c r="B168" s="126">
        <v>45869</v>
      </c>
      <c r="C168" s="129">
        <v>37158.879999999997</v>
      </c>
    </row>
    <row r="169" spans="2:3" x14ac:dyDescent="0.3">
      <c r="B169" s="126">
        <v>45868</v>
      </c>
      <c r="C169" s="129">
        <v>37288.94</v>
      </c>
    </row>
    <row r="170" spans="2:3" x14ac:dyDescent="0.3">
      <c r="B170" s="126">
        <v>45867</v>
      </c>
      <c r="C170" s="129">
        <v>37238.03</v>
      </c>
    </row>
    <row r="171" spans="2:3" x14ac:dyDescent="0.3">
      <c r="B171" s="126">
        <v>45866</v>
      </c>
      <c r="C171" s="129">
        <v>37027.65</v>
      </c>
    </row>
    <row r="172" spans="2:3" x14ac:dyDescent="0.3">
      <c r="B172" s="126">
        <v>45863</v>
      </c>
      <c r="C172" s="129">
        <v>37257.14</v>
      </c>
    </row>
    <row r="173" spans="2:3" x14ac:dyDescent="0.3">
      <c r="B173" s="126">
        <v>45862</v>
      </c>
      <c r="C173" s="129">
        <v>37578.97</v>
      </c>
    </row>
    <row r="174" spans="2:3" x14ac:dyDescent="0.3">
      <c r="B174" s="126">
        <v>45861</v>
      </c>
      <c r="C174" s="129">
        <v>37812.76</v>
      </c>
    </row>
    <row r="175" spans="2:3" x14ac:dyDescent="0.3">
      <c r="B175" s="126">
        <v>45860</v>
      </c>
      <c r="C175" s="129">
        <v>37574.379999999997</v>
      </c>
    </row>
    <row r="176" spans="2:3" x14ac:dyDescent="0.3">
      <c r="B176" s="126">
        <v>45859</v>
      </c>
      <c r="C176" s="129">
        <v>37619.089999999997</v>
      </c>
    </row>
    <row r="177" spans="2:3" x14ac:dyDescent="0.3">
      <c r="B177" s="126">
        <v>45856</v>
      </c>
      <c r="C177" s="129">
        <v>37435.72</v>
      </c>
    </row>
    <row r="178" spans="2:3" x14ac:dyDescent="0.3">
      <c r="B178" s="126">
        <v>45855</v>
      </c>
      <c r="C178" s="129">
        <v>37630.21</v>
      </c>
    </row>
    <row r="179" spans="2:3" x14ac:dyDescent="0.3">
      <c r="B179" s="126">
        <v>45854</v>
      </c>
      <c r="C179" s="129">
        <v>37780.94</v>
      </c>
    </row>
    <row r="180" spans="2:3" x14ac:dyDescent="0.3">
      <c r="B180" s="126">
        <v>45853</v>
      </c>
      <c r="C180" s="129">
        <v>37752.92</v>
      </c>
    </row>
    <row r="181" spans="2:3" x14ac:dyDescent="0.3">
      <c r="B181" s="126">
        <v>45852</v>
      </c>
      <c r="C181" s="129">
        <v>37582.839999999997</v>
      </c>
    </row>
    <row r="182" spans="2:3" x14ac:dyDescent="0.3">
      <c r="B182" s="126">
        <v>45849</v>
      </c>
      <c r="C182" s="129">
        <v>37684.07</v>
      </c>
    </row>
    <row r="183" spans="2:3" x14ac:dyDescent="0.3">
      <c r="B183" s="126">
        <v>45848</v>
      </c>
      <c r="C183" s="129">
        <v>37990.410000000003</v>
      </c>
    </row>
    <row r="184" spans="2:3" x14ac:dyDescent="0.3">
      <c r="B184" s="126">
        <v>45847</v>
      </c>
      <c r="C184" s="129">
        <v>38169.85</v>
      </c>
    </row>
    <row r="185" spans="2:3" x14ac:dyDescent="0.3">
      <c r="B185" s="126">
        <v>45846</v>
      </c>
      <c r="C185" s="129">
        <v>38239.39</v>
      </c>
    </row>
    <row r="186" spans="2:3" x14ac:dyDescent="0.3">
      <c r="B186" s="126">
        <v>45845</v>
      </c>
      <c r="C186" s="129">
        <v>38145.33</v>
      </c>
    </row>
    <row r="187" spans="2:3" x14ac:dyDescent="0.3">
      <c r="B187" s="126">
        <v>45842</v>
      </c>
      <c r="C187" s="129">
        <v>38142.94</v>
      </c>
    </row>
    <row r="188" spans="2:3" x14ac:dyDescent="0.3">
      <c r="B188" s="126">
        <v>45841</v>
      </c>
      <c r="C188" s="129">
        <v>38049.97</v>
      </c>
    </row>
    <row r="189" spans="2:3" x14ac:dyDescent="0.3">
      <c r="B189" s="126">
        <v>45840</v>
      </c>
      <c r="C189" s="129">
        <v>38121.99</v>
      </c>
    </row>
    <row r="190" spans="2:3" x14ac:dyDescent="0.3">
      <c r="B190" s="126">
        <v>45839</v>
      </c>
      <c r="C190" s="129">
        <v>38254.39</v>
      </c>
    </row>
    <row r="191" spans="2:3" x14ac:dyDescent="0.3">
      <c r="B191" s="126">
        <v>45838</v>
      </c>
      <c r="C191" s="129">
        <v>38217.32</v>
      </c>
    </row>
    <row r="192" spans="2:3" x14ac:dyDescent="0.3">
      <c r="B192" s="126">
        <v>45835</v>
      </c>
      <c r="C192" s="129">
        <v>38398.230000000003</v>
      </c>
    </row>
    <row r="193" spans="2:3" x14ac:dyDescent="0.3">
      <c r="B193" s="126">
        <v>45834</v>
      </c>
      <c r="C193" s="129">
        <v>38206.879999999997</v>
      </c>
    </row>
    <row r="194" spans="2:3" x14ac:dyDescent="0.3">
      <c r="B194" s="126">
        <v>45833</v>
      </c>
      <c r="C194" s="129">
        <v>37751.94</v>
      </c>
    </row>
    <row r="195" spans="2:3" x14ac:dyDescent="0.3">
      <c r="B195" s="126">
        <v>45832</v>
      </c>
      <c r="C195" s="129">
        <v>37452.239999999998</v>
      </c>
    </row>
    <row r="196" spans="2:3" x14ac:dyDescent="0.3">
      <c r="B196" s="126">
        <v>45831</v>
      </c>
      <c r="C196" s="129">
        <v>37343.910000000003</v>
      </c>
    </row>
    <row r="197" spans="2:3" x14ac:dyDescent="0.3">
      <c r="B197" s="126">
        <v>45828</v>
      </c>
      <c r="C197" s="129">
        <v>37546.89</v>
      </c>
    </row>
    <row r="198" spans="2:3" x14ac:dyDescent="0.3">
      <c r="B198" s="126">
        <v>45827</v>
      </c>
      <c r="C198" s="129">
        <v>37069.019999999997</v>
      </c>
    </row>
    <row r="199" spans="2:3" x14ac:dyDescent="0.3">
      <c r="B199" s="126">
        <v>45826</v>
      </c>
      <c r="C199" s="129">
        <v>37097.129999999997</v>
      </c>
    </row>
    <row r="200" spans="2:3" x14ac:dyDescent="0.3">
      <c r="B200" s="126">
        <v>45825</v>
      </c>
      <c r="C200" s="129">
        <v>37158.949999999997</v>
      </c>
    </row>
    <row r="201" spans="2:3" x14ac:dyDescent="0.3">
      <c r="B201" s="126">
        <v>45824</v>
      </c>
      <c r="C201" s="129">
        <v>37298.120000000003</v>
      </c>
    </row>
    <row r="202" spans="2:3" x14ac:dyDescent="0.3">
      <c r="B202" s="126">
        <v>45821</v>
      </c>
      <c r="C202" s="129">
        <v>36957.379999999997</v>
      </c>
    </row>
    <row r="203" spans="2:3" x14ac:dyDescent="0.3">
      <c r="B203" s="126">
        <v>45820</v>
      </c>
      <c r="C203" s="129">
        <v>37209.11</v>
      </c>
    </row>
    <row r="204" spans="2:3" x14ac:dyDescent="0.3">
      <c r="B204" s="126">
        <v>45819</v>
      </c>
      <c r="C204" s="129">
        <v>37587.31</v>
      </c>
    </row>
    <row r="205" spans="2:3" x14ac:dyDescent="0.3">
      <c r="B205" s="126">
        <v>45818</v>
      </c>
      <c r="C205" s="129">
        <v>37531.760000000002</v>
      </c>
    </row>
    <row r="206" spans="2:3" x14ac:dyDescent="0.3">
      <c r="B206" s="126">
        <v>45817</v>
      </c>
      <c r="C206" s="129">
        <v>37527.120000000003</v>
      </c>
    </row>
    <row r="207" spans="2:3" x14ac:dyDescent="0.3">
      <c r="B207" s="126">
        <v>45814</v>
      </c>
      <c r="C207" s="129">
        <v>37377.42</v>
      </c>
    </row>
    <row r="208" spans="2:3" x14ac:dyDescent="0.3">
      <c r="B208" s="126">
        <v>45813</v>
      </c>
      <c r="C208" s="129">
        <v>37000.49</v>
      </c>
    </row>
    <row r="209" spans="2:3" x14ac:dyDescent="0.3">
      <c r="B209" s="126">
        <v>45812</v>
      </c>
      <c r="C209" s="129">
        <v>36805.089999999997</v>
      </c>
    </row>
    <row r="210" spans="2:3" x14ac:dyDescent="0.3">
      <c r="B210" s="126">
        <v>45811</v>
      </c>
      <c r="C210" s="129">
        <v>36674.69</v>
      </c>
    </row>
    <row r="211" spans="2:3" x14ac:dyDescent="0.3">
      <c r="B211" s="126">
        <v>45810</v>
      </c>
      <c r="C211" s="129">
        <v>36921.620000000003</v>
      </c>
    </row>
    <row r="212" spans="2:3" x14ac:dyDescent="0.3">
      <c r="B212" s="126">
        <v>45807</v>
      </c>
      <c r="C212" s="129">
        <v>36972.5</v>
      </c>
    </row>
    <row r="213" spans="2:3" x14ac:dyDescent="0.3">
      <c r="B213" s="126">
        <v>45806</v>
      </c>
      <c r="C213" s="129">
        <v>37066.339999999997</v>
      </c>
    </row>
    <row r="214" spans="2:3" x14ac:dyDescent="0.3">
      <c r="B214" s="126">
        <v>45805</v>
      </c>
      <c r="C214" s="129">
        <v>36943.42</v>
      </c>
    </row>
    <row r="215" spans="2:3" x14ac:dyDescent="0.3">
      <c r="B215" s="126">
        <v>45804</v>
      </c>
      <c r="C215" s="129">
        <v>37029.33</v>
      </c>
    </row>
    <row r="216" spans="2:3" x14ac:dyDescent="0.3">
      <c r="B216" s="126">
        <v>45803</v>
      </c>
      <c r="C216" s="129">
        <v>37290.300000000003</v>
      </c>
    </row>
    <row r="217" spans="2:3" x14ac:dyDescent="0.3">
      <c r="B217" s="126">
        <v>45800</v>
      </c>
      <c r="C217" s="129">
        <v>37069.550000000003</v>
      </c>
    </row>
    <row r="218" spans="2:3" x14ac:dyDescent="0.3">
      <c r="B218" s="126">
        <v>45799</v>
      </c>
      <c r="C218" s="129">
        <v>36706.44</v>
      </c>
    </row>
    <row r="219" spans="2:3" x14ac:dyDescent="0.3">
      <c r="B219" s="126">
        <v>45798</v>
      </c>
      <c r="C219" s="129">
        <v>37010.35</v>
      </c>
    </row>
    <row r="220" spans="2:3" x14ac:dyDescent="0.3">
      <c r="B220" s="126">
        <v>45797</v>
      </c>
      <c r="C220" s="129">
        <v>36817.14</v>
      </c>
    </row>
    <row r="221" spans="2:3" x14ac:dyDescent="0.3">
      <c r="B221" s="126">
        <v>45796</v>
      </c>
      <c r="C221" s="129">
        <v>37207.25</v>
      </c>
    </row>
    <row r="222" spans="2:3" x14ac:dyDescent="0.3">
      <c r="B222" s="126">
        <v>45793</v>
      </c>
      <c r="C222" s="129">
        <v>37318.129999999997</v>
      </c>
    </row>
    <row r="223" spans="2:3" x14ac:dyDescent="0.3">
      <c r="B223" s="126">
        <v>45792</v>
      </c>
      <c r="C223" s="129">
        <v>37361.050000000003</v>
      </c>
    </row>
    <row r="224" spans="2:3" x14ac:dyDescent="0.3">
      <c r="B224" s="126">
        <v>45791</v>
      </c>
      <c r="C224" s="129">
        <v>36771.94</v>
      </c>
    </row>
    <row r="225" spans="2:3" x14ac:dyDescent="0.3">
      <c r="B225" s="126">
        <v>45790</v>
      </c>
      <c r="C225" s="129">
        <v>36639.870000000003</v>
      </c>
    </row>
    <row r="226" spans="2:3" x14ac:dyDescent="0.3">
      <c r="B226" s="126">
        <v>45789</v>
      </c>
      <c r="C226" s="129">
        <v>37156.25</v>
      </c>
    </row>
    <row r="227" spans="2:3" x14ac:dyDescent="0.3">
      <c r="B227" s="126">
        <v>45786</v>
      </c>
      <c r="C227" s="129">
        <v>35789.629999999997</v>
      </c>
    </row>
    <row r="228" spans="2:3" x14ac:dyDescent="0.3">
      <c r="B228" s="126">
        <v>45785</v>
      </c>
      <c r="C228" s="129">
        <v>36184.82</v>
      </c>
    </row>
    <row r="229" spans="2:3" x14ac:dyDescent="0.3">
      <c r="B229" s="126">
        <v>45784</v>
      </c>
      <c r="C229" s="129">
        <v>36394.46</v>
      </c>
    </row>
    <row r="230" spans="2:3" x14ac:dyDescent="0.3">
      <c r="B230" s="126">
        <v>45783</v>
      </c>
      <c r="C230" s="129">
        <v>36342.6</v>
      </c>
    </row>
    <row r="231" spans="2:3" x14ac:dyDescent="0.3">
      <c r="B231" s="126">
        <v>45782</v>
      </c>
      <c r="C231" s="129">
        <v>36464.1</v>
      </c>
    </row>
    <row r="232" spans="2:3" x14ac:dyDescent="0.3">
      <c r="B232" s="126">
        <v>45779</v>
      </c>
      <c r="C232" s="129">
        <v>36293.51</v>
      </c>
    </row>
    <row r="233" spans="2:3" x14ac:dyDescent="0.3">
      <c r="B233" s="126">
        <v>45777</v>
      </c>
      <c r="C233" s="129">
        <v>36274.870000000003</v>
      </c>
    </row>
    <row r="234" spans="2:3" x14ac:dyDescent="0.3">
      <c r="B234" s="126">
        <v>45776</v>
      </c>
      <c r="C234" s="129">
        <v>36277.480000000003</v>
      </c>
    </row>
    <row r="235" spans="2:3" x14ac:dyDescent="0.3">
      <c r="B235" s="126">
        <v>45775</v>
      </c>
      <c r="C235" s="129">
        <v>36266.410000000003</v>
      </c>
    </row>
    <row r="236" spans="2:3" x14ac:dyDescent="0.3">
      <c r="B236" s="126">
        <v>45772</v>
      </c>
      <c r="C236" s="129">
        <v>35829.160000000003</v>
      </c>
    </row>
    <row r="237" spans="2:3" x14ac:dyDescent="0.3">
      <c r="B237" s="126">
        <v>45771</v>
      </c>
      <c r="C237" s="129">
        <v>36138.21</v>
      </c>
    </row>
    <row r="238" spans="2:3" x14ac:dyDescent="0.3">
      <c r="B238" s="126">
        <v>45770</v>
      </c>
      <c r="C238" s="129">
        <v>36260.74</v>
      </c>
    </row>
    <row r="239" spans="2:3" x14ac:dyDescent="0.3">
      <c r="B239" s="126">
        <v>45769</v>
      </c>
      <c r="C239" s="129">
        <v>36019.75</v>
      </c>
    </row>
    <row r="240" spans="2:3" x14ac:dyDescent="0.3">
      <c r="B240" s="126">
        <v>45768</v>
      </c>
      <c r="C240" s="129">
        <v>35957.620000000003</v>
      </c>
    </row>
    <row r="241" spans="2:3" x14ac:dyDescent="0.3">
      <c r="B241" s="126">
        <v>45764</v>
      </c>
      <c r="C241" s="129">
        <v>35549.39</v>
      </c>
    </row>
    <row r="242" spans="2:3" x14ac:dyDescent="0.3">
      <c r="B242" s="126">
        <v>45763</v>
      </c>
      <c r="C242" s="129">
        <v>34931.660000000003</v>
      </c>
    </row>
    <row r="243" spans="2:3" x14ac:dyDescent="0.3">
      <c r="B243" s="126">
        <v>45762</v>
      </c>
      <c r="C243" s="129">
        <v>34769.71</v>
      </c>
    </row>
    <row r="244" spans="2:3" x14ac:dyDescent="0.3">
      <c r="B244" s="126">
        <v>45758</v>
      </c>
      <c r="C244" s="129">
        <v>34024.5</v>
      </c>
    </row>
    <row r="245" spans="2:3" x14ac:dyDescent="0.3">
      <c r="B245" s="126">
        <v>45756</v>
      </c>
      <c r="C245" s="129">
        <v>33384.559999999998</v>
      </c>
    </row>
    <row r="246" spans="2:3" x14ac:dyDescent="0.3">
      <c r="B246" s="126">
        <v>45755</v>
      </c>
      <c r="C246" s="129">
        <v>33588.28</v>
      </c>
    </row>
    <row r="247" spans="2:3" x14ac:dyDescent="0.3">
      <c r="B247" s="126">
        <v>45754</v>
      </c>
      <c r="C247" s="129">
        <v>33030.49</v>
      </c>
    </row>
    <row r="248" spans="2:3" x14ac:dyDescent="0.3">
      <c r="B248" s="126">
        <v>45751</v>
      </c>
      <c r="C248" s="129">
        <v>34137.61</v>
      </c>
    </row>
    <row r="249" spans="2:3" x14ac:dyDescent="0.3">
      <c r="B249" s="126">
        <v>45750</v>
      </c>
      <c r="C249" s="129">
        <v>34652.839999999997</v>
      </c>
    </row>
    <row r="250" spans="2:3" x14ac:dyDescent="0.3">
      <c r="B250" s="126">
        <v>45749</v>
      </c>
      <c r="C250" s="129">
        <v>34775.4</v>
      </c>
    </row>
    <row r="251" spans="2:3" x14ac:dyDescent="0.3">
      <c r="B251" s="126">
        <v>45748</v>
      </c>
      <c r="C251" s="129">
        <v>34527.01</v>
      </c>
    </row>
    <row r="252" spans="2:3" x14ac:dyDescent="0.3">
      <c r="B252" s="126">
        <v>45744</v>
      </c>
      <c r="C252" s="129">
        <v>35054.080000000002</v>
      </c>
    </row>
    <row r="253" spans="2:3" x14ac:dyDescent="0.3">
      <c r="B253" s="126">
        <v>45743</v>
      </c>
      <c r="C253" s="129">
        <v>35162.32</v>
      </c>
    </row>
    <row r="254" spans="2:3" x14ac:dyDescent="0.3">
      <c r="B254" s="126">
        <v>45742</v>
      </c>
      <c r="C254" s="129">
        <v>35005.67</v>
      </c>
    </row>
    <row r="255" spans="2:3" x14ac:dyDescent="0.3">
      <c r="B255" s="126">
        <v>45741</v>
      </c>
      <c r="C255" s="129">
        <v>35276.65</v>
      </c>
    </row>
    <row r="256" spans="2:3" x14ac:dyDescent="0.3">
      <c r="B256" s="126">
        <v>45740</v>
      </c>
      <c r="C256" s="129">
        <v>35261.269999999997</v>
      </c>
    </row>
    <row r="257" spans="2:3" x14ac:dyDescent="0.3">
      <c r="B257" s="126">
        <v>45737</v>
      </c>
      <c r="C257" s="129">
        <v>34802.300000000003</v>
      </c>
    </row>
    <row r="258" spans="2:3" x14ac:dyDescent="0.3">
      <c r="B258" s="126">
        <v>45736</v>
      </c>
      <c r="C258" s="129">
        <v>34564.18</v>
      </c>
    </row>
    <row r="259" spans="2:3" x14ac:dyDescent="0.3">
      <c r="B259" s="126">
        <v>45735</v>
      </c>
      <c r="C259" s="129">
        <v>34142.35</v>
      </c>
    </row>
    <row r="260" spans="2:3" x14ac:dyDescent="0.3">
      <c r="B260" s="126">
        <v>45734</v>
      </c>
      <c r="C260" s="129">
        <v>34033.06</v>
      </c>
    </row>
    <row r="261" spans="2:3" x14ac:dyDescent="0.3">
      <c r="B261" s="126">
        <v>45733</v>
      </c>
      <c r="C261" s="129">
        <v>33547.879999999997</v>
      </c>
    </row>
    <row r="262" spans="2:3" x14ac:dyDescent="0.3">
      <c r="B262" s="126">
        <v>45729</v>
      </c>
      <c r="C262" s="129">
        <v>33381.620000000003</v>
      </c>
    </row>
    <row r="263" spans="2:3" x14ac:dyDescent="0.3">
      <c r="B263" s="126">
        <v>45728</v>
      </c>
      <c r="C263" s="129">
        <v>33490.870000000003</v>
      </c>
    </row>
    <row r="264" spans="2:3" x14ac:dyDescent="0.3">
      <c r="B264" s="126">
        <v>45727</v>
      </c>
      <c r="C264" s="129">
        <v>33531.68</v>
      </c>
    </row>
    <row r="265" spans="2:3" x14ac:dyDescent="0.3">
      <c r="B265" s="126">
        <v>45726</v>
      </c>
      <c r="C265" s="129">
        <v>33473.919999999998</v>
      </c>
    </row>
    <row r="266" spans="2:3" x14ac:dyDescent="0.3">
      <c r="B266" s="126">
        <v>45723</v>
      </c>
      <c r="C266" s="129">
        <v>33611.300000000003</v>
      </c>
    </row>
    <row r="267" spans="2:3" x14ac:dyDescent="0.3">
      <c r="B267" s="126">
        <v>45722</v>
      </c>
      <c r="C267" s="129">
        <v>33599.300000000003</v>
      </c>
    </row>
    <row r="268" spans="2:3" x14ac:dyDescent="0.3">
      <c r="B268" s="126">
        <v>45721</v>
      </c>
      <c r="C268" s="129">
        <v>33290.199999999997</v>
      </c>
    </row>
    <row r="269" spans="2:3" x14ac:dyDescent="0.3">
      <c r="B269" s="126">
        <v>45720</v>
      </c>
      <c r="C269" s="129">
        <v>32910.629999999997</v>
      </c>
    </row>
    <row r="270" spans="2:3" x14ac:dyDescent="0.3">
      <c r="B270" s="126">
        <v>45719</v>
      </c>
      <c r="C270" s="129">
        <v>32965.25</v>
      </c>
    </row>
    <row r="271" spans="2:3" x14ac:dyDescent="0.3">
      <c r="B271" s="126">
        <v>45716</v>
      </c>
      <c r="C271" s="129">
        <v>32973.360000000001</v>
      </c>
    </row>
    <row r="272" spans="2:3" x14ac:dyDescent="0.3">
      <c r="B272" s="126">
        <v>45715</v>
      </c>
      <c r="C272" s="129">
        <v>33599.79</v>
      </c>
    </row>
    <row r="273" spans="2:3" x14ac:dyDescent="0.3">
      <c r="B273" s="126">
        <v>45713</v>
      </c>
      <c r="C273" s="129">
        <v>33603.550000000003</v>
      </c>
    </row>
    <row r="274" spans="2:3" x14ac:dyDescent="0.3">
      <c r="B274" s="126">
        <v>45712</v>
      </c>
      <c r="C274" s="129">
        <v>33612.18</v>
      </c>
    </row>
    <row r="275" spans="2:3" x14ac:dyDescent="0.3">
      <c r="B275" s="126">
        <v>45709</v>
      </c>
      <c r="C275" s="129">
        <v>33973.61</v>
      </c>
    </row>
    <row r="276" spans="2:3" x14ac:dyDescent="0.3">
      <c r="B276" s="126">
        <v>45708</v>
      </c>
      <c r="C276" s="129">
        <v>34148.36</v>
      </c>
    </row>
    <row r="277" spans="2:3" x14ac:dyDescent="0.3">
      <c r="B277" s="126">
        <v>45707</v>
      </c>
      <c r="C277" s="129">
        <v>34177.82</v>
      </c>
    </row>
    <row r="278" spans="2:3" x14ac:dyDescent="0.3">
      <c r="B278" s="126">
        <v>45706</v>
      </c>
      <c r="C278" s="129">
        <v>34196.32</v>
      </c>
    </row>
    <row r="279" spans="2:3" x14ac:dyDescent="0.3">
      <c r="B279" s="126">
        <v>45705</v>
      </c>
      <c r="C279" s="129">
        <v>34217.480000000003</v>
      </c>
    </row>
    <row r="280" spans="2:3" x14ac:dyDescent="0.3">
      <c r="B280" s="126">
        <v>45702</v>
      </c>
      <c r="C280" s="129">
        <v>34172.379999999997</v>
      </c>
    </row>
    <row r="281" spans="2:3" x14ac:dyDescent="0.3">
      <c r="B281" s="126">
        <v>45701</v>
      </c>
      <c r="C281" s="129">
        <v>34324.31</v>
      </c>
    </row>
    <row r="282" spans="2:3" x14ac:dyDescent="0.3">
      <c r="B282" s="126">
        <v>45700</v>
      </c>
      <c r="C282" s="129">
        <v>34344.93</v>
      </c>
    </row>
    <row r="283" spans="2:3" x14ac:dyDescent="0.3">
      <c r="B283" s="126">
        <v>45699</v>
      </c>
      <c r="C283" s="129">
        <v>34364.39</v>
      </c>
    </row>
    <row r="284" spans="2:3" x14ac:dyDescent="0.3">
      <c r="B284" s="126">
        <v>45698</v>
      </c>
      <c r="C284" s="129">
        <v>34825.870000000003</v>
      </c>
    </row>
    <row r="285" spans="2:3" x14ac:dyDescent="0.3">
      <c r="B285" s="126">
        <v>45695</v>
      </c>
      <c r="C285" s="129">
        <v>35091.5</v>
      </c>
    </row>
    <row r="286" spans="2:3" x14ac:dyDescent="0.3">
      <c r="B286" s="126">
        <v>45694</v>
      </c>
      <c r="C286" s="129">
        <v>35143.08</v>
      </c>
    </row>
    <row r="287" spans="2:3" x14ac:dyDescent="0.3">
      <c r="B287" s="126">
        <v>45693</v>
      </c>
      <c r="C287" s="129">
        <v>35277.699999999997</v>
      </c>
    </row>
    <row r="288" spans="2:3" x14ac:dyDescent="0.3">
      <c r="B288" s="126">
        <v>45692</v>
      </c>
      <c r="C288" s="129">
        <v>35341.64</v>
      </c>
    </row>
    <row r="289" spans="2:3" x14ac:dyDescent="0.3">
      <c r="B289" s="126">
        <v>45691</v>
      </c>
      <c r="C289" s="129">
        <v>34778.660000000003</v>
      </c>
    </row>
    <row r="290" spans="2:3" x14ac:dyDescent="0.3">
      <c r="B290" s="126">
        <v>45689</v>
      </c>
      <c r="C290" s="129">
        <v>34958.89</v>
      </c>
    </row>
    <row r="291" spans="2:3" x14ac:dyDescent="0.3">
      <c r="B291" s="126">
        <v>45688</v>
      </c>
      <c r="C291" s="129">
        <v>34998.01</v>
      </c>
    </row>
    <row r="292" spans="2:3" x14ac:dyDescent="0.3">
      <c r="B292" s="126">
        <v>45687</v>
      </c>
      <c r="C292" s="129">
        <v>34603.4</v>
      </c>
    </row>
    <row r="293" spans="2:3" x14ac:dyDescent="0.3">
      <c r="B293" s="126">
        <v>45686</v>
      </c>
      <c r="C293" s="129">
        <v>34474.800000000003</v>
      </c>
    </row>
    <row r="294" spans="2:3" x14ac:dyDescent="0.3">
      <c r="B294" s="126">
        <v>45685</v>
      </c>
      <c r="C294" s="129">
        <v>34165.22</v>
      </c>
    </row>
    <row r="295" spans="2:3" x14ac:dyDescent="0.3">
      <c r="B295" s="126">
        <v>45684</v>
      </c>
      <c r="C295" s="129">
        <v>33974.58</v>
      </c>
    </row>
    <row r="296" spans="2:3" x14ac:dyDescent="0.3">
      <c r="B296" s="126">
        <v>45681</v>
      </c>
      <c r="C296" s="129">
        <v>34366.04</v>
      </c>
    </row>
    <row r="297" spans="2:3" x14ac:dyDescent="0.3">
      <c r="B297" s="126">
        <v>45680</v>
      </c>
      <c r="C297" s="129">
        <v>34534.46</v>
      </c>
    </row>
    <row r="298" spans="2:3" x14ac:dyDescent="0.3">
      <c r="B298" s="126">
        <v>45679</v>
      </c>
      <c r="C298" s="129">
        <v>34460.03</v>
      </c>
    </row>
    <row r="299" spans="2:3" x14ac:dyDescent="0.3">
      <c r="B299" s="126">
        <v>45678</v>
      </c>
      <c r="C299" s="129">
        <v>34265.550000000003</v>
      </c>
    </row>
    <row r="300" spans="2:3" x14ac:dyDescent="0.3">
      <c r="B300" s="126">
        <v>45677</v>
      </c>
      <c r="C300" s="129">
        <v>34741.89</v>
      </c>
    </row>
    <row r="301" spans="2:3" x14ac:dyDescent="0.3">
      <c r="B301" s="126">
        <v>45674</v>
      </c>
      <c r="C301" s="129">
        <v>34531.21</v>
      </c>
    </row>
    <row r="302" spans="2:3" x14ac:dyDescent="0.3">
      <c r="B302" s="126">
        <v>45673</v>
      </c>
      <c r="C302" s="129">
        <v>34660.67</v>
      </c>
    </row>
    <row r="303" spans="2:3" x14ac:dyDescent="0.3">
      <c r="B303" s="126">
        <v>45672</v>
      </c>
      <c r="C303" s="129">
        <v>34514.06</v>
      </c>
    </row>
    <row r="304" spans="2:3" x14ac:dyDescent="0.3">
      <c r="B304" s="126">
        <v>45671</v>
      </c>
      <c r="C304" s="129">
        <v>34458.870000000003</v>
      </c>
    </row>
    <row r="305" spans="2:3" x14ac:dyDescent="0.3">
      <c r="B305" s="126">
        <v>45670</v>
      </c>
      <c r="C305" s="129">
        <v>34324.870000000003</v>
      </c>
    </row>
    <row r="306" spans="2:3" x14ac:dyDescent="0.3">
      <c r="B306" s="126">
        <v>45667</v>
      </c>
      <c r="C306" s="129">
        <v>34838.660000000003</v>
      </c>
    </row>
    <row r="307" spans="2:3" x14ac:dyDescent="0.3">
      <c r="B307" s="126">
        <v>45666</v>
      </c>
      <c r="C307" s="129">
        <v>34979.910000000003</v>
      </c>
    </row>
    <row r="308" spans="2:3" x14ac:dyDescent="0.3">
      <c r="B308" s="126">
        <v>45665</v>
      </c>
      <c r="C308" s="129">
        <v>35221.43</v>
      </c>
    </row>
    <row r="309" spans="2:3" x14ac:dyDescent="0.3">
      <c r="B309" s="126">
        <v>45664</v>
      </c>
      <c r="C309" s="129">
        <v>35249.64</v>
      </c>
    </row>
    <row r="310" spans="2:3" x14ac:dyDescent="0.3">
      <c r="B310" s="126">
        <v>45663</v>
      </c>
      <c r="C310" s="129">
        <v>35113.040000000001</v>
      </c>
    </row>
    <row r="311" spans="2:3" x14ac:dyDescent="0.3">
      <c r="B311" s="126">
        <v>45660</v>
      </c>
      <c r="C311" s="129">
        <v>35690.959999999999</v>
      </c>
    </row>
    <row r="312" spans="2:3" x14ac:dyDescent="0.3">
      <c r="B312" s="126">
        <v>45659</v>
      </c>
      <c r="C312" s="129">
        <v>35964.43</v>
      </c>
    </row>
    <row r="313" spans="2:3" x14ac:dyDescent="0.3">
      <c r="B313" s="126">
        <v>45658</v>
      </c>
      <c r="C313" s="129">
        <v>35301.629999999997</v>
      </c>
    </row>
    <row r="314" spans="2:3" x14ac:dyDescent="0.3">
      <c r="B314" s="126">
        <v>45657</v>
      </c>
      <c r="C314" s="129">
        <v>35155.769999999997</v>
      </c>
    </row>
    <row r="315" spans="2:3" x14ac:dyDescent="0.3">
      <c r="B315" s="126">
        <v>45656</v>
      </c>
      <c r="C315" s="129">
        <v>35155.94</v>
      </c>
    </row>
    <row r="316" spans="2:3" x14ac:dyDescent="0.3">
      <c r="B316" s="126">
        <v>45653</v>
      </c>
      <c r="C316" s="129">
        <v>35406.5</v>
      </c>
    </row>
    <row r="317" spans="2:3" x14ac:dyDescent="0.3">
      <c r="B317" s="126">
        <v>45652</v>
      </c>
      <c r="C317" s="129">
        <v>35312.5</v>
      </c>
    </row>
    <row r="318" spans="2:3" x14ac:dyDescent="0.3">
      <c r="B318" s="126">
        <v>45650</v>
      </c>
      <c r="C318" s="129">
        <v>35278.97</v>
      </c>
    </row>
    <row r="319" spans="2:3" x14ac:dyDescent="0.3">
      <c r="B319" s="126">
        <v>45649</v>
      </c>
      <c r="C319" s="129">
        <v>35317.360000000001</v>
      </c>
    </row>
    <row r="320" spans="2:3" x14ac:dyDescent="0.3">
      <c r="B320" s="126">
        <v>45646</v>
      </c>
      <c r="C320" s="129">
        <v>35070.589999999997</v>
      </c>
    </row>
    <row r="321" spans="2:3" x14ac:dyDescent="0.3">
      <c r="B321" s="126">
        <v>45645</v>
      </c>
      <c r="C321" s="129">
        <v>35612.11</v>
      </c>
    </row>
    <row r="322" spans="2:3" x14ac:dyDescent="0.3">
      <c r="B322" s="126">
        <v>45644</v>
      </c>
      <c r="C322" s="129">
        <v>35979.58</v>
      </c>
    </row>
    <row r="323" spans="2:3" x14ac:dyDescent="0.3">
      <c r="B323" s="126">
        <v>45643</v>
      </c>
      <c r="C323" s="129">
        <v>36183.53</v>
      </c>
    </row>
    <row r="324" spans="2:3" x14ac:dyDescent="0.3">
      <c r="B324" s="126">
        <v>45642</v>
      </c>
      <c r="C324" s="129">
        <v>36677.480000000003</v>
      </c>
    </row>
    <row r="325" spans="2:3" x14ac:dyDescent="0.3">
      <c r="B325" s="126">
        <v>45639</v>
      </c>
      <c r="C325" s="129">
        <v>36826.269999999997</v>
      </c>
    </row>
    <row r="326" spans="2:3" x14ac:dyDescent="0.3">
      <c r="B326" s="126">
        <v>45638</v>
      </c>
      <c r="C326" s="129">
        <v>36499.75</v>
      </c>
    </row>
    <row r="327" spans="2:3" x14ac:dyDescent="0.3">
      <c r="B327" s="126">
        <v>45637</v>
      </c>
      <c r="C327" s="129">
        <v>36638.14</v>
      </c>
    </row>
    <row r="328" spans="2:3" x14ac:dyDescent="0.3">
      <c r="B328" s="126">
        <v>45636</v>
      </c>
      <c r="C328" s="129">
        <v>36590.980000000003</v>
      </c>
    </row>
    <row r="329" spans="2:3" x14ac:dyDescent="0.3">
      <c r="B329" s="126">
        <v>45635</v>
      </c>
      <c r="C329" s="129">
        <v>36604.29</v>
      </c>
    </row>
    <row r="330" spans="2:3" x14ac:dyDescent="0.3">
      <c r="B330" s="126">
        <v>45632</v>
      </c>
      <c r="C330" s="129">
        <v>36691.68</v>
      </c>
    </row>
    <row r="331" spans="2:3" x14ac:dyDescent="0.3">
      <c r="B331" s="126">
        <v>45631</v>
      </c>
      <c r="C331" s="129">
        <v>36737.18</v>
      </c>
    </row>
    <row r="332" spans="2:3" x14ac:dyDescent="0.3">
      <c r="B332" s="126">
        <v>45630</v>
      </c>
      <c r="C332" s="129">
        <v>36378.910000000003</v>
      </c>
    </row>
    <row r="333" spans="2:3" x14ac:dyDescent="0.3">
      <c r="B333" s="126">
        <v>45629</v>
      </c>
      <c r="C333" s="129">
        <v>36363.629999999997</v>
      </c>
    </row>
    <row r="334" spans="2:3" x14ac:dyDescent="0.3">
      <c r="B334" s="126">
        <v>45628</v>
      </c>
      <c r="C334" s="129">
        <v>36094.39</v>
      </c>
    </row>
    <row r="335" spans="2:3" x14ac:dyDescent="0.3">
      <c r="B335" s="126">
        <v>45625</v>
      </c>
      <c r="C335" s="129">
        <v>35878.82</v>
      </c>
    </row>
    <row r="336" spans="2:3" x14ac:dyDescent="0.3">
      <c r="B336" s="126">
        <v>45624</v>
      </c>
      <c r="C336" s="129">
        <v>35556.269999999997</v>
      </c>
    </row>
    <row r="337" spans="2:3" x14ac:dyDescent="0.3">
      <c r="B337" s="126">
        <v>45623</v>
      </c>
      <c r="C337" s="129">
        <v>36092.65</v>
      </c>
    </row>
    <row r="338" spans="2:3" x14ac:dyDescent="0.3">
      <c r="B338" s="126">
        <v>45622</v>
      </c>
      <c r="C338" s="129">
        <v>35973.11</v>
      </c>
    </row>
    <row r="339" spans="2:3" x14ac:dyDescent="0.3">
      <c r="B339" s="126">
        <v>45621</v>
      </c>
      <c r="C339" s="129">
        <v>36013.85</v>
      </c>
    </row>
    <row r="340" spans="2:3" x14ac:dyDescent="0.3">
      <c r="B340" s="126">
        <v>45618</v>
      </c>
      <c r="C340" s="129">
        <v>35546.01</v>
      </c>
    </row>
    <row r="341" spans="2:3" x14ac:dyDescent="0.3">
      <c r="B341" s="126">
        <v>45617</v>
      </c>
      <c r="C341" s="129">
        <v>34717.32</v>
      </c>
    </row>
    <row r="342" spans="2:3" x14ac:dyDescent="0.3">
      <c r="B342" s="126">
        <v>45615</v>
      </c>
      <c r="C342" s="129">
        <v>34968</v>
      </c>
    </row>
    <row r="343" spans="2:3" x14ac:dyDescent="0.3">
      <c r="B343" s="126">
        <v>45614</v>
      </c>
      <c r="C343" s="129">
        <v>34871.21</v>
      </c>
    </row>
    <row r="344" spans="2:3" x14ac:dyDescent="0.3">
      <c r="B344" s="126">
        <v>45610</v>
      </c>
      <c r="C344" s="129">
        <v>34988.480000000003</v>
      </c>
    </row>
    <row r="345" spans="2:3" x14ac:dyDescent="0.3">
      <c r="B345" s="126">
        <v>45609</v>
      </c>
      <c r="C345" s="129">
        <v>35020.93</v>
      </c>
    </row>
    <row r="346" spans="2:3" x14ac:dyDescent="0.3">
      <c r="B346" s="126">
        <v>45608</v>
      </c>
      <c r="C346" s="129">
        <v>35503.11</v>
      </c>
    </row>
    <row r="347" spans="2:3" x14ac:dyDescent="0.3">
      <c r="B347" s="126">
        <v>45607</v>
      </c>
      <c r="C347" s="129">
        <v>35886.42</v>
      </c>
    </row>
    <row r="348" spans="2:3" x14ac:dyDescent="0.3">
      <c r="B348" s="126">
        <v>45604</v>
      </c>
      <c r="C348" s="129">
        <v>35896.71</v>
      </c>
    </row>
    <row r="349" spans="2:3" x14ac:dyDescent="0.3">
      <c r="B349" s="126">
        <v>45603</v>
      </c>
      <c r="C349" s="129">
        <v>35972.74</v>
      </c>
    </row>
    <row r="350" spans="2:3" x14ac:dyDescent="0.3">
      <c r="B350" s="126">
        <v>45602</v>
      </c>
      <c r="C350" s="129">
        <v>36393.85</v>
      </c>
    </row>
    <row r="351" spans="2:3" x14ac:dyDescent="0.3">
      <c r="B351" s="126">
        <v>45601</v>
      </c>
      <c r="C351" s="129">
        <v>35982.959999999999</v>
      </c>
    </row>
    <row r="352" spans="2:3" x14ac:dyDescent="0.3">
      <c r="B352" s="126">
        <v>45600</v>
      </c>
      <c r="C352" s="129">
        <v>35659.07</v>
      </c>
    </row>
    <row r="353" spans="2:3" x14ac:dyDescent="0.3">
      <c r="B353" s="126">
        <v>45597</v>
      </c>
      <c r="C353" s="129">
        <v>36118.25</v>
      </c>
    </row>
    <row r="354" spans="2:3" x14ac:dyDescent="0.3">
      <c r="B354" s="126">
        <v>45596</v>
      </c>
      <c r="C354" s="129">
        <v>35971.14</v>
      </c>
    </row>
    <row r="355" spans="2:3" x14ac:dyDescent="0.3">
      <c r="B355" s="126">
        <v>45595</v>
      </c>
      <c r="C355" s="129">
        <v>36165.43</v>
      </c>
    </row>
    <row r="356" spans="2:3" x14ac:dyDescent="0.3">
      <c r="B356" s="126">
        <v>45594</v>
      </c>
      <c r="C356" s="129">
        <v>36352.629999999997</v>
      </c>
    </row>
    <row r="357" spans="2:3" x14ac:dyDescent="0.3">
      <c r="B357" s="126">
        <v>45593</v>
      </c>
      <c r="C357" s="129">
        <v>36138.03</v>
      </c>
    </row>
    <row r="358" spans="2:3" x14ac:dyDescent="0.3">
      <c r="B358" s="126">
        <v>45590</v>
      </c>
      <c r="C358" s="129">
        <v>35902.92</v>
      </c>
    </row>
    <row r="359" spans="2:3" x14ac:dyDescent="0.3">
      <c r="B359" s="126">
        <v>45589</v>
      </c>
      <c r="C359" s="129">
        <v>36227.519999999997</v>
      </c>
    </row>
    <row r="360" spans="2:3" x14ac:dyDescent="0.3">
      <c r="B360" s="126">
        <v>45588</v>
      </c>
      <c r="C360" s="129">
        <v>36281.1</v>
      </c>
    </row>
    <row r="361" spans="2:3" x14ac:dyDescent="0.3">
      <c r="B361" s="126">
        <v>45587</v>
      </c>
      <c r="C361" s="129">
        <v>36335.46</v>
      </c>
    </row>
    <row r="362" spans="2:3" x14ac:dyDescent="0.3">
      <c r="B362" s="126">
        <v>45586</v>
      </c>
      <c r="C362" s="129">
        <v>36789.949999999997</v>
      </c>
    </row>
    <row r="363" spans="2:3" x14ac:dyDescent="0.3">
      <c r="B363" s="126">
        <v>45583</v>
      </c>
      <c r="C363" s="129">
        <v>36898.25</v>
      </c>
    </row>
    <row r="364" spans="2:3" x14ac:dyDescent="0.3">
      <c r="B364" s="126">
        <v>45582</v>
      </c>
      <c r="C364" s="129">
        <v>36740.300000000003</v>
      </c>
    </row>
    <row r="365" spans="2:3" x14ac:dyDescent="0.3">
      <c r="B365" s="126">
        <v>45581</v>
      </c>
      <c r="C365" s="129">
        <v>37068.99</v>
      </c>
    </row>
    <row r="366" spans="2:3" x14ac:dyDescent="0.3">
      <c r="B366" s="126">
        <v>45580</v>
      </c>
      <c r="C366" s="129">
        <v>37196.69</v>
      </c>
    </row>
    <row r="367" spans="2:3" x14ac:dyDescent="0.3">
      <c r="B367" s="126">
        <v>45579</v>
      </c>
      <c r="C367" s="129">
        <v>37301.5</v>
      </c>
    </row>
    <row r="368" spans="2:3" x14ac:dyDescent="0.3">
      <c r="B368" s="126">
        <v>45576</v>
      </c>
      <c r="C368" s="129">
        <v>37058.49</v>
      </c>
    </row>
    <row r="369" spans="2:3" x14ac:dyDescent="0.3">
      <c r="B369" s="126">
        <v>45575</v>
      </c>
      <c r="C369" s="129">
        <v>37109.26</v>
      </c>
    </row>
    <row r="370" spans="2:3" x14ac:dyDescent="0.3">
      <c r="B370" s="126">
        <v>45574</v>
      </c>
      <c r="C370" s="129">
        <v>37084.75</v>
      </c>
    </row>
    <row r="371" spans="2:3" x14ac:dyDescent="0.3">
      <c r="B371" s="126">
        <v>45573</v>
      </c>
      <c r="C371" s="129">
        <v>37131.07</v>
      </c>
    </row>
    <row r="372" spans="2:3" x14ac:dyDescent="0.3">
      <c r="B372" s="126">
        <v>45572</v>
      </c>
      <c r="C372" s="129">
        <v>36808.370000000003</v>
      </c>
    </row>
    <row r="373" spans="2:3" x14ac:dyDescent="0.3">
      <c r="B373" s="126">
        <v>45569</v>
      </c>
      <c r="C373" s="129">
        <v>37133.25</v>
      </c>
    </row>
    <row r="374" spans="2:3" x14ac:dyDescent="0.3">
      <c r="B374" s="126">
        <v>45568</v>
      </c>
      <c r="C374" s="129">
        <v>37482.839999999997</v>
      </c>
    </row>
    <row r="375" spans="2:3" x14ac:dyDescent="0.3">
      <c r="B375" s="126">
        <v>45566</v>
      </c>
      <c r="C375" s="129">
        <v>38294.54</v>
      </c>
    </row>
    <row r="376" spans="2:3" x14ac:dyDescent="0.3">
      <c r="B376" s="126">
        <v>45565</v>
      </c>
      <c r="C376" s="129">
        <v>38315.21</v>
      </c>
    </row>
    <row r="377" spans="2:3" x14ac:dyDescent="0.3">
      <c r="B377" s="126">
        <v>45562</v>
      </c>
      <c r="C377" s="129">
        <v>38861.64</v>
      </c>
    </row>
    <row r="378" spans="2:3" x14ac:dyDescent="0.3">
      <c r="B378" s="126">
        <v>45561</v>
      </c>
      <c r="C378" s="129">
        <v>38916.76</v>
      </c>
    </row>
    <row r="379" spans="2:3" x14ac:dyDescent="0.3">
      <c r="B379" s="126">
        <v>45560</v>
      </c>
      <c r="C379" s="129">
        <v>38602.21</v>
      </c>
    </row>
    <row r="380" spans="2:3" x14ac:dyDescent="0.3">
      <c r="B380" s="126">
        <v>45559</v>
      </c>
      <c r="C380" s="129">
        <v>38507.550000000003</v>
      </c>
    </row>
    <row r="381" spans="2:3" x14ac:dyDescent="0.3">
      <c r="B381" s="126">
        <v>45558</v>
      </c>
      <c r="C381" s="129">
        <v>38505.51</v>
      </c>
    </row>
    <row r="382" spans="2:3" x14ac:dyDescent="0.3">
      <c r="B382" s="126">
        <v>45555</v>
      </c>
      <c r="C382" s="129">
        <v>38285.67</v>
      </c>
    </row>
    <row r="383" spans="2:3" x14ac:dyDescent="0.3">
      <c r="B383" s="126">
        <v>45554</v>
      </c>
      <c r="C383" s="129">
        <v>37728.83</v>
      </c>
    </row>
    <row r="384" spans="2:3" x14ac:dyDescent="0.3">
      <c r="B384" s="126">
        <v>45553</v>
      </c>
      <c r="C384" s="129">
        <v>37672.03</v>
      </c>
    </row>
    <row r="385" spans="2:3" x14ac:dyDescent="0.3">
      <c r="B385" s="126">
        <v>45552</v>
      </c>
      <c r="C385" s="129">
        <v>37732.870000000003</v>
      </c>
    </row>
    <row r="386" spans="2:3" x14ac:dyDescent="0.3">
      <c r="B386" s="126">
        <v>45551</v>
      </c>
      <c r="C386" s="129">
        <v>37681.24</v>
      </c>
    </row>
    <row r="387" spans="2:3" x14ac:dyDescent="0.3">
      <c r="B387" s="126">
        <v>45548</v>
      </c>
      <c r="C387" s="129">
        <v>37640.800000000003</v>
      </c>
    </row>
    <row r="388" spans="2:3" x14ac:dyDescent="0.3">
      <c r="B388" s="126">
        <v>45547</v>
      </c>
      <c r="C388" s="129">
        <v>37688.9</v>
      </c>
    </row>
    <row r="389" spans="2:3" x14ac:dyDescent="0.3">
      <c r="B389" s="126">
        <v>45546</v>
      </c>
      <c r="C389" s="129">
        <v>36990.519999999997</v>
      </c>
    </row>
    <row r="390" spans="2:3" x14ac:dyDescent="0.3">
      <c r="B390" s="126">
        <v>45545</v>
      </c>
      <c r="C390" s="129">
        <v>37172.57</v>
      </c>
    </row>
    <row r="391" spans="2:3" x14ac:dyDescent="0.3">
      <c r="B391" s="126">
        <v>45544</v>
      </c>
      <c r="C391" s="129">
        <v>37017.15</v>
      </c>
    </row>
    <row r="392" spans="2:3" x14ac:dyDescent="0.3">
      <c r="B392" s="126">
        <v>45541</v>
      </c>
      <c r="C392" s="129">
        <v>36892.07</v>
      </c>
    </row>
    <row r="393" spans="2:3" x14ac:dyDescent="0.3">
      <c r="B393" s="126">
        <v>45540</v>
      </c>
      <c r="C393" s="129">
        <v>37326.99</v>
      </c>
    </row>
    <row r="394" spans="2:3" x14ac:dyDescent="0.3">
      <c r="B394" s="126">
        <v>45539</v>
      </c>
      <c r="C394" s="129">
        <v>37406.550000000003</v>
      </c>
    </row>
    <row r="395" spans="2:3" x14ac:dyDescent="0.3">
      <c r="B395" s="126">
        <v>45538</v>
      </c>
      <c r="C395" s="129">
        <v>37526.97</v>
      </c>
    </row>
    <row r="396" spans="2:3" x14ac:dyDescent="0.3">
      <c r="B396" s="126">
        <v>45537</v>
      </c>
      <c r="C396" s="129">
        <v>37525.279999999999</v>
      </c>
    </row>
    <row r="397" spans="2:3" x14ac:dyDescent="0.3">
      <c r="B397" s="126">
        <v>45534</v>
      </c>
      <c r="C397" s="129">
        <v>37461.730000000003</v>
      </c>
    </row>
    <row r="398" spans="2:3" x14ac:dyDescent="0.3">
      <c r="B398" s="126">
        <v>45533</v>
      </c>
      <c r="C398" s="129">
        <v>37337.089999999997</v>
      </c>
    </row>
    <row r="399" spans="2:3" x14ac:dyDescent="0.3">
      <c r="B399" s="126">
        <v>45532</v>
      </c>
      <c r="C399" s="129">
        <v>37189.269999999997</v>
      </c>
    </row>
    <row r="400" spans="2:3" x14ac:dyDescent="0.3">
      <c r="B400" s="126">
        <v>45531</v>
      </c>
      <c r="C400" s="129">
        <v>37137.910000000003</v>
      </c>
    </row>
    <row r="401" spans="2:3" x14ac:dyDescent="0.3">
      <c r="B401" s="126">
        <v>45530</v>
      </c>
      <c r="C401" s="129">
        <v>37127.300000000003</v>
      </c>
    </row>
    <row r="402" spans="2:3" x14ac:dyDescent="0.3">
      <c r="B402" s="126">
        <v>45527</v>
      </c>
      <c r="C402" s="129">
        <v>36849.019999999997</v>
      </c>
    </row>
    <row r="403" spans="2:3" x14ac:dyDescent="0.3">
      <c r="B403" s="126">
        <v>45526</v>
      </c>
      <c r="C403" s="129">
        <v>36828.5</v>
      </c>
    </row>
    <row r="404" spans="2:3" x14ac:dyDescent="0.3">
      <c r="B404" s="126">
        <v>45525</v>
      </c>
      <c r="C404" s="129">
        <v>36767.19</v>
      </c>
    </row>
    <row r="405" spans="2:3" x14ac:dyDescent="0.3">
      <c r="B405" s="126">
        <v>45524</v>
      </c>
      <c r="C405" s="129">
        <v>36661.24</v>
      </c>
    </row>
    <row r="406" spans="2:3" x14ac:dyDescent="0.3">
      <c r="B406" s="126">
        <v>45523</v>
      </c>
      <c r="C406" s="129">
        <v>36473.949999999997</v>
      </c>
    </row>
    <row r="407" spans="2:3" x14ac:dyDescent="0.3">
      <c r="B407" s="126">
        <v>45520</v>
      </c>
      <c r="C407" s="129">
        <v>36415.85</v>
      </c>
    </row>
    <row r="408" spans="2:3" x14ac:dyDescent="0.3">
      <c r="B408" s="126">
        <v>45518</v>
      </c>
      <c r="C408" s="129">
        <v>35817.89</v>
      </c>
    </row>
    <row r="409" spans="2:3" x14ac:dyDescent="0.3">
      <c r="B409" s="126">
        <v>45517</v>
      </c>
      <c r="C409" s="129">
        <v>35810.83</v>
      </c>
    </row>
    <row r="410" spans="2:3" x14ac:dyDescent="0.3">
      <c r="B410" s="126">
        <v>45516</v>
      </c>
      <c r="C410" s="129">
        <v>36119.449999999997</v>
      </c>
    </row>
    <row r="411" spans="2:3" x14ac:dyDescent="0.3">
      <c r="B411" s="126">
        <v>45513</v>
      </c>
      <c r="C411" s="129">
        <v>36126.230000000003</v>
      </c>
    </row>
    <row r="412" spans="2:3" x14ac:dyDescent="0.3">
      <c r="B412" s="126">
        <v>45512</v>
      </c>
      <c r="C412" s="129">
        <v>35753.120000000003</v>
      </c>
    </row>
    <row r="413" spans="2:3" x14ac:dyDescent="0.3">
      <c r="B413" s="126">
        <v>45511</v>
      </c>
      <c r="C413" s="129">
        <v>36020.75</v>
      </c>
    </row>
    <row r="414" spans="2:3" x14ac:dyDescent="0.3">
      <c r="B414" s="126">
        <v>45510</v>
      </c>
      <c r="C414" s="129">
        <v>35554.15</v>
      </c>
    </row>
    <row r="415" spans="2:3" x14ac:dyDescent="0.3">
      <c r="B415" s="126">
        <v>45509</v>
      </c>
      <c r="C415" s="129">
        <v>35646.370000000003</v>
      </c>
    </row>
    <row r="416" spans="2:3" x14ac:dyDescent="0.3">
      <c r="B416" s="126">
        <v>45506</v>
      </c>
      <c r="C416" s="129">
        <v>36624.49</v>
      </c>
    </row>
    <row r="417" spans="2:3" x14ac:dyDescent="0.3">
      <c r="B417" s="126">
        <v>45505</v>
      </c>
      <c r="C417" s="129">
        <v>37049.699999999997</v>
      </c>
    </row>
    <row r="418" spans="2:3" x14ac:dyDescent="0.3">
      <c r="B418" s="126">
        <v>45504</v>
      </c>
      <c r="C418" s="129">
        <v>36959.480000000003</v>
      </c>
    </row>
    <row r="419" spans="2:3" x14ac:dyDescent="0.3">
      <c r="B419" s="126">
        <v>45503</v>
      </c>
      <c r="C419" s="129">
        <v>36820.47</v>
      </c>
    </row>
    <row r="420" spans="2:3" x14ac:dyDescent="0.3">
      <c r="B420" s="126">
        <v>45502</v>
      </c>
      <c r="C420" s="129">
        <v>36786.300000000003</v>
      </c>
    </row>
    <row r="421" spans="2:3" x14ac:dyDescent="0.3">
      <c r="B421" s="126">
        <v>45499</v>
      </c>
      <c r="C421" s="129">
        <v>36784.480000000003</v>
      </c>
    </row>
    <row r="422" spans="2:3" x14ac:dyDescent="0.3">
      <c r="B422" s="126">
        <v>45498</v>
      </c>
      <c r="C422" s="129">
        <v>36149.4</v>
      </c>
    </row>
    <row r="423" spans="2:3" x14ac:dyDescent="0.3">
      <c r="B423" s="126">
        <v>45497</v>
      </c>
      <c r="C423" s="129">
        <v>36160.36</v>
      </c>
    </row>
    <row r="424" spans="2:3" x14ac:dyDescent="0.3">
      <c r="B424" s="126">
        <v>45496</v>
      </c>
      <c r="C424" s="129">
        <v>36257.51</v>
      </c>
    </row>
    <row r="425" spans="2:3" x14ac:dyDescent="0.3">
      <c r="B425" s="126">
        <v>45495</v>
      </c>
      <c r="C425" s="129">
        <v>36296.550000000003</v>
      </c>
    </row>
    <row r="426" spans="2:3" x14ac:dyDescent="0.3">
      <c r="B426" s="126">
        <v>45492</v>
      </c>
      <c r="C426" s="129">
        <v>36328.6</v>
      </c>
    </row>
    <row r="427" spans="2:3" x14ac:dyDescent="0.3">
      <c r="B427" s="126">
        <v>45491</v>
      </c>
      <c r="C427" s="129">
        <v>36723.93</v>
      </c>
    </row>
    <row r="428" spans="2:3" x14ac:dyDescent="0.3">
      <c r="B428" s="126">
        <v>45489</v>
      </c>
      <c r="C428" s="129">
        <v>36445.79</v>
      </c>
    </row>
    <row r="429" spans="2:3" x14ac:dyDescent="0.3">
      <c r="B429" s="126">
        <v>45488</v>
      </c>
      <c r="C429" s="129">
        <v>36403.86</v>
      </c>
    </row>
    <row r="430" spans="2:3" x14ac:dyDescent="0.3">
      <c r="B430" s="126">
        <v>45485</v>
      </c>
      <c r="C430" s="129">
        <v>36278.67</v>
      </c>
    </row>
    <row r="431" spans="2:3" x14ac:dyDescent="0.3">
      <c r="B431" s="126">
        <v>45484</v>
      </c>
      <c r="C431" s="129">
        <v>36000.25</v>
      </c>
    </row>
    <row r="432" spans="2:3" x14ac:dyDescent="0.3">
      <c r="B432" s="126">
        <v>45483</v>
      </c>
      <c r="C432" s="129">
        <v>36012.82</v>
      </c>
    </row>
    <row r="433" spans="2:3" x14ac:dyDescent="0.3">
      <c r="B433" s="126">
        <v>45482</v>
      </c>
      <c r="C433" s="129">
        <v>36173.870000000003</v>
      </c>
    </row>
    <row r="434" spans="2:3" x14ac:dyDescent="0.3">
      <c r="B434" s="126">
        <v>45481</v>
      </c>
      <c r="C434" s="129">
        <v>36004.74</v>
      </c>
    </row>
    <row r="435" spans="2:3" x14ac:dyDescent="0.3">
      <c r="B435" s="126">
        <v>45478</v>
      </c>
      <c r="C435" s="129">
        <v>36009.61</v>
      </c>
    </row>
    <row r="436" spans="2:3" x14ac:dyDescent="0.3">
      <c r="B436" s="126">
        <v>45476</v>
      </c>
      <c r="C436" s="129">
        <v>35947.53</v>
      </c>
    </row>
    <row r="437" spans="2:3" x14ac:dyDescent="0.3">
      <c r="B437" s="126">
        <v>45475</v>
      </c>
      <c r="C437" s="129">
        <v>35706.769999999997</v>
      </c>
    </row>
    <row r="438" spans="2:3" x14ac:dyDescent="0.3">
      <c r="B438" s="126">
        <v>45474</v>
      </c>
      <c r="C438" s="129">
        <v>35733.58</v>
      </c>
    </row>
    <row r="439" spans="2:3" x14ac:dyDescent="0.3">
      <c r="B439" s="126">
        <v>45471</v>
      </c>
      <c r="C439" s="129">
        <v>35539.160000000003</v>
      </c>
    </row>
    <row r="440" spans="2:3" x14ac:dyDescent="0.3">
      <c r="B440" s="126">
        <v>45470</v>
      </c>
      <c r="C440" s="129">
        <v>35585.620000000003</v>
      </c>
    </row>
    <row r="441" spans="2:3" x14ac:dyDescent="0.3">
      <c r="B441" s="126">
        <v>45469</v>
      </c>
      <c r="C441" s="129">
        <v>35324.11</v>
      </c>
    </row>
    <row r="442" spans="2:3" x14ac:dyDescent="0.3">
      <c r="B442" s="126">
        <v>45468</v>
      </c>
      <c r="C442" s="129">
        <v>35105.79</v>
      </c>
    </row>
    <row r="443" spans="2:3" x14ac:dyDescent="0.3">
      <c r="B443" s="126">
        <v>45467</v>
      </c>
      <c r="C443" s="129">
        <v>34834.33</v>
      </c>
    </row>
    <row r="444" spans="2:3" x14ac:dyDescent="0.3">
      <c r="B444" s="126">
        <v>45464</v>
      </c>
      <c r="C444" s="129">
        <v>34779.9</v>
      </c>
    </row>
    <row r="445" spans="2:3" x14ac:dyDescent="0.3">
      <c r="B445" s="126">
        <v>45463</v>
      </c>
      <c r="C445" s="129">
        <v>34873.15</v>
      </c>
    </row>
    <row r="446" spans="2:3" x14ac:dyDescent="0.3">
      <c r="B446" s="126">
        <v>45462</v>
      </c>
      <c r="C446" s="129">
        <v>34786.58</v>
      </c>
    </row>
    <row r="447" spans="2:3" x14ac:dyDescent="0.3">
      <c r="B447" s="126">
        <v>45461</v>
      </c>
      <c r="C447" s="129">
        <v>34847.24</v>
      </c>
    </row>
    <row r="448" spans="2:3" x14ac:dyDescent="0.3">
      <c r="B448" s="126">
        <v>45457</v>
      </c>
      <c r="C448" s="129">
        <v>34710.67</v>
      </c>
    </row>
    <row r="449" spans="2:3" x14ac:dyDescent="0.3">
      <c r="B449" s="126">
        <v>45456</v>
      </c>
      <c r="C449" s="129">
        <v>34600.19</v>
      </c>
    </row>
    <row r="450" spans="2:3" x14ac:dyDescent="0.3">
      <c r="B450" s="126">
        <v>45455</v>
      </c>
      <c r="C450" s="129">
        <v>34487.879999999997</v>
      </c>
    </row>
    <row r="451" spans="2:3" x14ac:dyDescent="0.3">
      <c r="B451" s="126">
        <v>45454</v>
      </c>
      <c r="C451" s="129">
        <v>34402</v>
      </c>
    </row>
    <row r="452" spans="2:3" x14ac:dyDescent="0.3">
      <c r="B452" s="126">
        <v>45453</v>
      </c>
      <c r="C452" s="129">
        <v>34385.839999999997</v>
      </c>
    </row>
    <row r="453" spans="2:3" x14ac:dyDescent="0.3">
      <c r="B453" s="126">
        <v>45450</v>
      </c>
      <c r="C453" s="129">
        <v>34431.61</v>
      </c>
    </row>
    <row r="454" spans="2:3" x14ac:dyDescent="0.3">
      <c r="B454" s="126">
        <v>45449</v>
      </c>
      <c r="C454" s="129">
        <v>33738.58</v>
      </c>
    </row>
    <row r="455" spans="2:3" x14ac:dyDescent="0.3">
      <c r="B455" s="126">
        <v>45448</v>
      </c>
      <c r="C455" s="129">
        <v>33441.4</v>
      </c>
    </row>
    <row r="456" spans="2:3" x14ac:dyDescent="0.3">
      <c r="B456" s="126">
        <v>45447</v>
      </c>
      <c r="C456" s="129">
        <v>32353.5</v>
      </c>
    </row>
    <row r="457" spans="2:3" x14ac:dyDescent="0.3">
      <c r="B457" s="126">
        <v>45446</v>
      </c>
      <c r="C457" s="129">
        <v>34369.129999999997</v>
      </c>
    </row>
    <row r="458" spans="2:3" x14ac:dyDescent="0.3">
      <c r="B458" s="126">
        <v>45443</v>
      </c>
      <c r="C458" s="129">
        <v>33285.9</v>
      </c>
    </row>
    <row r="459" spans="2:3" x14ac:dyDescent="0.3">
      <c r="B459" s="126">
        <v>45442</v>
      </c>
      <c r="C459" s="129">
        <v>33190.35</v>
      </c>
    </row>
    <row r="460" spans="2:3" x14ac:dyDescent="0.3">
      <c r="B460" s="126">
        <v>45441</v>
      </c>
      <c r="C460" s="129">
        <v>33509.230000000003</v>
      </c>
    </row>
    <row r="461" spans="2:3" x14ac:dyDescent="0.3">
      <c r="B461" s="126">
        <v>45440</v>
      </c>
      <c r="C461" s="129">
        <v>33780.01</v>
      </c>
    </row>
    <row r="462" spans="2:3" x14ac:dyDescent="0.3">
      <c r="B462" s="126">
        <v>45439</v>
      </c>
      <c r="C462" s="129">
        <v>33845.39</v>
      </c>
    </row>
    <row r="463" spans="2:3" x14ac:dyDescent="0.3">
      <c r="B463" s="126">
        <v>45436</v>
      </c>
      <c r="C463" s="129">
        <v>33881.75</v>
      </c>
    </row>
    <row r="464" spans="2:3" x14ac:dyDescent="0.3">
      <c r="B464" s="126">
        <v>45435</v>
      </c>
      <c r="C464" s="129">
        <v>33895.660000000003</v>
      </c>
    </row>
    <row r="465" spans="2:3" x14ac:dyDescent="0.3">
      <c r="B465" s="126">
        <v>45434</v>
      </c>
      <c r="C465" s="129">
        <v>33349.839999999997</v>
      </c>
    </row>
    <row r="466" spans="2:3" x14ac:dyDescent="0.3">
      <c r="B466" s="126">
        <v>45433</v>
      </c>
      <c r="C466" s="129">
        <v>33230.839999999997</v>
      </c>
    </row>
    <row r="467" spans="2:3" x14ac:dyDescent="0.3">
      <c r="B467" s="126">
        <v>45430</v>
      </c>
      <c r="C467" s="129">
        <v>33190.97</v>
      </c>
    </row>
    <row r="468" spans="2:3" x14ac:dyDescent="0.3">
      <c r="B468" s="126">
        <v>45429</v>
      </c>
      <c r="C468" s="129">
        <v>33138.019999999997</v>
      </c>
    </row>
    <row r="469" spans="2:3" x14ac:dyDescent="0.3">
      <c r="B469" s="126">
        <v>45428</v>
      </c>
      <c r="C469" s="129">
        <v>33046.160000000003</v>
      </c>
    </row>
    <row r="470" spans="2:3" x14ac:dyDescent="0.3">
      <c r="B470" s="126">
        <v>45427</v>
      </c>
      <c r="C470" s="129">
        <v>32736.91</v>
      </c>
    </row>
    <row r="471" spans="2:3" x14ac:dyDescent="0.3">
      <c r="B471" s="126">
        <v>45426</v>
      </c>
      <c r="C471" s="129">
        <v>32762.37</v>
      </c>
    </row>
    <row r="472" spans="2:3" x14ac:dyDescent="0.3">
      <c r="B472" s="126">
        <v>45425</v>
      </c>
      <c r="C472" s="129">
        <v>32594.61</v>
      </c>
    </row>
    <row r="473" spans="2:3" x14ac:dyDescent="0.3">
      <c r="B473" s="126">
        <v>45422</v>
      </c>
      <c r="C473" s="129">
        <v>32522.55</v>
      </c>
    </row>
    <row r="474" spans="2:3" x14ac:dyDescent="0.3">
      <c r="B474" s="126">
        <v>45421</v>
      </c>
      <c r="C474" s="129">
        <v>32329.72</v>
      </c>
    </row>
    <row r="475" spans="2:3" x14ac:dyDescent="0.3">
      <c r="B475" s="126">
        <v>45420</v>
      </c>
      <c r="C475" s="129">
        <v>32837.65</v>
      </c>
    </row>
    <row r="476" spans="2:3" x14ac:dyDescent="0.3">
      <c r="B476" s="126">
        <v>45419</v>
      </c>
      <c r="C476" s="129">
        <v>32837.71</v>
      </c>
    </row>
    <row r="477" spans="2:3" x14ac:dyDescent="0.3">
      <c r="B477" s="126">
        <v>45418</v>
      </c>
      <c r="C477" s="129">
        <v>33037.730000000003</v>
      </c>
    </row>
    <row r="478" spans="2:3" x14ac:dyDescent="0.3">
      <c r="B478" s="126">
        <v>45415</v>
      </c>
      <c r="C478" s="129">
        <v>33086.51</v>
      </c>
    </row>
    <row r="479" spans="2:3" x14ac:dyDescent="0.3">
      <c r="B479" s="126">
        <v>45414</v>
      </c>
      <c r="C479" s="129">
        <v>33340.199999999997</v>
      </c>
    </row>
    <row r="480" spans="2:3" x14ac:dyDescent="0.3">
      <c r="B480" s="126">
        <v>45412</v>
      </c>
      <c r="C480" s="129">
        <v>33276.410000000003</v>
      </c>
    </row>
    <row r="481" spans="2:3" x14ac:dyDescent="0.3">
      <c r="B481" s="126">
        <v>45408</v>
      </c>
      <c r="C481" s="129">
        <v>33333.120000000003</v>
      </c>
    </row>
    <row r="482" spans="2:3" x14ac:dyDescent="0.3">
      <c r="B482" s="126">
        <v>45407</v>
      </c>
      <c r="C482" s="129">
        <v>33225.64</v>
      </c>
    </row>
    <row r="483" spans="2:3" x14ac:dyDescent="0.3">
      <c r="B483" s="126">
        <v>45406</v>
      </c>
      <c r="C483" s="129">
        <v>32978.370000000003</v>
      </c>
    </row>
    <row r="484" spans="2:3" x14ac:dyDescent="0.3">
      <c r="B484" s="126">
        <v>45405</v>
      </c>
      <c r="C484" s="129">
        <v>32927.730000000003</v>
      </c>
    </row>
    <row r="485" spans="2:3" x14ac:dyDescent="0.3">
      <c r="B485" s="126">
        <v>45404</v>
      </c>
      <c r="C485" s="129">
        <v>32881.22</v>
      </c>
    </row>
    <row r="486" spans="2:3" x14ac:dyDescent="0.3">
      <c r="B486" s="126">
        <v>45401</v>
      </c>
      <c r="C486" s="129">
        <v>32602.42</v>
      </c>
    </row>
    <row r="487" spans="2:3" x14ac:dyDescent="0.3">
      <c r="B487" s="126">
        <v>45400</v>
      </c>
      <c r="C487" s="129">
        <v>32379.9</v>
      </c>
    </row>
    <row r="488" spans="2:3" x14ac:dyDescent="0.3">
      <c r="B488" s="126">
        <v>45398</v>
      </c>
      <c r="C488" s="129">
        <v>32603.74</v>
      </c>
    </row>
    <row r="489" spans="2:3" x14ac:dyDescent="0.3">
      <c r="B489" s="126">
        <v>45397</v>
      </c>
      <c r="C489" s="129">
        <v>32787.15</v>
      </c>
    </row>
    <row r="490" spans="2:3" x14ac:dyDescent="0.3">
      <c r="B490" s="126">
        <v>45394</v>
      </c>
      <c r="C490" s="129">
        <v>33150.589999999997</v>
      </c>
    </row>
    <row r="491" spans="2:3" x14ac:dyDescent="0.3">
      <c r="B491" s="126">
        <v>45392</v>
      </c>
      <c r="C491" s="129">
        <v>33495.65</v>
      </c>
    </row>
    <row r="492" spans="2:3" x14ac:dyDescent="0.3">
      <c r="B492" s="126">
        <v>45391</v>
      </c>
      <c r="C492" s="129">
        <v>33332.19</v>
      </c>
    </row>
    <row r="493" spans="2:3" x14ac:dyDescent="0.3">
      <c r="B493" s="126">
        <v>45390</v>
      </c>
      <c r="C493" s="129">
        <v>33366.870000000003</v>
      </c>
    </row>
    <row r="494" spans="2:3" x14ac:dyDescent="0.3">
      <c r="B494" s="126">
        <v>45387</v>
      </c>
      <c r="C494" s="129">
        <v>33142.19</v>
      </c>
    </row>
    <row r="495" spans="2:3" x14ac:dyDescent="0.3">
      <c r="B495" s="126">
        <v>45386</v>
      </c>
      <c r="C495" s="129">
        <v>33143.589999999997</v>
      </c>
    </row>
    <row r="496" spans="2:3" x14ac:dyDescent="0.3">
      <c r="B496" s="126">
        <v>45385</v>
      </c>
      <c r="C496" s="129">
        <v>33025.82</v>
      </c>
    </row>
    <row r="497" spans="2:3" x14ac:dyDescent="0.3">
      <c r="B497" s="126">
        <v>45384</v>
      </c>
      <c r="C497" s="129">
        <v>33053.33</v>
      </c>
    </row>
    <row r="498" spans="2:3" x14ac:dyDescent="0.3">
      <c r="B498" s="126">
        <v>45383</v>
      </c>
      <c r="C498" s="129">
        <v>33066.129999999997</v>
      </c>
    </row>
    <row r="499" spans="2:3" x14ac:dyDescent="0.3">
      <c r="B499" s="126">
        <v>45379</v>
      </c>
      <c r="C499" s="129">
        <v>32867.230000000003</v>
      </c>
    </row>
    <row r="500" spans="2:3" x14ac:dyDescent="0.3">
      <c r="B500" s="126">
        <v>45378</v>
      </c>
      <c r="C500" s="129">
        <v>32568.01</v>
      </c>
    </row>
    <row r="501" spans="2:3" x14ac:dyDescent="0.3">
      <c r="B501" s="126">
        <v>45377</v>
      </c>
      <c r="C501" s="129">
        <v>32392.94</v>
      </c>
    </row>
    <row r="502" spans="2:3" x14ac:dyDescent="0.3">
      <c r="B502" s="126">
        <v>45373</v>
      </c>
      <c r="C502" s="129">
        <v>32528.43</v>
      </c>
    </row>
    <row r="503" spans="2:3" x14ac:dyDescent="0.3">
      <c r="B503" s="126">
        <v>45372</v>
      </c>
      <c r="C503" s="129">
        <v>32403.599999999999</v>
      </c>
    </row>
    <row r="504" spans="2:3" x14ac:dyDescent="0.3">
      <c r="B504" s="126">
        <v>45371</v>
      </c>
      <c r="C504" s="129">
        <v>32149.17</v>
      </c>
    </row>
    <row r="505" spans="2:3" x14ac:dyDescent="0.3">
      <c r="B505" s="126">
        <v>45370</v>
      </c>
      <c r="C505" s="129">
        <v>32117.3</v>
      </c>
    </row>
    <row r="506" spans="2:3" x14ac:dyDescent="0.3">
      <c r="B506" s="126">
        <v>45369</v>
      </c>
      <c r="C506" s="129">
        <v>32468</v>
      </c>
    </row>
    <row r="507" spans="2:3" x14ac:dyDescent="0.3">
      <c r="B507" s="126">
        <v>45367</v>
      </c>
      <c r="C507" s="129">
        <v>32603.74</v>
      </c>
    </row>
    <row r="508" spans="2:3" x14ac:dyDescent="0.3">
      <c r="B508" s="126">
        <v>45366</v>
      </c>
      <c r="C508" s="129">
        <v>32420.41</v>
      </c>
    </row>
    <row r="509" spans="2:3" x14ac:dyDescent="0.3">
      <c r="B509" s="126">
        <v>45365</v>
      </c>
      <c r="C509" s="129">
        <v>32601.49</v>
      </c>
    </row>
    <row r="510" spans="2:3" x14ac:dyDescent="0.3">
      <c r="B510" s="126">
        <v>45364</v>
      </c>
      <c r="C510" s="129">
        <v>32382.22</v>
      </c>
    </row>
    <row r="511" spans="2:3" x14ac:dyDescent="0.3">
      <c r="B511" s="126">
        <v>45363</v>
      </c>
      <c r="C511" s="129">
        <v>32879.74</v>
      </c>
    </row>
    <row r="512" spans="2:3" x14ac:dyDescent="0.3">
      <c r="B512" s="126">
        <v>45362</v>
      </c>
      <c r="C512" s="129">
        <v>32875.25</v>
      </c>
    </row>
    <row r="513" spans="2:3" x14ac:dyDescent="0.3">
      <c r="B513" s="126">
        <v>45358</v>
      </c>
      <c r="C513" s="129">
        <v>33112.15</v>
      </c>
    </row>
    <row r="514" spans="2:3" x14ac:dyDescent="0.3">
      <c r="B514" s="126">
        <v>45357</v>
      </c>
      <c r="C514" s="129">
        <v>33083.42</v>
      </c>
    </row>
    <row r="515" spans="2:3" x14ac:dyDescent="0.3">
      <c r="B515" s="126">
        <v>45356</v>
      </c>
      <c r="C515" s="129">
        <v>32910.07</v>
      </c>
    </row>
    <row r="516" spans="2:3" x14ac:dyDescent="0.3">
      <c r="B516" s="126">
        <v>45355</v>
      </c>
      <c r="C516" s="129">
        <v>32982.68</v>
      </c>
    </row>
    <row r="517" spans="2:3" x14ac:dyDescent="0.3">
      <c r="B517" s="126">
        <v>45353</v>
      </c>
      <c r="C517" s="129">
        <v>32942.629999999997</v>
      </c>
    </row>
    <row r="518" spans="2:3" x14ac:dyDescent="0.3">
      <c r="B518" s="126">
        <v>45352</v>
      </c>
      <c r="C518" s="129">
        <v>32884.29</v>
      </c>
    </row>
    <row r="519" spans="2:3" x14ac:dyDescent="0.3">
      <c r="B519" s="126">
        <v>45351</v>
      </c>
      <c r="C519" s="129">
        <v>32360.25</v>
      </c>
    </row>
    <row r="520" spans="2:3" x14ac:dyDescent="0.3">
      <c r="B520" s="126">
        <v>45350</v>
      </c>
      <c r="C520" s="129">
        <v>32313.7</v>
      </c>
    </row>
    <row r="521" spans="2:3" x14ac:dyDescent="0.3">
      <c r="B521" s="126">
        <v>45349</v>
      </c>
      <c r="C521" s="129">
        <v>32677.61</v>
      </c>
    </row>
    <row r="522" spans="2:3" x14ac:dyDescent="0.3">
      <c r="B522" s="126">
        <v>45348</v>
      </c>
      <c r="C522" s="129">
        <v>32565.29</v>
      </c>
    </row>
    <row r="523" spans="2:3" x14ac:dyDescent="0.3">
      <c r="B523" s="126">
        <v>45345</v>
      </c>
      <c r="C523" s="129">
        <v>32698.69</v>
      </c>
    </row>
    <row r="524" spans="2:3" x14ac:dyDescent="0.3">
      <c r="B524" s="126">
        <v>45344</v>
      </c>
      <c r="C524" s="129">
        <v>32705.7</v>
      </c>
    </row>
    <row r="525" spans="2:3" x14ac:dyDescent="0.3">
      <c r="B525" s="126">
        <v>45343</v>
      </c>
      <c r="C525" s="129">
        <v>32466.65</v>
      </c>
    </row>
    <row r="526" spans="2:3" x14ac:dyDescent="0.3">
      <c r="B526" s="126">
        <v>45342</v>
      </c>
      <c r="C526" s="129">
        <v>32675.53</v>
      </c>
    </row>
    <row r="527" spans="2:3" x14ac:dyDescent="0.3">
      <c r="B527" s="126">
        <v>45341</v>
      </c>
      <c r="C527" s="129">
        <v>32561.34</v>
      </c>
    </row>
    <row r="528" spans="2:3" x14ac:dyDescent="0.3">
      <c r="B528" s="126">
        <v>45338</v>
      </c>
      <c r="C528" s="129">
        <v>32441.32</v>
      </c>
    </row>
    <row r="529" spans="2:3" x14ac:dyDescent="0.3">
      <c r="B529" s="126">
        <v>45337</v>
      </c>
      <c r="C529" s="129">
        <v>32244.79</v>
      </c>
    </row>
    <row r="530" spans="2:3" x14ac:dyDescent="0.3">
      <c r="B530" s="126">
        <v>45336</v>
      </c>
      <c r="C530" s="129">
        <v>32133.040000000001</v>
      </c>
    </row>
    <row r="531" spans="2:3" x14ac:dyDescent="0.3">
      <c r="B531" s="126">
        <v>45335</v>
      </c>
      <c r="C531" s="129">
        <v>31990.61</v>
      </c>
    </row>
    <row r="532" spans="2:3" x14ac:dyDescent="0.3">
      <c r="B532" s="126">
        <v>45334</v>
      </c>
      <c r="C532" s="129">
        <v>31803.52</v>
      </c>
    </row>
    <row r="533" spans="2:3" x14ac:dyDescent="0.3">
      <c r="B533" s="126">
        <v>45331</v>
      </c>
      <c r="C533" s="129">
        <v>32048.38</v>
      </c>
    </row>
    <row r="534" spans="2:3" x14ac:dyDescent="0.3">
      <c r="B534" s="126">
        <v>45330</v>
      </c>
      <c r="C534" s="129">
        <v>31950.32</v>
      </c>
    </row>
    <row r="535" spans="2:3" x14ac:dyDescent="0.3">
      <c r="B535" s="126">
        <v>45329</v>
      </c>
      <c r="C535" s="129">
        <v>32244.22</v>
      </c>
    </row>
    <row r="536" spans="2:3" x14ac:dyDescent="0.3">
      <c r="B536" s="126">
        <v>45328</v>
      </c>
      <c r="C536" s="129">
        <v>32242.59</v>
      </c>
    </row>
    <row r="537" spans="2:3" x14ac:dyDescent="0.3">
      <c r="B537" s="126">
        <v>45327</v>
      </c>
      <c r="C537" s="129">
        <v>32007.18</v>
      </c>
    </row>
    <row r="538" spans="2:3" x14ac:dyDescent="0.3">
      <c r="B538" s="126">
        <v>45324</v>
      </c>
      <c r="C538" s="129">
        <v>32127.9</v>
      </c>
    </row>
    <row r="539" spans="2:3" x14ac:dyDescent="0.3">
      <c r="B539" s="126">
        <v>45323</v>
      </c>
      <c r="C539" s="129">
        <v>31898.06</v>
      </c>
    </row>
    <row r="540" spans="2:3" x14ac:dyDescent="0.3">
      <c r="B540" s="126">
        <v>45322</v>
      </c>
      <c r="C540" s="129">
        <v>31939.59</v>
      </c>
    </row>
    <row r="541" spans="2:3" x14ac:dyDescent="0.3">
      <c r="B541" s="126">
        <v>45321</v>
      </c>
      <c r="C541" s="129">
        <v>31640.240000000002</v>
      </c>
    </row>
    <row r="542" spans="2:3" x14ac:dyDescent="0.3">
      <c r="B542" s="126">
        <v>45320</v>
      </c>
      <c r="C542" s="129">
        <v>31957.05</v>
      </c>
    </row>
    <row r="543" spans="2:3" x14ac:dyDescent="0.3">
      <c r="B543" s="126">
        <v>45316</v>
      </c>
      <c r="C543" s="129">
        <v>31391.07</v>
      </c>
    </row>
    <row r="544" spans="2:3" x14ac:dyDescent="0.3">
      <c r="B544" s="126">
        <v>45315</v>
      </c>
      <c r="C544" s="129">
        <v>31540.07</v>
      </c>
    </row>
    <row r="545" spans="2:3" x14ac:dyDescent="0.3">
      <c r="B545" s="126">
        <v>45314</v>
      </c>
      <c r="C545" s="129">
        <v>31223.3</v>
      </c>
    </row>
    <row r="546" spans="2:3" x14ac:dyDescent="0.3">
      <c r="B546" s="126">
        <v>45311</v>
      </c>
      <c r="C546" s="129">
        <v>31712.86</v>
      </c>
    </row>
    <row r="547" spans="2:3" x14ac:dyDescent="0.3">
      <c r="B547" s="126">
        <v>45310</v>
      </c>
      <c r="C547" s="129">
        <v>31787.24</v>
      </c>
    </row>
    <row r="548" spans="2:3" x14ac:dyDescent="0.3">
      <c r="B548" s="126">
        <v>45309</v>
      </c>
      <c r="C548" s="129">
        <v>31538.400000000001</v>
      </c>
    </row>
    <row r="549" spans="2:3" x14ac:dyDescent="0.3">
      <c r="B549" s="126">
        <v>45308</v>
      </c>
      <c r="C549" s="129">
        <v>31699.64</v>
      </c>
    </row>
    <row r="550" spans="2:3" x14ac:dyDescent="0.3">
      <c r="B550" s="126">
        <v>45307</v>
      </c>
      <c r="C550" s="129">
        <v>32376.1</v>
      </c>
    </row>
    <row r="551" spans="2:3" x14ac:dyDescent="0.3">
      <c r="B551" s="126">
        <v>45306</v>
      </c>
      <c r="C551" s="129">
        <v>32471.8</v>
      </c>
    </row>
    <row r="552" spans="2:3" x14ac:dyDescent="0.3">
      <c r="B552" s="126">
        <v>45303</v>
      </c>
      <c r="C552" s="129">
        <v>32173.66</v>
      </c>
    </row>
    <row r="553" spans="2:3" x14ac:dyDescent="0.3">
      <c r="B553" s="126">
        <v>45302</v>
      </c>
      <c r="C553" s="129">
        <v>31810.18</v>
      </c>
    </row>
    <row r="554" spans="2:3" x14ac:dyDescent="0.3">
      <c r="B554" s="126">
        <v>45301</v>
      </c>
      <c r="C554" s="129">
        <v>31768.3</v>
      </c>
    </row>
    <row r="555" spans="2:3" x14ac:dyDescent="0.3">
      <c r="B555" s="126">
        <v>45300</v>
      </c>
      <c r="C555" s="129">
        <v>31659.81</v>
      </c>
    </row>
    <row r="556" spans="2:3" x14ac:dyDescent="0.3">
      <c r="B556" s="126">
        <v>45299</v>
      </c>
      <c r="C556" s="129">
        <v>31613.01</v>
      </c>
    </row>
    <row r="557" spans="2:3" x14ac:dyDescent="0.3">
      <c r="B557" s="126">
        <v>45296</v>
      </c>
      <c r="C557" s="129">
        <v>31903.69</v>
      </c>
    </row>
    <row r="558" spans="2:3" x14ac:dyDescent="0.3">
      <c r="B558" s="126">
        <v>45295</v>
      </c>
      <c r="C558" s="129">
        <v>31826.97</v>
      </c>
    </row>
    <row r="559" spans="2:3" x14ac:dyDescent="0.3">
      <c r="B559" s="126">
        <v>45294</v>
      </c>
      <c r="C559" s="129">
        <v>31619.360000000001</v>
      </c>
    </row>
    <row r="560" spans="2:3" x14ac:dyDescent="0.3">
      <c r="B560" s="126">
        <v>45293</v>
      </c>
      <c r="C560" s="129">
        <v>31837.56</v>
      </c>
    </row>
    <row r="561" spans="2:3" x14ac:dyDescent="0.3">
      <c r="B561" s="126">
        <v>45292</v>
      </c>
      <c r="C561" s="129">
        <v>31949.360000000001</v>
      </c>
    </row>
    <row r="562" spans="2:3" x14ac:dyDescent="0.3">
      <c r="B562" s="126">
        <v>45289</v>
      </c>
      <c r="C562" s="129">
        <v>31933.93</v>
      </c>
    </row>
    <row r="563" spans="2:3" x14ac:dyDescent="0.3">
      <c r="B563" s="126">
        <v>45288</v>
      </c>
      <c r="C563" s="129">
        <v>32003.47</v>
      </c>
    </row>
    <row r="564" spans="2:3" x14ac:dyDescent="0.3">
      <c r="B564" s="126">
        <v>45287</v>
      </c>
      <c r="C564" s="129">
        <v>31821.31</v>
      </c>
    </row>
    <row r="565" spans="2:3" x14ac:dyDescent="0.3">
      <c r="B565" s="126">
        <v>45286</v>
      </c>
      <c r="C565" s="129">
        <v>31507.69</v>
      </c>
    </row>
    <row r="566" spans="2:3" x14ac:dyDescent="0.3">
      <c r="B566" s="126">
        <v>45282</v>
      </c>
      <c r="C566" s="129">
        <v>31372.6</v>
      </c>
    </row>
    <row r="567" spans="2:3" x14ac:dyDescent="0.3">
      <c r="B567" s="126">
        <v>45281</v>
      </c>
      <c r="C567" s="129">
        <v>31233.93</v>
      </c>
    </row>
    <row r="568" spans="2:3" x14ac:dyDescent="0.3">
      <c r="B568" s="126">
        <v>45280</v>
      </c>
      <c r="C568" s="129">
        <v>31079.759999999998</v>
      </c>
    </row>
    <row r="569" spans="2:3" x14ac:dyDescent="0.3">
      <c r="B569" s="126">
        <v>45279</v>
      </c>
      <c r="C569" s="129">
        <v>31525</v>
      </c>
    </row>
    <row r="570" spans="2:3" x14ac:dyDescent="0.3">
      <c r="B570" s="126">
        <v>45278</v>
      </c>
      <c r="C570" s="129">
        <v>31474.35</v>
      </c>
    </row>
    <row r="571" spans="2:3" x14ac:dyDescent="0.3">
      <c r="B571" s="126">
        <v>45275</v>
      </c>
      <c r="C571" s="129">
        <v>31530.19</v>
      </c>
    </row>
    <row r="572" spans="2:3" x14ac:dyDescent="0.3">
      <c r="B572" s="126">
        <v>45274</v>
      </c>
      <c r="C572" s="129">
        <v>31127.599999999999</v>
      </c>
    </row>
    <row r="573" spans="2:3" x14ac:dyDescent="0.3">
      <c r="B573" s="126">
        <v>45273</v>
      </c>
      <c r="C573" s="129">
        <v>30750.95</v>
      </c>
    </row>
    <row r="574" spans="2:3" x14ac:dyDescent="0.3">
      <c r="B574" s="126">
        <v>45272</v>
      </c>
      <c r="C574" s="129">
        <v>30721.59</v>
      </c>
    </row>
    <row r="575" spans="2:3" x14ac:dyDescent="0.3">
      <c r="B575" s="126">
        <v>45271</v>
      </c>
      <c r="C575" s="129">
        <v>30854.9</v>
      </c>
    </row>
    <row r="576" spans="2:3" x14ac:dyDescent="0.3">
      <c r="B576" s="126">
        <v>45268</v>
      </c>
      <c r="C576" s="129">
        <v>30814.15</v>
      </c>
    </row>
    <row r="577" spans="2:3" x14ac:dyDescent="0.3">
      <c r="B577" s="126">
        <v>45267</v>
      </c>
      <c r="C577" s="129">
        <v>30713.86</v>
      </c>
    </row>
    <row r="578" spans="2:3" x14ac:dyDescent="0.3">
      <c r="B578" s="126">
        <v>45266</v>
      </c>
      <c r="C578" s="129">
        <v>30767.599999999999</v>
      </c>
    </row>
    <row r="579" spans="2:3" x14ac:dyDescent="0.3">
      <c r="B579" s="126">
        <v>45265</v>
      </c>
      <c r="C579" s="129">
        <v>30646.19</v>
      </c>
    </row>
    <row r="580" spans="2:3" x14ac:dyDescent="0.3">
      <c r="B580" s="126">
        <v>45264</v>
      </c>
      <c r="C580" s="129">
        <v>30398.91</v>
      </c>
    </row>
    <row r="581" spans="2:3" x14ac:dyDescent="0.3">
      <c r="B581" s="126">
        <v>45261</v>
      </c>
      <c r="C581" s="129">
        <v>29783.34</v>
      </c>
    </row>
    <row r="582" spans="2:3" x14ac:dyDescent="0.3">
      <c r="B582" s="126">
        <v>45260</v>
      </c>
      <c r="C582" s="129">
        <v>29585.360000000001</v>
      </c>
    </row>
    <row r="583" spans="2:3" x14ac:dyDescent="0.3">
      <c r="B583" s="126">
        <v>45259</v>
      </c>
      <c r="C583" s="129">
        <v>29531.63</v>
      </c>
    </row>
    <row r="584" spans="2:3" x14ac:dyDescent="0.3">
      <c r="B584" s="126">
        <v>45258</v>
      </c>
      <c r="C584" s="129">
        <v>29227.61</v>
      </c>
    </row>
    <row r="585" spans="2:3" x14ac:dyDescent="0.3">
      <c r="B585" s="126">
        <v>45254</v>
      </c>
      <c r="C585" s="129">
        <v>29087.95</v>
      </c>
    </row>
    <row r="586" spans="2:3" x14ac:dyDescent="0.3">
      <c r="B586" s="126">
        <v>45253</v>
      </c>
      <c r="C586" s="129">
        <v>29098.74</v>
      </c>
    </row>
    <row r="587" spans="2:3" x14ac:dyDescent="0.3">
      <c r="B587" s="126">
        <v>45252</v>
      </c>
      <c r="C587" s="129">
        <v>29113.18</v>
      </c>
    </row>
    <row r="588" spans="2:3" x14ac:dyDescent="0.3">
      <c r="B588" s="126">
        <v>45251</v>
      </c>
      <c r="C588" s="129">
        <v>29071.360000000001</v>
      </c>
    </row>
    <row r="589" spans="2:3" x14ac:dyDescent="0.3">
      <c r="B589" s="126">
        <v>45250</v>
      </c>
      <c r="C589" s="129">
        <v>28939.98</v>
      </c>
    </row>
    <row r="590" spans="2:3" x14ac:dyDescent="0.3">
      <c r="B590" s="126">
        <v>45247</v>
      </c>
      <c r="C590" s="129">
        <v>28995.52</v>
      </c>
    </row>
    <row r="591" spans="2:3" x14ac:dyDescent="0.3">
      <c r="B591" s="126">
        <v>45246</v>
      </c>
      <c r="C591" s="129">
        <v>29044.66</v>
      </c>
    </row>
    <row r="592" spans="2:3" x14ac:dyDescent="0.3">
      <c r="B592" s="126">
        <v>45245</v>
      </c>
      <c r="C592" s="129">
        <v>28906.7</v>
      </c>
    </row>
    <row r="593" spans="2:3" x14ac:dyDescent="0.3">
      <c r="B593" s="126">
        <v>45243</v>
      </c>
      <c r="C593" s="129">
        <v>28565.95</v>
      </c>
    </row>
    <row r="594" spans="2:3" x14ac:dyDescent="0.3">
      <c r="B594" s="126">
        <v>45242</v>
      </c>
      <c r="C594" s="129">
        <v>28686.47</v>
      </c>
    </row>
    <row r="595" spans="2:3" x14ac:dyDescent="0.3">
      <c r="B595" s="126">
        <v>45240</v>
      </c>
      <c r="C595" s="129">
        <v>28539.24</v>
      </c>
    </row>
    <row r="596" spans="2:3" x14ac:dyDescent="0.3">
      <c r="B596" s="126">
        <v>45239</v>
      </c>
      <c r="C596" s="129">
        <v>28495.08</v>
      </c>
    </row>
    <row r="597" spans="2:3" x14ac:dyDescent="0.3">
      <c r="B597" s="126">
        <v>45238</v>
      </c>
      <c r="C597" s="129">
        <v>28565.86</v>
      </c>
    </row>
    <row r="598" spans="2:3" x14ac:dyDescent="0.3">
      <c r="B598" s="126">
        <v>45237</v>
      </c>
      <c r="C598" s="129">
        <v>28511.81</v>
      </c>
    </row>
    <row r="599" spans="2:3" x14ac:dyDescent="0.3">
      <c r="B599" s="126">
        <v>45236</v>
      </c>
      <c r="C599" s="129">
        <v>28519.25</v>
      </c>
    </row>
    <row r="600" spans="2:3" x14ac:dyDescent="0.3">
      <c r="B600" s="126">
        <v>45233</v>
      </c>
      <c r="C600" s="129">
        <v>28253.09</v>
      </c>
    </row>
    <row r="601" spans="2:3" x14ac:dyDescent="0.3">
      <c r="B601" s="126">
        <v>45232</v>
      </c>
      <c r="C601" s="129">
        <v>28105.75</v>
      </c>
    </row>
    <row r="602" spans="2:3" x14ac:dyDescent="0.3">
      <c r="B602" s="126">
        <v>45231</v>
      </c>
      <c r="C602" s="129">
        <v>27886.240000000002</v>
      </c>
    </row>
    <row r="603" spans="2:3" x14ac:dyDescent="0.3">
      <c r="B603" s="126">
        <v>45230</v>
      </c>
      <c r="C603" s="129">
        <v>28017.360000000001</v>
      </c>
    </row>
    <row r="604" spans="2:3" x14ac:dyDescent="0.3">
      <c r="B604" s="126">
        <v>45229</v>
      </c>
      <c r="C604" s="129">
        <v>28107.42</v>
      </c>
    </row>
    <row r="605" spans="2:3" x14ac:dyDescent="0.3">
      <c r="B605" s="126">
        <v>45226</v>
      </c>
      <c r="C605" s="129">
        <v>27969.919999999998</v>
      </c>
    </row>
    <row r="606" spans="2:3" x14ac:dyDescent="0.3">
      <c r="B606" s="126">
        <v>45225</v>
      </c>
      <c r="C606" s="129">
        <v>27690.29</v>
      </c>
    </row>
    <row r="607" spans="2:3" x14ac:dyDescent="0.3">
      <c r="B607" s="126">
        <v>45224</v>
      </c>
      <c r="C607" s="129">
        <v>28079.26</v>
      </c>
    </row>
    <row r="608" spans="2:3" x14ac:dyDescent="0.3">
      <c r="B608" s="126">
        <v>45222</v>
      </c>
      <c r="C608" s="129">
        <v>28291.96</v>
      </c>
    </row>
    <row r="609" spans="2:3" x14ac:dyDescent="0.3">
      <c r="B609" s="126">
        <v>45219</v>
      </c>
      <c r="C609" s="129">
        <v>28674.78</v>
      </c>
    </row>
    <row r="610" spans="2:3" x14ac:dyDescent="0.3">
      <c r="B610" s="126">
        <v>45218</v>
      </c>
      <c r="C610" s="129">
        <v>28790.880000000001</v>
      </c>
    </row>
    <row r="611" spans="2:3" x14ac:dyDescent="0.3">
      <c r="B611" s="126">
        <v>45217</v>
      </c>
      <c r="C611" s="129">
        <v>28855.87</v>
      </c>
    </row>
    <row r="612" spans="2:3" x14ac:dyDescent="0.3">
      <c r="B612" s="126">
        <v>45216</v>
      </c>
      <c r="C612" s="129">
        <v>29061.8</v>
      </c>
    </row>
    <row r="613" spans="2:3" x14ac:dyDescent="0.3">
      <c r="B613" s="126">
        <v>45215</v>
      </c>
      <c r="C613" s="129">
        <v>28944.87</v>
      </c>
    </row>
    <row r="614" spans="2:3" x14ac:dyDescent="0.3">
      <c r="B614" s="126">
        <v>45212</v>
      </c>
      <c r="C614" s="129">
        <v>28973.14</v>
      </c>
    </row>
    <row r="615" spans="2:3" x14ac:dyDescent="0.3">
      <c r="B615" s="126">
        <v>45211</v>
      </c>
      <c r="C615" s="129">
        <v>29036.17</v>
      </c>
    </row>
    <row r="616" spans="2:3" x14ac:dyDescent="0.3">
      <c r="B616" s="126">
        <v>45210</v>
      </c>
      <c r="C616" s="129">
        <v>29061.61</v>
      </c>
    </row>
    <row r="617" spans="2:3" x14ac:dyDescent="0.3">
      <c r="B617" s="126">
        <v>45209</v>
      </c>
      <c r="C617" s="129">
        <v>28883.35</v>
      </c>
    </row>
    <row r="618" spans="2:3" x14ac:dyDescent="0.3">
      <c r="B618" s="126">
        <v>45208</v>
      </c>
      <c r="C618" s="129">
        <v>28622.98</v>
      </c>
    </row>
    <row r="619" spans="2:3" x14ac:dyDescent="0.3">
      <c r="B619" s="126">
        <v>45205</v>
      </c>
      <c r="C619" s="129">
        <v>28830.080000000002</v>
      </c>
    </row>
    <row r="620" spans="2:3" x14ac:dyDescent="0.3">
      <c r="B620" s="126">
        <v>45204</v>
      </c>
      <c r="C620" s="129">
        <v>28671.97</v>
      </c>
    </row>
    <row r="621" spans="2:3" x14ac:dyDescent="0.3">
      <c r="B621" s="126">
        <v>45203</v>
      </c>
      <c r="C621" s="129">
        <v>28511.13</v>
      </c>
    </row>
    <row r="622" spans="2:3" x14ac:dyDescent="0.3">
      <c r="B622" s="126">
        <v>45202</v>
      </c>
      <c r="C622" s="129">
        <v>28647.040000000001</v>
      </c>
    </row>
    <row r="623" spans="2:3" x14ac:dyDescent="0.3">
      <c r="B623" s="126">
        <v>45198</v>
      </c>
      <c r="C623" s="129">
        <v>28807.77</v>
      </c>
    </row>
    <row r="624" spans="2:3" x14ac:dyDescent="0.3">
      <c r="B624" s="126">
        <v>45197</v>
      </c>
      <c r="C624" s="129">
        <v>28639.439999999999</v>
      </c>
    </row>
    <row r="625" spans="2:3" x14ac:dyDescent="0.3">
      <c r="B625" s="126">
        <v>45196</v>
      </c>
      <c r="C625" s="129">
        <v>28922.43</v>
      </c>
    </row>
    <row r="626" spans="2:3" x14ac:dyDescent="0.3">
      <c r="B626" s="126">
        <v>45195</v>
      </c>
      <c r="C626" s="129">
        <v>28846.47</v>
      </c>
    </row>
    <row r="627" spans="2:3" x14ac:dyDescent="0.3">
      <c r="B627" s="126">
        <v>45194</v>
      </c>
      <c r="C627" s="129">
        <v>28860.9</v>
      </c>
    </row>
    <row r="628" spans="2:3" x14ac:dyDescent="0.3">
      <c r="B628" s="126">
        <v>45191</v>
      </c>
      <c r="C628" s="129">
        <v>28860.46</v>
      </c>
    </row>
    <row r="629" spans="2:3" x14ac:dyDescent="0.3">
      <c r="B629" s="126">
        <v>45190</v>
      </c>
      <c r="C629" s="129">
        <v>28960.36</v>
      </c>
    </row>
    <row r="630" spans="2:3" x14ac:dyDescent="0.3">
      <c r="B630" s="126">
        <v>45189</v>
      </c>
      <c r="C630" s="129">
        <v>29193.69</v>
      </c>
    </row>
    <row r="631" spans="2:3" x14ac:dyDescent="0.3">
      <c r="B631" s="126">
        <v>45187</v>
      </c>
      <c r="C631" s="129">
        <v>29533.91</v>
      </c>
    </row>
    <row r="632" spans="2:3" x14ac:dyDescent="0.3">
      <c r="B632" s="126">
        <v>45184</v>
      </c>
      <c r="C632" s="129">
        <v>29620.53</v>
      </c>
    </row>
    <row r="633" spans="2:3" x14ac:dyDescent="0.3">
      <c r="B633" s="126">
        <v>45183</v>
      </c>
      <c r="C633" s="129">
        <v>29489.61</v>
      </c>
    </row>
    <row r="634" spans="2:3" x14ac:dyDescent="0.3">
      <c r="B634" s="126">
        <v>45182</v>
      </c>
      <c r="C634" s="129">
        <v>29441.040000000001</v>
      </c>
    </row>
    <row r="635" spans="2:3" x14ac:dyDescent="0.3">
      <c r="B635" s="126">
        <v>45181</v>
      </c>
      <c r="C635" s="129">
        <v>29328.37</v>
      </c>
    </row>
    <row r="636" spans="2:3" x14ac:dyDescent="0.3">
      <c r="B636" s="126">
        <v>45180</v>
      </c>
      <c r="C636" s="129">
        <v>29333</v>
      </c>
    </row>
    <row r="637" spans="2:3" x14ac:dyDescent="0.3">
      <c r="B637" s="126">
        <v>45177</v>
      </c>
      <c r="C637" s="129">
        <v>29074.22</v>
      </c>
    </row>
    <row r="638" spans="2:3" x14ac:dyDescent="0.3">
      <c r="B638" s="126">
        <v>45176</v>
      </c>
      <c r="C638" s="129">
        <v>28937.96</v>
      </c>
    </row>
    <row r="639" spans="2:3" x14ac:dyDescent="0.3">
      <c r="B639" s="126">
        <v>45175</v>
      </c>
      <c r="C639" s="129">
        <v>28767.78</v>
      </c>
    </row>
    <row r="640" spans="2:3" x14ac:dyDescent="0.3">
      <c r="B640" s="126">
        <v>45174</v>
      </c>
      <c r="C640" s="129">
        <v>28714.78</v>
      </c>
    </row>
    <row r="641" spans="2:3" x14ac:dyDescent="0.3">
      <c r="B641" s="126">
        <v>45173</v>
      </c>
      <c r="C641" s="129">
        <v>28647.16</v>
      </c>
    </row>
    <row r="642" spans="2:3" x14ac:dyDescent="0.3">
      <c r="B642" s="126">
        <v>45170</v>
      </c>
      <c r="C642" s="129">
        <v>28509.94</v>
      </c>
    </row>
    <row r="643" spans="2:3" x14ac:dyDescent="0.3">
      <c r="B643" s="126">
        <v>45169</v>
      </c>
      <c r="C643" s="129">
        <v>28243.74</v>
      </c>
    </row>
    <row r="644" spans="2:3" x14ac:dyDescent="0.3">
      <c r="B644" s="126">
        <v>45168</v>
      </c>
      <c r="C644" s="129">
        <v>28381.13</v>
      </c>
    </row>
    <row r="645" spans="2:3" x14ac:dyDescent="0.3">
      <c r="B645" s="126">
        <v>45167</v>
      </c>
      <c r="C645" s="129">
        <v>28374.03</v>
      </c>
    </row>
    <row r="646" spans="2:3" x14ac:dyDescent="0.3">
      <c r="B646" s="126">
        <v>45166</v>
      </c>
      <c r="C646" s="129">
        <v>28320.400000000001</v>
      </c>
    </row>
    <row r="647" spans="2:3" x14ac:dyDescent="0.3">
      <c r="B647" s="126">
        <v>45163</v>
      </c>
      <c r="C647" s="129">
        <v>28261.32</v>
      </c>
    </row>
    <row r="648" spans="2:3" x14ac:dyDescent="0.3">
      <c r="B648" s="126">
        <v>45162</v>
      </c>
      <c r="C648" s="129">
        <v>28438.68</v>
      </c>
    </row>
    <row r="649" spans="2:3" x14ac:dyDescent="0.3">
      <c r="B649" s="126">
        <v>45161</v>
      </c>
      <c r="C649" s="129">
        <v>28522.76</v>
      </c>
    </row>
    <row r="650" spans="2:3" x14ac:dyDescent="0.3">
      <c r="B650" s="126">
        <v>45160</v>
      </c>
      <c r="C650" s="129">
        <v>28453.01</v>
      </c>
    </row>
    <row r="651" spans="2:3" x14ac:dyDescent="0.3">
      <c r="B651" s="126">
        <v>45159</v>
      </c>
      <c r="C651" s="129">
        <v>28448.83</v>
      </c>
    </row>
    <row r="652" spans="2:3" x14ac:dyDescent="0.3">
      <c r="B652" s="126">
        <v>45156</v>
      </c>
      <c r="C652" s="129">
        <v>28316.31</v>
      </c>
    </row>
    <row r="653" spans="2:3" x14ac:dyDescent="0.3">
      <c r="B653" s="126">
        <v>45155</v>
      </c>
      <c r="C653" s="129">
        <v>28393.16</v>
      </c>
    </row>
    <row r="654" spans="2:3" x14ac:dyDescent="0.3">
      <c r="B654" s="126">
        <v>45154</v>
      </c>
      <c r="C654" s="129">
        <v>28539.38</v>
      </c>
    </row>
    <row r="655" spans="2:3" x14ac:dyDescent="0.3">
      <c r="B655" s="126">
        <v>45152</v>
      </c>
      <c r="C655" s="129">
        <v>28494.78</v>
      </c>
    </row>
    <row r="656" spans="2:3" x14ac:dyDescent="0.3">
      <c r="B656" s="126">
        <v>45149</v>
      </c>
      <c r="C656" s="129">
        <v>28482.45</v>
      </c>
    </row>
    <row r="657" spans="2:3" x14ac:dyDescent="0.3">
      <c r="B657" s="126">
        <v>45148</v>
      </c>
      <c r="C657" s="129">
        <v>28638.92</v>
      </c>
    </row>
    <row r="658" spans="2:3" x14ac:dyDescent="0.3">
      <c r="B658" s="126">
        <v>45147</v>
      </c>
      <c r="C658" s="129">
        <v>28769.97</v>
      </c>
    </row>
    <row r="659" spans="2:3" x14ac:dyDescent="0.3">
      <c r="B659" s="126">
        <v>45146</v>
      </c>
      <c r="C659" s="129">
        <v>28661.08</v>
      </c>
    </row>
    <row r="660" spans="2:3" x14ac:dyDescent="0.3">
      <c r="B660" s="126">
        <v>45145</v>
      </c>
      <c r="C660" s="129">
        <v>28699.8</v>
      </c>
    </row>
    <row r="661" spans="2:3" x14ac:dyDescent="0.3">
      <c r="B661" s="126">
        <v>45142</v>
      </c>
      <c r="C661" s="129">
        <v>28582.25</v>
      </c>
    </row>
    <row r="662" spans="2:3" x14ac:dyDescent="0.3">
      <c r="B662" s="126">
        <v>45141</v>
      </c>
      <c r="C662" s="129">
        <v>28383.279999999999</v>
      </c>
    </row>
    <row r="663" spans="2:3" x14ac:dyDescent="0.3">
      <c r="B663" s="126">
        <v>45140</v>
      </c>
      <c r="C663" s="129">
        <v>28589.81</v>
      </c>
    </row>
    <row r="664" spans="2:3" x14ac:dyDescent="0.3">
      <c r="B664" s="126">
        <v>45139</v>
      </c>
      <c r="C664" s="129">
        <v>28880.78</v>
      </c>
    </row>
    <row r="665" spans="2:3" x14ac:dyDescent="0.3">
      <c r="B665" s="126">
        <v>45138</v>
      </c>
      <c r="C665" s="129">
        <v>28910.43</v>
      </c>
    </row>
    <row r="666" spans="2:3" x14ac:dyDescent="0.3">
      <c r="B666" s="126">
        <v>45135</v>
      </c>
      <c r="C666" s="129">
        <v>28752.69</v>
      </c>
    </row>
    <row r="667" spans="2:3" x14ac:dyDescent="0.3">
      <c r="B667" s="126">
        <v>45134</v>
      </c>
      <c r="C667" s="129">
        <v>28769.02</v>
      </c>
    </row>
    <row r="668" spans="2:3" x14ac:dyDescent="0.3">
      <c r="B668" s="126">
        <v>45133</v>
      </c>
      <c r="C668" s="129">
        <v>28939.3</v>
      </c>
    </row>
    <row r="669" spans="2:3" x14ac:dyDescent="0.3">
      <c r="B669" s="126">
        <v>45132</v>
      </c>
      <c r="C669" s="129">
        <v>28796.35</v>
      </c>
    </row>
    <row r="670" spans="2:3" x14ac:dyDescent="0.3">
      <c r="B670" s="126">
        <v>45131</v>
      </c>
      <c r="C670" s="129">
        <v>28784.26</v>
      </c>
    </row>
    <row r="671" spans="2:3" x14ac:dyDescent="0.3">
      <c r="B671" s="126">
        <v>45128</v>
      </c>
      <c r="C671" s="129">
        <v>28890.53</v>
      </c>
    </row>
    <row r="672" spans="2:3" x14ac:dyDescent="0.3">
      <c r="B672" s="126">
        <v>45127</v>
      </c>
      <c r="C672" s="129">
        <v>29231.71</v>
      </c>
    </row>
    <row r="673" spans="2:3" x14ac:dyDescent="0.3">
      <c r="B673" s="126">
        <v>45126</v>
      </c>
      <c r="C673" s="129">
        <v>29011.55</v>
      </c>
    </row>
    <row r="674" spans="2:3" x14ac:dyDescent="0.3">
      <c r="B674" s="126">
        <v>45125</v>
      </c>
      <c r="C674" s="129">
        <v>28888.85</v>
      </c>
    </row>
    <row r="675" spans="2:3" x14ac:dyDescent="0.3">
      <c r="B675" s="126">
        <v>45124</v>
      </c>
      <c r="C675" s="129">
        <v>28833.54</v>
      </c>
    </row>
    <row r="676" spans="2:3" x14ac:dyDescent="0.3">
      <c r="B676" s="126">
        <v>45121</v>
      </c>
      <c r="C676" s="129">
        <v>28618.6</v>
      </c>
    </row>
    <row r="677" spans="2:3" x14ac:dyDescent="0.3">
      <c r="B677" s="126">
        <v>45120</v>
      </c>
      <c r="C677" s="129">
        <v>28393.32</v>
      </c>
    </row>
    <row r="678" spans="2:3" x14ac:dyDescent="0.3">
      <c r="B678" s="126">
        <v>45119</v>
      </c>
      <c r="C678" s="129">
        <v>28348.880000000001</v>
      </c>
    </row>
    <row r="679" spans="2:3" x14ac:dyDescent="0.3">
      <c r="B679" s="126">
        <v>45118</v>
      </c>
      <c r="C679" s="129">
        <v>28429.42</v>
      </c>
    </row>
    <row r="680" spans="2:3" x14ac:dyDescent="0.3">
      <c r="B680" s="126">
        <v>45117</v>
      </c>
      <c r="C680" s="129">
        <v>28304.66</v>
      </c>
    </row>
    <row r="681" spans="2:3" x14ac:dyDescent="0.3">
      <c r="B681" s="126">
        <v>45114</v>
      </c>
      <c r="C681" s="129">
        <v>28269.43</v>
      </c>
    </row>
    <row r="682" spans="2:3" x14ac:dyDescent="0.3">
      <c r="B682" s="126">
        <v>45113</v>
      </c>
      <c r="C682" s="129">
        <v>28510.39</v>
      </c>
    </row>
    <row r="683" spans="2:3" x14ac:dyDescent="0.3">
      <c r="B683" s="126">
        <v>45112</v>
      </c>
      <c r="C683" s="129">
        <v>28365.96</v>
      </c>
    </row>
    <row r="684" spans="2:3" x14ac:dyDescent="0.3">
      <c r="B684" s="126">
        <v>45111</v>
      </c>
      <c r="C684" s="129">
        <v>28352.01</v>
      </c>
    </row>
    <row r="685" spans="2:3" x14ac:dyDescent="0.3">
      <c r="B685" s="126">
        <v>45110</v>
      </c>
      <c r="C685" s="129">
        <v>28254.9</v>
      </c>
    </row>
    <row r="686" spans="2:3" x14ac:dyDescent="0.3">
      <c r="B686" s="126">
        <v>45107</v>
      </c>
      <c r="C686" s="129">
        <v>28059.65</v>
      </c>
    </row>
    <row r="687" spans="2:3" x14ac:dyDescent="0.3">
      <c r="B687" s="126">
        <v>45105</v>
      </c>
      <c r="C687" s="129">
        <v>27739.64</v>
      </c>
    </row>
    <row r="688" spans="2:3" x14ac:dyDescent="0.3">
      <c r="B688" s="126">
        <v>45104</v>
      </c>
      <c r="C688" s="129">
        <v>27513.45</v>
      </c>
    </row>
    <row r="689" spans="2:3" x14ac:dyDescent="0.3">
      <c r="B689" s="126">
        <v>45103</v>
      </c>
      <c r="C689" s="129">
        <v>27328.91</v>
      </c>
    </row>
    <row r="690" spans="2:3" x14ac:dyDescent="0.3">
      <c r="B690" s="126">
        <v>45100</v>
      </c>
      <c r="C690" s="129">
        <v>27291.39</v>
      </c>
    </row>
    <row r="691" spans="2:3" x14ac:dyDescent="0.3">
      <c r="B691" s="126">
        <v>45099</v>
      </c>
      <c r="C691" s="129">
        <v>27445.97</v>
      </c>
    </row>
    <row r="692" spans="2:3" x14ac:dyDescent="0.3">
      <c r="B692" s="126">
        <v>45098</v>
      </c>
      <c r="C692" s="129">
        <v>27571.14</v>
      </c>
    </row>
    <row r="693" spans="2:3" x14ac:dyDescent="0.3">
      <c r="B693" s="126">
        <v>45097</v>
      </c>
      <c r="C693" s="129">
        <v>27512.41</v>
      </c>
    </row>
    <row r="694" spans="2:3" x14ac:dyDescent="0.3">
      <c r="B694" s="126">
        <v>45096</v>
      </c>
      <c r="C694" s="129">
        <v>27422.87</v>
      </c>
    </row>
    <row r="695" spans="2:3" x14ac:dyDescent="0.3">
      <c r="B695" s="126">
        <v>45093</v>
      </c>
      <c r="C695" s="129">
        <v>27519.439999999999</v>
      </c>
    </row>
    <row r="696" spans="2:3" x14ac:dyDescent="0.3">
      <c r="B696" s="126">
        <v>45092</v>
      </c>
      <c r="C696" s="129">
        <v>27317.25</v>
      </c>
    </row>
    <row r="697" spans="2:3" x14ac:dyDescent="0.3">
      <c r="B697" s="126">
        <v>45091</v>
      </c>
      <c r="C697" s="129">
        <v>27408.12</v>
      </c>
    </row>
    <row r="698" spans="2:3" x14ac:dyDescent="0.3">
      <c r="B698" s="126">
        <v>45090</v>
      </c>
      <c r="C698" s="129">
        <v>27350.09</v>
      </c>
    </row>
    <row r="699" spans="2:3" x14ac:dyDescent="0.3">
      <c r="B699" s="126">
        <v>45089</v>
      </c>
      <c r="C699" s="129">
        <v>27182.55</v>
      </c>
    </row>
    <row r="700" spans="2:3" x14ac:dyDescent="0.3">
      <c r="B700" s="126">
        <v>45086</v>
      </c>
      <c r="C700" s="129">
        <v>27126.86</v>
      </c>
    </row>
    <row r="701" spans="2:3" x14ac:dyDescent="0.3">
      <c r="B701" s="126">
        <v>45085</v>
      </c>
      <c r="C701" s="129">
        <v>27227.59</v>
      </c>
    </row>
    <row r="702" spans="2:3" x14ac:dyDescent="0.3">
      <c r="B702" s="126">
        <v>45084</v>
      </c>
      <c r="C702" s="129">
        <v>27361.85</v>
      </c>
    </row>
    <row r="703" spans="2:3" x14ac:dyDescent="0.3">
      <c r="B703" s="126">
        <v>45083</v>
      </c>
      <c r="C703" s="129">
        <v>27175.7</v>
      </c>
    </row>
    <row r="704" spans="2:3" x14ac:dyDescent="0.3">
      <c r="B704" s="126">
        <v>45082</v>
      </c>
      <c r="C704" s="129">
        <v>27168.13</v>
      </c>
    </row>
    <row r="705" spans="2:3" x14ac:dyDescent="0.3">
      <c r="B705" s="126">
        <v>45079</v>
      </c>
      <c r="C705" s="129">
        <v>27080.87</v>
      </c>
    </row>
    <row r="706" spans="2:3" x14ac:dyDescent="0.3">
      <c r="B706" s="126">
        <v>45078</v>
      </c>
      <c r="C706" s="129">
        <v>26989.35</v>
      </c>
    </row>
    <row r="707" spans="2:3" x14ac:dyDescent="0.3">
      <c r="B707" s="126">
        <v>45077</v>
      </c>
      <c r="C707" s="129">
        <v>27057.439999999999</v>
      </c>
    </row>
    <row r="708" spans="2:3" x14ac:dyDescent="0.3">
      <c r="B708" s="126">
        <v>45076</v>
      </c>
      <c r="C708" s="129">
        <v>27188.18</v>
      </c>
    </row>
    <row r="709" spans="2:3" x14ac:dyDescent="0.3">
      <c r="B709" s="126">
        <v>45075</v>
      </c>
      <c r="C709" s="129">
        <v>27136.82</v>
      </c>
    </row>
    <row r="710" spans="2:3" x14ac:dyDescent="0.3">
      <c r="B710" s="126">
        <v>45072</v>
      </c>
      <c r="C710" s="129">
        <v>26991.87</v>
      </c>
    </row>
    <row r="711" spans="2:3" x14ac:dyDescent="0.3">
      <c r="B711" s="126">
        <v>45071</v>
      </c>
      <c r="C711" s="129">
        <v>26731.86</v>
      </c>
    </row>
    <row r="712" spans="2:3" x14ac:dyDescent="0.3">
      <c r="B712" s="126">
        <v>45070</v>
      </c>
      <c r="C712" s="129">
        <v>26679.72</v>
      </c>
    </row>
    <row r="713" spans="2:3" x14ac:dyDescent="0.3">
      <c r="B713" s="126">
        <v>45069</v>
      </c>
      <c r="C713" s="129">
        <v>26771.1</v>
      </c>
    </row>
    <row r="714" spans="2:3" x14ac:dyDescent="0.3">
      <c r="B714" s="126">
        <v>45068</v>
      </c>
      <c r="C714" s="129">
        <v>26722.03</v>
      </c>
    </row>
    <row r="715" spans="2:3" x14ac:dyDescent="0.3">
      <c r="B715" s="126">
        <v>45065</v>
      </c>
      <c r="C715" s="129">
        <v>26560.1</v>
      </c>
    </row>
    <row r="716" spans="2:3" x14ac:dyDescent="0.3">
      <c r="B716" s="126">
        <v>45064</v>
      </c>
      <c r="C716" s="129">
        <v>26451.26</v>
      </c>
    </row>
    <row r="717" spans="2:3" x14ac:dyDescent="0.3">
      <c r="B717" s="126">
        <v>45063</v>
      </c>
      <c r="C717" s="129">
        <v>26526.82</v>
      </c>
    </row>
    <row r="718" spans="2:3" x14ac:dyDescent="0.3">
      <c r="B718" s="126">
        <v>45062</v>
      </c>
      <c r="C718" s="129">
        <v>26679.67</v>
      </c>
    </row>
    <row r="719" spans="2:3" x14ac:dyDescent="0.3">
      <c r="B719" s="126">
        <v>45061</v>
      </c>
      <c r="C719" s="129">
        <v>26789.02</v>
      </c>
    </row>
    <row r="720" spans="2:3" x14ac:dyDescent="0.3">
      <c r="B720" s="126">
        <v>45058</v>
      </c>
      <c r="C720" s="129">
        <v>26666.67</v>
      </c>
    </row>
    <row r="721" spans="2:3" x14ac:dyDescent="0.3">
      <c r="B721" s="126">
        <v>45057</v>
      </c>
      <c r="C721" s="129">
        <v>26640.77</v>
      </c>
    </row>
    <row r="722" spans="2:3" x14ac:dyDescent="0.3">
      <c r="B722" s="126">
        <v>45056</v>
      </c>
      <c r="C722" s="129">
        <v>26667.11</v>
      </c>
    </row>
    <row r="723" spans="2:3" x14ac:dyDescent="0.3">
      <c r="B723" s="126">
        <v>45055</v>
      </c>
      <c r="C723" s="129">
        <v>26595.52</v>
      </c>
    </row>
    <row r="724" spans="2:3" x14ac:dyDescent="0.3">
      <c r="B724" s="126">
        <v>45054</v>
      </c>
      <c r="C724" s="129">
        <v>26593.29</v>
      </c>
    </row>
    <row r="725" spans="2:3" x14ac:dyDescent="0.3">
      <c r="B725" s="126">
        <v>45051</v>
      </c>
      <c r="C725" s="129">
        <v>26308.78</v>
      </c>
    </row>
    <row r="726" spans="2:3" x14ac:dyDescent="0.3">
      <c r="B726" s="126">
        <v>45050</v>
      </c>
      <c r="C726" s="129">
        <v>26580.77</v>
      </c>
    </row>
    <row r="727" spans="2:3" x14ac:dyDescent="0.3">
      <c r="B727" s="126">
        <v>45049</v>
      </c>
      <c r="C727" s="129">
        <v>26339.14</v>
      </c>
    </row>
    <row r="728" spans="2:3" x14ac:dyDescent="0.3">
      <c r="B728" s="126">
        <v>45048</v>
      </c>
      <c r="C728" s="129">
        <v>26423.3</v>
      </c>
    </row>
    <row r="729" spans="2:3" x14ac:dyDescent="0.3">
      <c r="B729" s="126">
        <v>45044</v>
      </c>
      <c r="C729" s="129">
        <v>26302.92</v>
      </c>
    </row>
    <row r="730" spans="2:3" x14ac:dyDescent="0.3">
      <c r="B730" s="126">
        <v>45043</v>
      </c>
      <c r="C730" s="129">
        <v>26078.38</v>
      </c>
    </row>
    <row r="731" spans="2:3" x14ac:dyDescent="0.3">
      <c r="B731" s="126">
        <v>45042</v>
      </c>
      <c r="C731" s="129">
        <v>25930.7</v>
      </c>
    </row>
    <row r="732" spans="2:3" x14ac:dyDescent="0.3">
      <c r="B732" s="126">
        <v>45041</v>
      </c>
      <c r="C732" s="129">
        <v>25866.09</v>
      </c>
    </row>
    <row r="733" spans="2:3" x14ac:dyDescent="0.3">
      <c r="B733" s="126">
        <v>45040</v>
      </c>
      <c r="C733" s="129">
        <v>25828.46</v>
      </c>
    </row>
    <row r="734" spans="2:3" x14ac:dyDescent="0.3">
      <c r="B734" s="126">
        <v>45037</v>
      </c>
      <c r="C734" s="129">
        <v>25654.78</v>
      </c>
    </row>
    <row r="735" spans="2:3" x14ac:dyDescent="0.3">
      <c r="B735" s="126">
        <v>45036</v>
      </c>
      <c r="C735" s="129">
        <v>25654.16</v>
      </c>
    </row>
    <row r="736" spans="2:3" x14ac:dyDescent="0.3">
      <c r="B736" s="126">
        <v>45035</v>
      </c>
      <c r="C736" s="129">
        <v>25645.82</v>
      </c>
    </row>
    <row r="737" spans="2:3" x14ac:dyDescent="0.3">
      <c r="B737" s="126">
        <v>45034</v>
      </c>
      <c r="C737" s="129">
        <v>25706.09</v>
      </c>
    </row>
    <row r="738" spans="2:3" x14ac:dyDescent="0.3">
      <c r="B738" s="126">
        <v>45033</v>
      </c>
      <c r="C738" s="129">
        <v>25774.07</v>
      </c>
    </row>
    <row r="739" spans="2:3" x14ac:dyDescent="0.3">
      <c r="B739" s="126">
        <v>45029</v>
      </c>
      <c r="C739" s="129">
        <v>25950.39</v>
      </c>
    </row>
    <row r="740" spans="2:3" x14ac:dyDescent="0.3">
      <c r="B740" s="126">
        <v>45028</v>
      </c>
      <c r="C740" s="129">
        <v>25924.89</v>
      </c>
    </row>
    <row r="741" spans="2:3" x14ac:dyDescent="0.3">
      <c r="B741" s="126">
        <v>45027</v>
      </c>
      <c r="C741" s="129">
        <v>25793.77</v>
      </c>
    </row>
    <row r="742" spans="2:3" x14ac:dyDescent="0.3">
      <c r="B742" s="126">
        <v>45026</v>
      </c>
      <c r="C742" s="129">
        <v>25650.73</v>
      </c>
    </row>
    <row r="743" spans="2:3" x14ac:dyDescent="0.3">
      <c r="B743" s="126">
        <v>45022</v>
      </c>
      <c r="C743" s="129">
        <v>25614.55</v>
      </c>
    </row>
    <row r="744" spans="2:3" x14ac:dyDescent="0.3">
      <c r="B744" s="126">
        <v>45021</v>
      </c>
      <c r="C744" s="129">
        <v>25553.279999999999</v>
      </c>
    </row>
    <row r="745" spans="2:3" x14ac:dyDescent="0.3">
      <c r="B745" s="126">
        <v>45019</v>
      </c>
      <c r="C745" s="129">
        <v>25321.85</v>
      </c>
    </row>
    <row r="746" spans="2:3" x14ac:dyDescent="0.3">
      <c r="B746" s="126">
        <v>45016</v>
      </c>
      <c r="C746" s="129">
        <v>25266.06</v>
      </c>
    </row>
    <row r="747" spans="2:3" x14ac:dyDescent="0.3">
      <c r="B747" s="126">
        <v>45014</v>
      </c>
      <c r="C747" s="129">
        <v>24859.93</v>
      </c>
    </row>
    <row r="748" spans="2:3" x14ac:dyDescent="0.3">
      <c r="B748" s="126">
        <v>45013</v>
      </c>
      <c r="C748" s="129">
        <v>24672.17</v>
      </c>
    </row>
    <row r="749" spans="2:3" x14ac:dyDescent="0.3">
      <c r="B749" s="126">
        <v>45012</v>
      </c>
      <c r="C749" s="129">
        <v>24721.71</v>
      </c>
    </row>
    <row r="750" spans="2:3" x14ac:dyDescent="0.3">
      <c r="B750" s="126">
        <v>45009</v>
      </c>
      <c r="C750" s="129">
        <v>24662.53</v>
      </c>
    </row>
    <row r="751" spans="2:3" x14ac:dyDescent="0.3">
      <c r="B751" s="126">
        <v>45008</v>
      </c>
      <c r="C751" s="129">
        <v>24854.39</v>
      </c>
    </row>
    <row r="752" spans="2:3" x14ac:dyDescent="0.3">
      <c r="B752" s="126">
        <v>45007</v>
      </c>
      <c r="C752" s="129">
        <v>24963.55</v>
      </c>
    </row>
    <row r="753" spans="2:3" x14ac:dyDescent="0.3">
      <c r="B753" s="126">
        <v>45006</v>
      </c>
      <c r="C753" s="129">
        <v>24898.97</v>
      </c>
    </row>
    <row r="754" spans="2:3" x14ac:dyDescent="0.3">
      <c r="B754" s="126">
        <v>45005</v>
      </c>
      <c r="C754" s="129">
        <v>24725.599999999999</v>
      </c>
    </row>
    <row r="755" spans="2:3" x14ac:dyDescent="0.3">
      <c r="B755" s="126">
        <v>45002</v>
      </c>
      <c r="C755" s="129">
        <v>24888.1</v>
      </c>
    </row>
    <row r="756" spans="2:3" x14ac:dyDescent="0.3">
      <c r="B756" s="126">
        <v>45001</v>
      </c>
      <c r="C756" s="129">
        <v>24721.52</v>
      </c>
    </row>
    <row r="757" spans="2:3" x14ac:dyDescent="0.3">
      <c r="B757" s="126">
        <v>45000</v>
      </c>
      <c r="C757" s="129">
        <v>24701.599999999999</v>
      </c>
    </row>
    <row r="758" spans="2:3" x14ac:dyDescent="0.3">
      <c r="B758" s="126">
        <v>44999</v>
      </c>
      <c r="C758" s="129">
        <v>24805.11</v>
      </c>
    </row>
    <row r="759" spans="2:3" x14ac:dyDescent="0.3">
      <c r="B759" s="126">
        <v>44998</v>
      </c>
      <c r="C759" s="129">
        <v>24966.68</v>
      </c>
    </row>
    <row r="760" spans="2:3" x14ac:dyDescent="0.3">
      <c r="B760" s="126">
        <v>44995</v>
      </c>
      <c r="C760" s="129">
        <v>25343.09</v>
      </c>
    </row>
    <row r="761" spans="2:3" x14ac:dyDescent="0.3">
      <c r="B761" s="126">
        <v>44994</v>
      </c>
      <c r="C761" s="129">
        <v>25600.240000000002</v>
      </c>
    </row>
    <row r="762" spans="2:3" x14ac:dyDescent="0.3">
      <c r="B762" s="126">
        <v>44993</v>
      </c>
      <c r="C762" s="129">
        <v>25840.12</v>
      </c>
    </row>
    <row r="763" spans="2:3" x14ac:dyDescent="0.3">
      <c r="B763" s="126">
        <v>44991</v>
      </c>
      <c r="C763" s="129">
        <v>25777.599999999999</v>
      </c>
    </row>
    <row r="764" spans="2:3" x14ac:dyDescent="0.3">
      <c r="B764" s="126">
        <v>44988</v>
      </c>
      <c r="C764" s="129">
        <v>25607.14</v>
      </c>
    </row>
    <row r="765" spans="2:3" x14ac:dyDescent="0.3">
      <c r="B765" s="126">
        <v>44987</v>
      </c>
      <c r="C765" s="129">
        <v>25210.65</v>
      </c>
    </row>
    <row r="766" spans="2:3" x14ac:dyDescent="0.3">
      <c r="B766" s="126">
        <v>44986</v>
      </c>
      <c r="C766" s="129">
        <v>25398.400000000001</v>
      </c>
    </row>
    <row r="767" spans="2:3" x14ac:dyDescent="0.3">
      <c r="B767" s="126">
        <v>44985</v>
      </c>
      <c r="C767" s="129">
        <v>25184.47</v>
      </c>
    </row>
    <row r="768" spans="2:3" x14ac:dyDescent="0.3">
      <c r="B768" s="126">
        <v>44984</v>
      </c>
      <c r="C768" s="129">
        <v>25313.7</v>
      </c>
    </row>
    <row r="769" spans="2:3" x14ac:dyDescent="0.3">
      <c r="B769" s="126">
        <v>44981</v>
      </c>
      <c r="C769" s="129">
        <v>25420.07</v>
      </c>
    </row>
    <row r="770" spans="2:3" x14ac:dyDescent="0.3">
      <c r="B770" s="126">
        <v>44980</v>
      </c>
      <c r="C770" s="129">
        <v>25485.97</v>
      </c>
    </row>
    <row r="771" spans="2:3" x14ac:dyDescent="0.3">
      <c r="B771" s="126">
        <v>44979</v>
      </c>
      <c r="C771" s="129">
        <v>25548.67</v>
      </c>
    </row>
    <row r="772" spans="2:3" x14ac:dyDescent="0.3">
      <c r="B772" s="126">
        <v>44978</v>
      </c>
      <c r="C772" s="129">
        <v>25945.08</v>
      </c>
    </row>
    <row r="773" spans="2:3" x14ac:dyDescent="0.3">
      <c r="B773" s="126">
        <v>44977</v>
      </c>
      <c r="C773" s="129">
        <v>25971.19</v>
      </c>
    </row>
    <row r="774" spans="2:3" x14ac:dyDescent="0.3">
      <c r="B774" s="126">
        <v>44974</v>
      </c>
      <c r="C774" s="129">
        <v>26116.12</v>
      </c>
    </row>
    <row r="775" spans="2:3" x14ac:dyDescent="0.3">
      <c r="B775" s="126">
        <v>44973</v>
      </c>
      <c r="C775" s="129">
        <v>26249.52</v>
      </c>
    </row>
    <row r="776" spans="2:3" x14ac:dyDescent="0.3">
      <c r="B776" s="126">
        <v>44972</v>
      </c>
      <c r="C776" s="129">
        <v>26220.43</v>
      </c>
    </row>
    <row r="777" spans="2:3" x14ac:dyDescent="0.3">
      <c r="B777" s="126">
        <v>44971</v>
      </c>
      <c r="C777" s="129">
        <v>26077.93</v>
      </c>
    </row>
    <row r="778" spans="2:3" x14ac:dyDescent="0.3">
      <c r="B778" s="126">
        <v>44970</v>
      </c>
      <c r="C778" s="129">
        <v>25846.7</v>
      </c>
    </row>
    <row r="779" spans="2:3" x14ac:dyDescent="0.3">
      <c r="B779" s="126">
        <v>44967</v>
      </c>
      <c r="C779" s="129">
        <v>25971.23</v>
      </c>
    </row>
    <row r="780" spans="2:3" x14ac:dyDescent="0.3">
      <c r="B780" s="126">
        <v>44966</v>
      </c>
      <c r="C780" s="129">
        <v>26024.94</v>
      </c>
    </row>
    <row r="781" spans="2:3" x14ac:dyDescent="0.3">
      <c r="B781" s="126">
        <v>44965</v>
      </c>
      <c r="C781" s="129">
        <v>25993.34</v>
      </c>
    </row>
    <row r="782" spans="2:3" x14ac:dyDescent="0.3">
      <c r="B782" s="126">
        <v>44964</v>
      </c>
      <c r="C782" s="129">
        <v>25772.19</v>
      </c>
    </row>
    <row r="783" spans="2:3" x14ac:dyDescent="0.3">
      <c r="B783" s="126">
        <v>44963</v>
      </c>
      <c r="C783" s="129">
        <v>25834.87</v>
      </c>
    </row>
    <row r="784" spans="2:3" x14ac:dyDescent="0.3">
      <c r="B784" s="126">
        <v>44960</v>
      </c>
      <c r="C784" s="129">
        <v>25965</v>
      </c>
    </row>
    <row r="785" spans="2:3" x14ac:dyDescent="0.3">
      <c r="B785" s="126">
        <v>44959</v>
      </c>
      <c r="C785" s="129">
        <v>25610.65</v>
      </c>
    </row>
    <row r="786" spans="2:3" x14ac:dyDescent="0.3">
      <c r="B786" s="126">
        <v>44958</v>
      </c>
      <c r="C786" s="129">
        <v>25619.24</v>
      </c>
    </row>
    <row r="787" spans="2:3" x14ac:dyDescent="0.3">
      <c r="B787" s="126">
        <v>44957</v>
      </c>
      <c r="C787" s="129">
        <v>25685.94</v>
      </c>
    </row>
    <row r="788" spans="2:3" x14ac:dyDescent="0.3">
      <c r="B788" s="126">
        <v>44956</v>
      </c>
      <c r="C788" s="129">
        <v>25666.69</v>
      </c>
    </row>
    <row r="789" spans="2:3" x14ac:dyDescent="0.3">
      <c r="B789" s="126">
        <v>44953</v>
      </c>
      <c r="C789" s="129">
        <v>25601.88</v>
      </c>
    </row>
    <row r="790" spans="2:3" x14ac:dyDescent="0.3">
      <c r="B790" s="126">
        <v>44951</v>
      </c>
      <c r="C790" s="129">
        <v>26020.13</v>
      </c>
    </row>
    <row r="791" spans="2:3" x14ac:dyDescent="0.3">
      <c r="B791" s="126">
        <v>44950</v>
      </c>
      <c r="C791" s="129">
        <v>26349.279999999999</v>
      </c>
    </row>
    <row r="792" spans="2:3" x14ac:dyDescent="0.3">
      <c r="B792" s="126">
        <v>44949</v>
      </c>
      <c r="C792" s="129">
        <v>26349.14</v>
      </c>
    </row>
    <row r="793" spans="2:3" x14ac:dyDescent="0.3">
      <c r="B793" s="126">
        <v>44946</v>
      </c>
      <c r="C793" s="129">
        <v>26216.94</v>
      </c>
    </row>
    <row r="794" spans="2:3" x14ac:dyDescent="0.3">
      <c r="B794" s="126">
        <v>44945</v>
      </c>
      <c r="C794" s="129">
        <v>26333.57</v>
      </c>
    </row>
    <row r="795" spans="2:3" x14ac:dyDescent="0.3">
      <c r="B795" s="126">
        <v>44944</v>
      </c>
      <c r="C795" s="129">
        <v>26413.71</v>
      </c>
    </row>
    <row r="796" spans="2:3" x14ac:dyDescent="0.3">
      <c r="B796" s="126">
        <v>44943</v>
      </c>
      <c r="C796" s="129">
        <v>26250.81</v>
      </c>
    </row>
    <row r="797" spans="2:3" x14ac:dyDescent="0.3">
      <c r="B797" s="126">
        <v>44942</v>
      </c>
      <c r="C797" s="129">
        <v>26020.39</v>
      </c>
    </row>
    <row r="798" spans="2:3" x14ac:dyDescent="0.3">
      <c r="B798" s="126">
        <v>44939</v>
      </c>
      <c r="C798" s="129">
        <v>26110.2</v>
      </c>
    </row>
    <row r="799" spans="2:3" x14ac:dyDescent="0.3">
      <c r="B799" s="126">
        <v>44938</v>
      </c>
      <c r="C799" s="129">
        <v>25967.07</v>
      </c>
    </row>
    <row r="800" spans="2:3" x14ac:dyDescent="0.3">
      <c r="B800" s="126">
        <v>44937</v>
      </c>
      <c r="C800" s="129">
        <v>26021.599999999999</v>
      </c>
    </row>
    <row r="801" spans="2:3" x14ac:dyDescent="0.3">
      <c r="B801" s="126">
        <v>44936</v>
      </c>
      <c r="C801" s="129">
        <v>26048.47</v>
      </c>
    </row>
    <row r="802" spans="2:3" x14ac:dyDescent="0.3">
      <c r="B802" s="126">
        <v>44935</v>
      </c>
      <c r="C802" s="129">
        <v>26320.41</v>
      </c>
    </row>
    <row r="803" spans="2:3" x14ac:dyDescent="0.3">
      <c r="B803" s="126">
        <v>44932</v>
      </c>
      <c r="C803" s="129">
        <v>25968.95</v>
      </c>
    </row>
    <row r="804" spans="2:3" x14ac:dyDescent="0.3">
      <c r="B804" s="126">
        <v>44931</v>
      </c>
      <c r="C804" s="129">
        <v>26161.85</v>
      </c>
    </row>
    <row r="805" spans="2:3" x14ac:dyDescent="0.3">
      <c r="B805" s="126">
        <v>44930</v>
      </c>
      <c r="C805" s="129">
        <v>26235.73</v>
      </c>
    </row>
    <row r="806" spans="2:3" x14ac:dyDescent="0.3">
      <c r="B806" s="126">
        <v>44929</v>
      </c>
      <c r="C806" s="129">
        <v>26511.45</v>
      </c>
    </row>
    <row r="807" spans="2:3" x14ac:dyDescent="0.3">
      <c r="B807" s="126">
        <v>44928</v>
      </c>
      <c r="C807" s="129">
        <v>26460.41</v>
      </c>
    </row>
    <row r="808" spans="2:3" x14ac:dyDescent="0.3">
      <c r="B808" s="126">
        <v>44925</v>
      </c>
      <c r="C808" s="129">
        <v>26326.37</v>
      </c>
    </row>
    <row r="809" spans="2:3" x14ac:dyDescent="0.3">
      <c r="B809" s="126">
        <v>44924</v>
      </c>
      <c r="C809" s="129">
        <v>26451.02</v>
      </c>
    </row>
    <row r="810" spans="2:3" x14ac:dyDescent="0.3">
      <c r="B810" s="126">
        <v>44923</v>
      </c>
      <c r="C810" s="129">
        <v>26351.4</v>
      </c>
    </row>
    <row r="811" spans="2:3" x14ac:dyDescent="0.3">
      <c r="B811" s="126">
        <v>44922</v>
      </c>
      <c r="C811" s="129">
        <v>26365.65</v>
      </c>
    </row>
    <row r="812" spans="2:3" x14ac:dyDescent="0.3">
      <c r="B812" s="126">
        <v>44921</v>
      </c>
      <c r="C812" s="129">
        <v>26194.52</v>
      </c>
    </row>
    <row r="813" spans="2:3" x14ac:dyDescent="0.3">
      <c r="B813" s="126">
        <v>44918</v>
      </c>
      <c r="C813" s="129">
        <v>25892.35</v>
      </c>
    </row>
    <row r="814" spans="2:3" x14ac:dyDescent="0.3">
      <c r="B814" s="126">
        <v>44917</v>
      </c>
      <c r="C814" s="129">
        <v>26358.44</v>
      </c>
    </row>
    <row r="815" spans="2:3" x14ac:dyDescent="0.3">
      <c r="B815" s="126">
        <v>44916</v>
      </c>
      <c r="C815" s="129">
        <v>26462.77</v>
      </c>
    </row>
    <row r="816" spans="2:3" x14ac:dyDescent="0.3">
      <c r="B816" s="126">
        <v>44915</v>
      </c>
      <c r="C816" s="129">
        <v>26733.51</v>
      </c>
    </row>
    <row r="817" spans="2:3" x14ac:dyDescent="0.3">
      <c r="B817" s="126">
        <v>44914</v>
      </c>
      <c r="C817" s="129">
        <v>26784.68</v>
      </c>
    </row>
    <row r="818" spans="2:3" x14ac:dyDescent="0.3">
      <c r="B818" s="126">
        <v>44911</v>
      </c>
      <c r="C818" s="129">
        <v>26564.46</v>
      </c>
    </row>
    <row r="819" spans="2:3" x14ac:dyDescent="0.3">
      <c r="B819" s="126">
        <v>44910</v>
      </c>
      <c r="C819" s="129">
        <v>26776.560000000001</v>
      </c>
    </row>
    <row r="820" spans="2:3" x14ac:dyDescent="0.3">
      <c r="B820" s="126">
        <v>44909</v>
      </c>
      <c r="C820" s="129">
        <v>27133.4</v>
      </c>
    </row>
    <row r="821" spans="2:3" x14ac:dyDescent="0.3">
      <c r="B821" s="126">
        <v>44908</v>
      </c>
      <c r="C821" s="129">
        <v>27057.35</v>
      </c>
    </row>
    <row r="822" spans="2:3" x14ac:dyDescent="0.3">
      <c r="B822" s="126">
        <v>44907</v>
      </c>
      <c r="C822" s="129">
        <v>26896.21</v>
      </c>
    </row>
    <row r="823" spans="2:3" x14ac:dyDescent="0.3">
      <c r="B823" s="126">
        <v>44904</v>
      </c>
      <c r="C823" s="129">
        <v>26895.35</v>
      </c>
    </row>
    <row r="824" spans="2:3" x14ac:dyDescent="0.3">
      <c r="B824" s="126">
        <v>44903</v>
      </c>
      <c r="C824" s="129">
        <v>27059.31</v>
      </c>
    </row>
    <row r="825" spans="2:3" x14ac:dyDescent="0.3">
      <c r="B825" s="126">
        <v>44902</v>
      </c>
      <c r="C825" s="129">
        <v>26988.31</v>
      </c>
    </row>
    <row r="826" spans="2:3" x14ac:dyDescent="0.3">
      <c r="B826" s="126">
        <v>44901</v>
      </c>
      <c r="C826" s="129">
        <v>27107.87</v>
      </c>
    </row>
    <row r="827" spans="2:3" x14ac:dyDescent="0.3">
      <c r="B827" s="126">
        <v>44900</v>
      </c>
      <c r="C827" s="129">
        <v>27192.639999999999</v>
      </c>
    </row>
    <row r="828" spans="2:3" x14ac:dyDescent="0.3">
      <c r="B828" s="126">
        <v>44897</v>
      </c>
      <c r="C828" s="129">
        <v>27185.439999999999</v>
      </c>
    </row>
    <row r="829" spans="2:3" x14ac:dyDescent="0.3">
      <c r="B829" s="126">
        <v>44896</v>
      </c>
      <c r="C829" s="129">
        <v>27354.74</v>
      </c>
    </row>
    <row r="830" spans="2:3" x14ac:dyDescent="0.3">
      <c r="B830" s="126">
        <v>44895</v>
      </c>
      <c r="C830" s="129">
        <v>27276.01</v>
      </c>
    </row>
    <row r="831" spans="2:3" x14ac:dyDescent="0.3">
      <c r="B831" s="126">
        <v>44894</v>
      </c>
      <c r="C831" s="129">
        <v>27071.98</v>
      </c>
    </row>
    <row r="832" spans="2:3" x14ac:dyDescent="0.3">
      <c r="B832" s="126">
        <v>44893</v>
      </c>
      <c r="C832" s="129">
        <v>26991.599999999999</v>
      </c>
    </row>
    <row r="833" spans="2:3" x14ac:dyDescent="0.3">
      <c r="B833" s="126">
        <v>44890</v>
      </c>
      <c r="C833" s="129">
        <v>26918.89</v>
      </c>
    </row>
    <row r="834" spans="2:3" x14ac:dyDescent="0.3">
      <c r="B834" s="126">
        <v>44889</v>
      </c>
      <c r="C834" s="129">
        <v>26877.24</v>
      </c>
    </row>
    <row r="835" spans="2:3" x14ac:dyDescent="0.3">
      <c r="B835" s="126">
        <v>44888</v>
      </c>
      <c r="C835" s="129">
        <v>26561.89</v>
      </c>
    </row>
    <row r="836" spans="2:3" x14ac:dyDescent="0.3">
      <c r="B836" s="126">
        <v>44887</v>
      </c>
      <c r="C836" s="129">
        <v>26528.400000000001</v>
      </c>
    </row>
    <row r="837" spans="2:3" x14ac:dyDescent="0.3">
      <c r="B837" s="126">
        <v>44886</v>
      </c>
      <c r="C837" s="129">
        <v>26405.9</v>
      </c>
    </row>
    <row r="838" spans="2:3" x14ac:dyDescent="0.3">
      <c r="B838" s="126">
        <v>44883</v>
      </c>
      <c r="C838" s="129">
        <v>26620.61</v>
      </c>
    </row>
    <row r="839" spans="2:3" x14ac:dyDescent="0.3">
      <c r="B839" s="126">
        <v>44882</v>
      </c>
      <c r="C839" s="129">
        <v>26673.32</v>
      </c>
    </row>
    <row r="840" spans="2:3" x14ac:dyDescent="0.3">
      <c r="B840" s="126">
        <v>44881</v>
      </c>
      <c r="C840" s="129">
        <v>26768.95</v>
      </c>
    </row>
    <row r="841" spans="2:3" x14ac:dyDescent="0.3">
      <c r="B841" s="126">
        <v>44880</v>
      </c>
      <c r="C841" s="129">
        <v>26759.85</v>
      </c>
    </row>
    <row r="842" spans="2:3" x14ac:dyDescent="0.3">
      <c r="B842" s="126">
        <v>44879</v>
      </c>
      <c r="C842" s="129">
        <v>26651.93</v>
      </c>
    </row>
    <row r="843" spans="2:3" x14ac:dyDescent="0.3">
      <c r="B843" s="126">
        <v>44876</v>
      </c>
      <c r="C843" s="129">
        <v>26681.759999999998</v>
      </c>
    </row>
    <row r="844" spans="2:3" x14ac:dyDescent="0.3">
      <c r="B844" s="126">
        <v>44875</v>
      </c>
      <c r="C844" s="129">
        <v>26214.31</v>
      </c>
    </row>
    <row r="845" spans="2:3" x14ac:dyDescent="0.3">
      <c r="B845" s="126">
        <v>44874</v>
      </c>
      <c r="C845" s="129">
        <v>26401.58</v>
      </c>
    </row>
    <row r="846" spans="2:3" x14ac:dyDescent="0.3">
      <c r="B846" s="126">
        <v>44872</v>
      </c>
      <c r="C846" s="129">
        <v>26464.44</v>
      </c>
    </row>
    <row r="847" spans="2:3" x14ac:dyDescent="0.3">
      <c r="B847" s="126">
        <v>44869</v>
      </c>
      <c r="C847" s="129">
        <v>26339.9</v>
      </c>
    </row>
    <row r="848" spans="2:3" x14ac:dyDescent="0.3">
      <c r="B848" s="126">
        <v>44868</v>
      </c>
      <c r="C848" s="129">
        <v>26246.23</v>
      </c>
    </row>
    <row r="849" spans="2:3" x14ac:dyDescent="0.3">
      <c r="B849" s="126">
        <v>44867</v>
      </c>
      <c r="C849" s="129">
        <v>26290.01</v>
      </c>
    </row>
    <row r="850" spans="2:3" x14ac:dyDescent="0.3">
      <c r="B850" s="126">
        <v>44866</v>
      </c>
      <c r="C850" s="129">
        <v>26380.97</v>
      </c>
    </row>
    <row r="851" spans="2:3" x14ac:dyDescent="0.3">
      <c r="B851" s="126">
        <v>44865</v>
      </c>
      <c r="C851" s="129">
        <v>26182.36</v>
      </c>
    </row>
    <row r="852" spans="2:3" x14ac:dyDescent="0.3">
      <c r="B852" s="126">
        <v>44862</v>
      </c>
      <c r="C852" s="129">
        <v>25852.720000000001</v>
      </c>
    </row>
    <row r="853" spans="2:3" x14ac:dyDescent="0.3">
      <c r="B853" s="126">
        <v>44861</v>
      </c>
      <c r="C853" s="129">
        <v>25780.23</v>
      </c>
    </row>
    <row r="854" spans="2:3" x14ac:dyDescent="0.3">
      <c r="B854" s="126">
        <v>44859</v>
      </c>
      <c r="C854" s="129">
        <v>25643.34</v>
      </c>
    </row>
    <row r="855" spans="2:3" x14ac:dyDescent="0.3">
      <c r="B855" s="126">
        <v>44858</v>
      </c>
      <c r="C855" s="129">
        <v>25751.45</v>
      </c>
    </row>
    <row r="856" spans="2:3" x14ac:dyDescent="0.3">
      <c r="B856" s="126">
        <v>44855</v>
      </c>
      <c r="C856" s="129">
        <v>25527.09</v>
      </c>
    </row>
    <row r="857" spans="2:3" x14ac:dyDescent="0.3">
      <c r="B857" s="126">
        <v>44854</v>
      </c>
      <c r="C857" s="129">
        <v>25509.14</v>
      </c>
    </row>
    <row r="858" spans="2:3" x14ac:dyDescent="0.3">
      <c r="B858" s="126">
        <v>44853</v>
      </c>
      <c r="C858" s="129">
        <v>25434.1</v>
      </c>
    </row>
    <row r="859" spans="2:3" x14ac:dyDescent="0.3">
      <c r="B859" s="126">
        <v>44852</v>
      </c>
      <c r="C859" s="129">
        <v>25393.89</v>
      </c>
    </row>
    <row r="860" spans="2:3" x14ac:dyDescent="0.3">
      <c r="B860" s="126">
        <v>44851</v>
      </c>
      <c r="C860" s="129">
        <v>25139.55</v>
      </c>
    </row>
    <row r="861" spans="2:3" x14ac:dyDescent="0.3">
      <c r="B861" s="126">
        <v>44848</v>
      </c>
      <c r="C861" s="129">
        <v>24953.75</v>
      </c>
    </row>
    <row r="862" spans="2:3" x14ac:dyDescent="0.3">
      <c r="B862" s="126">
        <v>44847</v>
      </c>
      <c r="C862" s="129">
        <v>24704.95</v>
      </c>
    </row>
    <row r="863" spans="2:3" x14ac:dyDescent="0.3">
      <c r="B863" s="126">
        <v>44846</v>
      </c>
      <c r="C863" s="129">
        <v>24863.58</v>
      </c>
    </row>
    <row r="864" spans="2:3" x14ac:dyDescent="0.3">
      <c r="B864" s="126">
        <v>44845</v>
      </c>
      <c r="C864" s="129">
        <v>24660.2</v>
      </c>
    </row>
    <row r="865" spans="2:3" x14ac:dyDescent="0.3">
      <c r="B865" s="126">
        <v>44844</v>
      </c>
      <c r="C865" s="129">
        <v>25034.02</v>
      </c>
    </row>
    <row r="866" spans="2:3" x14ac:dyDescent="0.3">
      <c r="B866" s="126">
        <v>44841</v>
      </c>
      <c r="C866" s="129">
        <v>25140.99</v>
      </c>
    </row>
    <row r="867" spans="2:3" x14ac:dyDescent="0.3">
      <c r="B867" s="126">
        <v>44840</v>
      </c>
      <c r="C867" s="129">
        <v>25165.85</v>
      </c>
    </row>
    <row r="868" spans="2:3" x14ac:dyDescent="0.3">
      <c r="B868" s="126">
        <v>44838</v>
      </c>
      <c r="C868" s="129">
        <v>25082.39</v>
      </c>
    </row>
    <row r="869" spans="2:3" x14ac:dyDescent="0.3">
      <c r="B869" s="126">
        <v>44837</v>
      </c>
      <c r="C869" s="129">
        <v>24520.52</v>
      </c>
    </row>
    <row r="870" spans="2:3" x14ac:dyDescent="0.3">
      <c r="B870" s="126">
        <v>44834</v>
      </c>
      <c r="C870" s="129">
        <v>24821.08</v>
      </c>
    </row>
    <row r="871" spans="2:3" x14ac:dyDescent="0.3">
      <c r="B871" s="126">
        <v>44833</v>
      </c>
      <c r="C871" s="129">
        <v>24419.98</v>
      </c>
    </row>
    <row r="872" spans="2:3" x14ac:dyDescent="0.3">
      <c r="B872" s="126">
        <v>44832</v>
      </c>
      <c r="C872" s="129">
        <v>24478.82</v>
      </c>
    </row>
    <row r="873" spans="2:3" x14ac:dyDescent="0.3">
      <c r="B873" s="126">
        <v>44831</v>
      </c>
      <c r="C873" s="129">
        <v>24694.83</v>
      </c>
    </row>
    <row r="874" spans="2:3" x14ac:dyDescent="0.3">
      <c r="B874" s="126">
        <v>44830</v>
      </c>
      <c r="C874" s="129">
        <v>24707.77</v>
      </c>
    </row>
    <row r="875" spans="2:3" x14ac:dyDescent="0.3">
      <c r="B875" s="126">
        <v>44827</v>
      </c>
      <c r="C875" s="129">
        <v>25159.42</v>
      </c>
    </row>
    <row r="876" spans="2:3" x14ac:dyDescent="0.3">
      <c r="B876" s="126">
        <v>44826</v>
      </c>
      <c r="C876" s="129">
        <v>25598.6</v>
      </c>
    </row>
    <row r="877" spans="2:3" x14ac:dyDescent="0.3">
      <c r="B877" s="126">
        <v>44825</v>
      </c>
      <c r="C877" s="129">
        <v>25727.13</v>
      </c>
    </row>
    <row r="878" spans="2:3" x14ac:dyDescent="0.3">
      <c r="B878" s="126">
        <v>44824</v>
      </c>
      <c r="C878" s="129">
        <v>25869.27</v>
      </c>
    </row>
    <row r="879" spans="2:3" x14ac:dyDescent="0.3">
      <c r="B879" s="126">
        <v>44823</v>
      </c>
      <c r="C879" s="129">
        <v>25587.63</v>
      </c>
    </row>
    <row r="880" spans="2:3" x14ac:dyDescent="0.3">
      <c r="B880" s="126">
        <v>44820</v>
      </c>
      <c r="C880" s="129">
        <v>25454.93</v>
      </c>
    </row>
    <row r="881" spans="2:3" x14ac:dyDescent="0.3">
      <c r="B881" s="126">
        <v>44819</v>
      </c>
      <c r="C881" s="129">
        <v>25958.06</v>
      </c>
    </row>
    <row r="882" spans="2:3" x14ac:dyDescent="0.3">
      <c r="B882" s="126">
        <v>44818</v>
      </c>
      <c r="C882" s="129">
        <v>26141.52</v>
      </c>
    </row>
    <row r="883" spans="2:3" x14ac:dyDescent="0.3">
      <c r="B883" s="126">
        <v>44817</v>
      </c>
      <c r="C883" s="129">
        <v>26237.81</v>
      </c>
    </row>
    <row r="884" spans="2:3" x14ac:dyDescent="0.3">
      <c r="B884" s="126">
        <v>44816</v>
      </c>
      <c r="C884" s="129">
        <v>26043.69</v>
      </c>
    </row>
    <row r="885" spans="2:3" x14ac:dyDescent="0.3">
      <c r="B885" s="126">
        <v>44813</v>
      </c>
      <c r="C885" s="129">
        <v>25894.12</v>
      </c>
    </row>
    <row r="886" spans="2:3" x14ac:dyDescent="0.3">
      <c r="B886" s="126">
        <v>44812</v>
      </c>
      <c r="C886" s="129">
        <v>25843.86</v>
      </c>
    </row>
    <row r="887" spans="2:3" x14ac:dyDescent="0.3">
      <c r="B887" s="126">
        <v>44811</v>
      </c>
      <c r="C887" s="129">
        <v>25590.73</v>
      </c>
    </row>
    <row r="888" spans="2:3" x14ac:dyDescent="0.3">
      <c r="B888" s="126">
        <v>44810</v>
      </c>
      <c r="C888" s="129">
        <v>25636.01</v>
      </c>
    </row>
    <row r="889" spans="2:3" x14ac:dyDescent="0.3">
      <c r="B889" s="126">
        <v>44809</v>
      </c>
      <c r="C889" s="129">
        <v>25650.83</v>
      </c>
    </row>
    <row r="890" spans="2:3" x14ac:dyDescent="0.3">
      <c r="B890" s="126">
        <v>44806</v>
      </c>
      <c r="C890" s="129">
        <v>25467.41</v>
      </c>
    </row>
    <row r="891" spans="2:3" x14ac:dyDescent="0.3">
      <c r="B891" s="126">
        <v>44805</v>
      </c>
      <c r="C891" s="129">
        <v>25472.240000000002</v>
      </c>
    </row>
    <row r="892" spans="2:3" x14ac:dyDescent="0.3">
      <c r="B892" s="126">
        <v>44803</v>
      </c>
      <c r="C892" s="129">
        <v>25786.59</v>
      </c>
    </row>
    <row r="893" spans="2:3" x14ac:dyDescent="0.3">
      <c r="B893" s="126">
        <v>44802</v>
      </c>
      <c r="C893" s="129">
        <v>25138.400000000001</v>
      </c>
    </row>
    <row r="894" spans="2:3" x14ac:dyDescent="0.3">
      <c r="B894" s="126">
        <v>44799</v>
      </c>
      <c r="C894" s="129">
        <v>25495.64</v>
      </c>
    </row>
    <row r="895" spans="2:3" x14ac:dyDescent="0.3">
      <c r="B895" s="126">
        <v>44798</v>
      </c>
      <c r="C895" s="129">
        <v>25442.67</v>
      </c>
    </row>
    <row r="896" spans="2:3" x14ac:dyDescent="0.3">
      <c r="B896" s="126">
        <v>44797</v>
      </c>
      <c r="C896" s="129">
        <v>25562.51</v>
      </c>
    </row>
    <row r="897" spans="2:3" x14ac:dyDescent="0.3">
      <c r="B897" s="126">
        <v>44796</v>
      </c>
      <c r="C897" s="129">
        <v>25522.62</v>
      </c>
    </row>
    <row r="898" spans="2:3" x14ac:dyDescent="0.3">
      <c r="B898" s="126">
        <v>44795</v>
      </c>
      <c r="C898" s="129">
        <v>25396.57</v>
      </c>
    </row>
    <row r="899" spans="2:3" x14ac:dyDescent="0.3">
      <c r="B899" s="126">
        <v>44792</v>
      </c>
      <c r="C899" s="129">
        <v>25785.4</v>
      </c>
    </row>
    <row r="900" spans="2:3" x14ac:dyDescent="0.3">
      <c r="B900" s="126">
        <v>44791</v>
      </c>
      <c r="C900" s="129">
        <v>26067.35</v>
      </c>
    </row>
    <row r="901" spans="2:3" x14ac:dyDescent="0.3">
      <c r="B901" s="126">
        <v>44790</v>
      </c>
      <c r="C901" s="129">
        <v>26035.87</v>
      </c>
    </row>
    <row r="902" spans="2:3" x14ac:dyDescent="0.3">
      <c r="B902" s="126">
        <v>44789</v>
      </c>
      <c r="C902" s="129">
        <v>25863.24</v>
      </c>
    </row>
    <row r="903" spans="2:3" x14ac:dyDescent="0.3">
      <c r="B903" s="126">
        <v>44785</v>
      </c>
      <c r="C903" s="129">
        <v>25678.83</v>
      </c>
    </row>
    <row r="904" spans="2:3" x14ac:dyDescent="0.3">
      <c r="B904" s="126">
        <v>44784</v>
      </c>
      <c r="C904" s="129">
        <v>25621.06</v>
      </c>
    </row>
    <row r="905" spans="2:3" x14ac:dyDescent="0.3">
      <c r="B905" s="126">
        <v>44783</v>
      </c>
      <c r="C905" s="129">
        <v>25431.919999999998</v>
      </c>
    </row>
    <row r="906" spans="2:3" x14ac:dyDescent="0.3">
      <c r="B906" s="126">
        <v>44781</v>
      </c>
      <c r="C906" s="129">
        <v>25413.25</v>
      </c>
    </row>
    <row r="907" spans="2:3" x14ac:dyDescent="0.3">
      <c r="B907" s="126">
        <v>44778</v>
      </c>
      <c r="C907" s="129">
        <v>25215.93</v>
      </c>
    </row>
    <row r="908" spans="2:3" x14ac:dyDescent="0.3">
      <c r="B908" s="126">
        <v>44777</v>
      </c>
      <c r="C908" s="129">
        <v>25193.41</v>
      </c>
    </row>
    <row r="909" spans="2:3" x14ac:dyDescent="0.3">
      <c r="B909" s="126">
        <v>44776</v>
      </c>
      <c r="C909" s="129">
        <v>25202.38</v>
      </c>
    </row>
    <row r="910" spans="2:3" x14ac:dyDescent="0.3">
      <c r="B910" s="126">
        <v>44775</v>
      </c>
      <c r="C910" s="129">
        <v>25137.82</v>
      </c>
    </row>
    <row r="911" spans="2:3" x14ac:dyDescent="0.3">
      <c r="B911" s="126">
        <v>44774</v>
      </c>
      <c r="C911" s="129">
        <v>25128.57</v>
      </c>
    </row>
    <row r="912" spans="2:3" x14ac:dyDescent="0.3">
      <c r="B912" s="126">
        <v>44771</v>
      </c>
      <c r="C912" s="129">
        <v>24862.7</v>
      </c>
    </row>
    <row r="913" spans="2:3" x14ac:dyDescent="0.3">
      <c r="B913" s="126">
        <v>44770</v>
      </c>
      <c r="C913" s="129">
        <v>24531.38</v>
      </c>
    </row>
    <row r="914" spans="2:3" x14ac:dyDescent="0.3">
      <c r="B914" s="126">
        <v>44769</v>
      </c>
      <c r="C914" s="129">
        <v>24114.41</v>
      </c>
    </row>
    <row r="915" spans="2:3" x14ac:dyDescent="0.3">
      <c r="B915" s="126">
        <v>44768</v>
      </c>
      <c r="C915" s="129">
        <v>23882.26</v>
      </c>
    </row>
    <row r="916" spans="2:3" x14ac:dyDescent="0.3">
      <c r="B916" s="126">
        <v>44767</v>
      </c>
      <c r="C916" s="129">
        <v>24095.46</v>
      </c>
    </row>
    <row r="917" spans="2:3" x14ac:dyDescent="0.3">
      <c r="B917" s="126">
        <v>44764</v>
      </c>
      <c r="C917" s="129">
        <v>24223.56</v>
      </c>
    </row>
    <row r="918" spans="2:3" x14ac:dyDescent="0.3">
      <c r="B918" s="126">
        <v>44763</v>
      </c>
      <c r="C918" s="129">
        <v>24058.17</v>
      </c>
    </row>
    <row r="919" spans="2:3" x14ac:dyDescent="0.3">
      <c r="B919" s="126">
        <v>44762</v>
      </c>
      <c r="C919" s="129">
        <v>23920.880000000001</v>
      </c>
    </row>
    <row r="920" spans="2:3" x14ac:dyDescent="0.3">
      <c r="B920" s="126">
        <v>44761</v>
      </c>
      <c r="C920" s="129">
        <v>23659.85</v>
      </c>
    </row>
    <row r="921" spans="2:3" x14ac:dyDescent="0.3">
      <c r="B921" s="126">
        <v>44760</v>
      </c>
      <c r="C921" s="129">
        <v>23566.52</v>
      </c>
    </row>
    <row r="922" spans="2:3" x14ac:dyDescent="0.3">
      <c r="B922" s="126">
        <v>44757</v>
      </c>
      <c r="C922" s="129">
        <v>23234.52</v>
      </c>
    </row>
    <row r="923" spans="2:3" x14ac:dyDescent="0.3">
      <c r="B923" s="126">
        <v>44756</v>
      </c>
      <c r="C923" s="129">
        <v>23074.52</v>
      </c>
    </row>
    <row r="924" spans="2:3" x14ac:dyDescent="0.3">
      <c r="B924" s="126">
        <v>44755</v>
      </c>
      <c r="C924" s="129">
        <v>23107.47</v>
      </c>
    </row>
    <row r="925" spans="2:3" x14ac:dyDescent="0.3">
      <c r="B925" s="126">
        <v>44754</v>
      </c>
      <c r="C925" s="129">
        <v>23239.9</v>
      </c>
    </row>
    <row r="926" spans="2:3" x14ac:dyDescent="0.3">
      <c r="B926" s="126">
        <v>44753</v>
      </c>
      <c r="C926" s="129">
        <v>23468.14</v>
      </c>
    </row>
    <row r="927" spans="2:3" x14ac:dyDescent="0.3">
      <c r="B927" s="126">
        <v>44750</v>
      </c>
      <c r="C927" s="129">
        <v>23473.61</v>
      </c>
    </row>
    <row r="928" spans="2:3" x14ac:dyDescent="0.3">
      <c r="B928" s="126">
        <v>44749</v>
      </c>
      <c r="C928" s="129">
        <v>23345.61</v>
      </c>
    </row>
    <row r="929" spans="2:3" x14ac:dyDescent="0.3">
      <c r="B929" s="126">
        <v>44748</v>
      </c>
      <c r="C929" s="129">
        <v>23137.7</v>
      </c>
    </row>
    <row r="930" spans="2:3" x14ac:dyDescent="0.3">
      <c r="B930" s="126">
        <v>44747</v>
      </c>
      <c r="C930" s="129">
        <v>22878.720000000001</v>
      </c>
    </row>
    <row r="931" spans="2:3" x14ac:dyDescent="0.3">
      <c r="B931" s="126">
        <v>44746</v>
      </c>
      <c r="C931" s="129">
        <v>22914.2</v>
      </c>
    </row>
    <row r="932" spans="2:3" x14ac:dyDescent="0.3">
      <c r="B932" s="126">
        <v>44743</v>
      </c>
      <c r="C932" s="129">
        <v>22788.18</v>
      </c>
    </row>
    <row r="933" spans="2:3" x14ac:dyDescent="0.3">
      <c r="B933" s="126">
        <v>44742</v>
      </c>
      <c r="C933" s="129">
        <v>22828.93</v>
      </c>
    </row>
    <row r="934" spans="2:3" x14ac:dyDescent="0.3">
      <c r="B934" s="126">
        <v>44741</v>
      </c>
      <c r="C934" s="129">
        <v>22848.35</v>
      </c>
    </row>
    <row r="935" spans="2:3" x14ac:dyDescent="0.3">
      <c r="B935" s="126">
        <v>44740</v>
      </c>
      <c r="C935" s="129">
        <v>22922.240000000002</v>
      </c>
    </row>
    <row r="936" spans="2:3" x14ac:dyDescent="0.3">
      <c r="B936" s="126">
        <v>44739</v>
      </c>
      <c r="C936" s="129">
        <v>22896.02</v>
      </c>
    </row>
    <row r="937" spans="2:3" x14ac:dyDescent="0.3">
      <c r="B937" s="126">
        <v>44736</v>
      </c>
      <c r="C937" s="129">
        <v>22703.95</v>
      </c>
    </row>
    <row r="938" spans="2:3" x14ac:dyDescent="0.3">
      <c r="B938" s="126">
        <v>44735</v>
      </c>
      <c r="C938" s="129">
        <v>22497.71</v>
      </c>
    </row>
    <row r="939" spans="2:3" x14ac:dyDescent="0.3">
      <c r="B939" s="126">
        <v>44734</v>
      </c>
      <c r="C939" s="129">
        <v>22290.46</v>
      </c>
    </row>
    <row r="940" spans="2:3" x14ac:dyDescent="0.3">
      <c r="B940" s="126">
        <v>44733</v>
      </c>
      <c r="C940" s="129">
        <v>22616.52</v>
      </c>
    </row>
    <row r="941" spans="2:3" x14ac:dyDescent="0.3">
      <c r="B941" s="126">
        <v>44732</v>
      </c>
      <c r="C941" s="129">
        <v>22199.11</v>
      </c>
    </row>
    <row r="942" spans="2:3" x14ac:dyDescent="0.3">
      <c r="B942" s="126">
        <v>44729</v>
      </c>
      <c r="C942" s="129">
        <v>22114.97</v>
      </c>
    </row>
    <row r="943" spans="2:3" x14ac:dyDescent="0.3">
      <c r="B943" s="126">
        <v>44728</v>
      </c>
      <c r="C943" s="129">
        <v>22211.98</v>
      </c>
    </row>
    <row r="944" spans="2:3" x14ac:dyDescent="0.3">
      <c r="B944" s="126">
        <v>44727</v>
      </c>
      <c r="C944" s="129">
        <v>22691.46</v>
      </c>
    </row>
    <row r="945" spans="2:3" x14ac:dyDescent="0.3">
      <c r="B945" s="126">
        <v>44726</v>
      </c>
      <c r="C945" s="129">
        <v>22729.97</v>
      </c>
    </row>
    <row r="946" spans="2:3" x14ac:dyDescent="0.3">
      <c r="B946" s="126">
        <v>44725</v>
      </c>
      <c r="C946" s="129">
        <v>22791.119999999999</v>
      </c>
    </row>
    <row r="947" spans="2:3" x14ac:dyDescent="0.3">
      <c r="B947" s="126">
        <v>44722</v>
      </c>
      <c r="C947" s="129">
        <v>23408.59</v>
      </c>
    </row>
    <row r="948" spans="2:3" x14ac:dyDescent="0.3">
      <c r="B948" s="126">
        <v>44721</v>
      </c>
      <c r="C948" s="129">
        <v>23807.84</v>
      </c>
    </row>
    <row r="949" spans="2:3" x14ac:dyDescent="0.3">
      <c r="B949" s="126">
        <v>44720</v>
      </c>
      <c r="C949" s="129">
        <v>23628.32</v>
      </c>
    </row>
    <row r="950" spans="2:3" x14ac:dyDescent="0.3">
      <c r="B950" s="126">
        <v>44719</v>
      </c>
      <c r="C950" s="129">
        <v>23715.1</v>
      </c>
    </row>
    <row r="951" spans="2:3" x14ac:dyDescent="0.3">
      <c r="B951" s="126">
        <v>44718</v>
      </c>
      <c r="C951" s="129">
        <v>23936.44</v>
      </c>
    </row>
    <row r="952" spans="2:3" x14ac:dyDescent="0.3">
      <c r="B952" s="126">
        <v>44715</v>
      </c>
      <c r="C952" s="129">
        <v>23957.71</v>
      </c>
    </row>
    <row r="953" spans="2:3" x14ac:dyDescent="0.3">
      <c r="B953" s="126">
        <v>44714</v>
      </c>
      <c r="C953" s="129">
        <v>24020.89</v>
      </c>
    </row>
    <row r="954" spans="2:3" x14ac:dyDescent="0.3">
      <c r="B954" s="126">
        <v>44713</v>
      </c>
      <c r="C954" s="129">
        <v>23868.85</v>
      </c>
    </row>
    <row r="955" spans="2:3" x14ac:dyDescent="0.3">
      <c r="B955" s="126">
        <v>44712</v>
      </c>
      <c r="C955" s="129">
        <v>23958.1</v>
      </c>
    </row>
    <row r="956" spans="2:3" x14ac:dyDescent="0.3">
      <c r="B956" s="126">
        <v>44711</v>
      </c>
      <c r="C956" s="129">
        <v>24031.25</v>
      </c>
    </row>
    <row r="957" spans="2:3" x14ac:dyDescent="0.3">
      <c r="B957" s="126">
        <v>44708</v>
      </c>
      <c r="C957" s="129">
        <v>23585.61</v>
      </c>
    </row>
    <row r="958" spans="2:3" x14ac:dyDescent="0.3">
      <c r="B958" s="126">
        <v>44707</v>
      </c>
      <c r="C958" s="129">
        <v>23322.66</v>
      </c>
    </row>
    <row r="959" spans="2:3" x14ac:dyDescent="0.3">
      <c r="B959" s="126">
        <v>44706</v>
      </c>
      <c r="C959" s="129">
        <v>23096.63</v>
      </c>
    </row>
    <row r="960" spans="2:3" x14ac:dyDescent="0.3">
      <c r="B960" s="126">
        <v>44705</v>
      </c>
      <c r="C960" s="129">
        <v>23223.25</v>
      </c>
    </row>
    <row r="961" spans="2:3" x14ac:dyDescent="0.3">
      <c r="B961" s="126">
        <v>44704</v>
      </c>
      <c r="C961" s="129">
        <v>23352.22</v>
      </c>
    </row>
    <row r="962" spans="2:3" x14ac:dyDescent="0.3">
      <c r="B962" s="126">
        <v>44701</v>
      </c>
      <c r="C962" s="129">
        <v>23426.36</v>
      </c>
    </row>
    <row r="963" spans="2:3" x14ac:dyDescent="0.3">
      <c r="B963" s="126">
        <v>44700</v>
      </c>
      <c r="C963" s="129">
        <v>22768.49</v>
      </c>
    </row>
    <row r="964" spans="2:3" x14ac:dyDescent="0.3">
      <c r="B964" s="126">
        <v>44699</v>
      </c>
      <c r="C964" s="129">
        <v>23389.07</v>
      </c>
    </row>
    <row r="965" spans="2:3" x14ac:dyDescent="0.3">
      <c r="B965" s="126">
        <v>44698</v>
      </c>
      <c r="C965" s="129">
        <v>23416.46</v>
      </c>
    </row>
    <row r="966" spans="2:3" x14ac:dyDescent="0.3">
      <c r="B966" s="126">
        <v>44697</v>
      </c>
      <c r="C966" s="129">
        <v>22815.88</v>
      </c>
    </row>
    <row r="967" spans="2:3" x14ac:dyDescent="0.3">
      <c r="B967" s="126">
        <v>44694</v>
      </c>
      <c r="C967" s="129">
        <v>22729.279999999999</v>
      </c>
    </row>
    <row r="968" spans="2:3" x14ac:dyDescent="0.3">
      <c r="B968" s="126">
        <v>44693</v>
      </c>
      <c r="C968" s="129">
        <v>22766.52</v>
      </c>
    </row>
    <row r="969" spans="2:3" x14ac:dyDescent="0.3">
      <c r="B969" s="126">
        <v>44692</v>
      </c>
      <c r="C969" s="129">
        <v>23260.85</v>
      </c>
    </row>
    <row r="970" spans="2:3" x14ac:dyDescent="0.3">
      <c r="B970" s="126">
        <v>44691</v>
      </c>
      <c r="C970" s="129">
        <v>23365.81</v>
      </c>
    </row>
    <row r="971" spans="2:3" x14ac:dyDescent="0.3">
      <c r="B971" s="126">
        <v>44690</v>
      </c>
      <c r="C971" s="129">
        <v>23454.71</v>
      </c>
    </row>
    <row r="972" spans="2:3" x14ac:dyDescent="0.3">
      <c r="B972" s="126">
        <v>44687</v>
      </c>
      <c r="C972" s="129">
        <v>23612.16</v>
      </c>
    </row>
    <row r="973" spans="2:3" x14ac:dyDescent="0.3">
      <c r="B973" s="126">
        <v>44686</v>
      </c>
      <c r="C973" s="129">
        <v>24002.58</v>
      </c>
    </row>
    <row r="974" spans="2:3" x14ac:dyDescent="0.3">
      <c r="B974" s="126">
        <v>44685</v>
      </c>
      <c r="C974" s="129">
        <v>23995.35</v>
      </c>
    </row>
    <row r="975" spans="2:3" x14ac:dyDescent="0.3">
      <c r="B975" s="126">
        <v>44683</v>
      </c>
      <c r="C975" s="129">
        <v>24558.61</v>
      </c>
    </row>
    <row r="976" spans="2:3" x14ac:dyDescent="0.3">
      <c r="B976" s="126">
        <v>44680</v>
      </c>
      <c r="C976" s="129">
        <v>24606.78</v>
      </c>
    </row>
    <row r="977" spans="2:3" x14ac:dyDescent="0.3">
      <c r="B977" s="126">
        <v>44679</v>
      </c>
      <c r="C977" s="129">
        <v>24811.78</v>
      </c>
    </row>
    <row r="978" spans="2:3" x14ac:dyDescent="0.3">
      <c r="B978" s="126">
        <v>44678</v>
      </c>
      <c r="C978" s="129">
        <v>24508.3</v>
      </c>
    </row>
    <row r="979" spans="2:3" x14ac:dyDescent="0.3">
      <c r="B979" s="126">
        <v>44677</v>
      </c>
      <c r="C979" s="129">
        <v>24741.88</v>
      </c>
    </row>
    <row r="980" spans="2:3" x14ac:dyDescent="0.3">
      <c r="B980" s="126">
        <v>44676</v>
      </c>
      <c r="C980" s="129">
        <v>24386.78</v>
      </c>
    </row>
    <row r="981" spans="2:3" x14ac:dyDescent="0.3">
      <c r="B981" s="126">
        <v>44673</v>
      </c>
      <c r="C981" s="129">
        <v>24700.36</v>
      </c>
    </row>
    <row r="982" spans="2:3" x14ac:dyDescent="0.3">
      <c r="B982" s="126">
        <v>44672</v>
      </c>
      <c r="C982" s="129">
        <v>25017.73</v>
      </c>
    </row>
    <row r="983" spans="2:3" x14ac:dyDescent="0.3">
      <c r="B983" s="126">
        <v>44671</v>
      </c>
      <c r="C983" s="129">
        <v>24648.400000000001</v>
      </c>
    </row>
    <row r="984" spans="2:3" x14ac:dyDescent="0.3">
      <c r="B984" s="126">
        <v>44670</v>
      </c>
      <c r="C984" s="129">
        <v>24392.54</v>
      </c>
    </row>
    <row r="985" spans="2:3" x14ac:dyDescent="0.3">
      <c r="B985" s="126">
        <v>44669</v>
      </c>
      <c r="C985" s="129">
        <v>24701.75</v>
      </c>
    </row>
    <row r="986" spans="2:3" x14ac:dyDescent="0.3">
      <c r="B986" s="126">
        <v>44664</v>
      </c>
      <c r="C986" s="129">
        <v>25136.13</v>
      </c>
    </row>
    <row r="987" spans="2:3" x14ac:dyDescent="0.3">
      <c r="B987" s="126">
        <v>44663</v>
      </c>
      <c r="C987" s="129">
        <v>25214.76</v>
      </c>
    </row>
    <row r="988" spans="2:3" x14ac:dyDescent="0.3">
      <c r="B988" s="126">
        <v>44662</v>
      </c>
      <c r="C988" s="129">
        <v>25422.81</v>
      </c>
    </row>
    <row r="989" spans="2:3" x14ac:dyDescent="0.3">
      <c r="B989" s="126">
        <v>44659</v>
      </c>
      <c r="C989" s="129">
        <v>25580.15</v>
      </c>
    </row>
    <row r="990" spans="2:3" x14ac:dyDescent="0.3">
      <c r="B990" s="126">
        <v>44658</v>
      </c>
      <c r="C990" s="129">
        <v>25371.88</v>
      </c>
    </row>
    <row r="991" spans="2:3" x14ac:dyDescent="0.3">
      <c r="B991" s="126">
        <v>44657</v>
      </c>
      <c r="C991" s="129">
        <v>25613.71</v>
      </c>
    </row>
    <row r="992" spans="2:3" x14ac:dyDescent="0.3">
      <c r="B992" s="126">
        <v>44656</v>
      </c>
      <c r="C992" s="129">
        <v>25829.11</v>
      </c>
    </row>
    <row r="993" spans="2:3" x14ac:dyDescent="0.3">
      <c r="B993" s="126">
        <v>44655</v>
      </c>
      <c r="C993" s="129">
        <v>25964.720000000001</v>
      </c>
    </row>
    <row r="994" spans="2:3" x14ac:dyDescent="0.3">
      <c r="B994" s="126">
        <v>44652</v>
      </c>
      <c r="C994" s="129">
        <v>25413.94</v>
      </c>
    </row>
    <row r="995" spans="2:3" x14ac:dyDescent="0.3">
      <c r="B995" s="126">
        <v>44651</v>
      </c>
      <c r="C995" s="129">
        <v>25118.14</v>
      </c>
    </row>
    <row r="996" spans="2:3" x14ac:dyDescent="0.3">
      <c r="B996" s="126">
        <v>44650</v>
      </c>
      <c r="C996" s="129">
        <v>25166.31</v>
      </c>
    </row>
    <row r="997" spans="2:3" x14ac:dyDescent="0.3">
      <c r="B997" s="126">
        <v>44649</v>
      </c>
      <c r="C997" s="129">
        <v>24917.57</v>
      </c>
    </row>
    <row r="998" spans="2:3" x14ac:dyDescent="0.3">
      <c r="B998" s="126">
        <v>44648</v>
      </c>
      <c r="C998" s="129">
        <v>24768.69</v>
      </c>
    </row>
    <row r="999" spans="2:3" x14ac:dyDescent="0.3">
      <c r="B999" s="126">
        <v>44645</v>
      </c>
      <c r="C999" s="129">
        <v>24669.45</v>
      </c>
    </row>
    <row r="1000" spans="2:3" x14ac:dyDescent="0.3">
      <c r="B1000" s="126">
        <v>44644</v>
      </c>
      <c r="C1000" s="129">
        <v>24769.75</v>
      </c>
    </row>
    <row r="1001" spans="2:3" x14ac:dyDescent="0.3">
      <c r="B1001" s="126">
        <v>44643</v>
      </c>
      <c r="C1001" s="129">
        <v>24802.74</v>
      </c>
    </row>
    <row r="1002" spans="2:3" x14ac:dyDescent="0.3">
      <c r="B1002" s="126">
        <v>44642</v>
      </c>
      <c r="C1002" s="129">
        <v>24903.14</v>
      </c>
    </row>
    <row r="1003" spans="2:3" x14ac:dyDescent="0.3">
      <c r="B1003" s="126">
        <v>44641</v>
      </c>
      <c r="C1003" s="129">
        <v>24618.52</v>
      </c>
    </row>
    <row r="1004" spans="2:3" x14ac:dyDescent="0.3">
      <c r="B1004" s="126">
        <v>44637</v>
      </c>
      <c r="C1004" s="129">
        <v>24862.27</v>
      </c>
    </row>
    <row r="1005" spans="2:3" x14ac:dyDescent="0.3">
      <c r="B1005" s="126">
        <v>44636</v>
      </c>
      <c r="C1005" s="129">
        <v>24414</v>
      </c>
    </row>
    <row r="1006" spans="2:3" x14ac:dyDescent="0.3">
      <c r="B1006" s="126">
        <v>44635</v>
      </c>
      <c r="C1006" s="129">
        <v>23964.720000000001</v>
      </c>
    </row>
    <row r="1007" spans="2:3" x14ac:dyDescent="0.3">
      <c r="B1007" s="126">
        <v>44634</v>
      </c>
      <c r="C1007" s="129">
        <v>24264.29</v>
      </c>
    </row>
    <row r="1008" spans="2:3" x14ac:dyDescent="0.3">
      <c r="B1008" s="126">
        <v>44631</v>
      </c>
      <c r="C1008" s="129">
        <v>23917.96</v>
      </c>
    </row>
    <row r="1009" spans="2:3" x14ac:dyDescent="0.3">
      <c r="B1009" s="126">
        <v>44630</v>
      </c>
      <c r="C1009" s="129">
        <v>23866.77</v>
      </c>
    </row>
    <row r="1010" spans="2:3" x14ac:dyDescent="0.3">
      <c r="B1010" s="126">
        <v>44629</v>
      </c>
      <c r="C1010" s="129">
        <v>23507.87</v>
      </c>
    </row>
    <row r="1011" spans="2:3" x14ac:dyDescent="0.3">
      <c r="B1011" s="126">
        <v>44628</v>
      </c>
      <c r="C1011" s="129">
        <v>23030.560000000001</v>
      </c>
    </row>
    <row r="1012" spans="2:3" x14ac:dyDescent="0.3">
      <c r="B1012" s="126">
        <v>44627</v>
      </c>
      <c r="C1012" s="129">
        <v>22814.41</v>
      </c>
    </row>
    <row r="1013" spans="2:3" x14ac:dyDescent="0.3">
      <c r="B1013" s="126">
        <v>44624</v>
      </c>
      <c r="C1013" s="129">
        <v>23364.07</v>
      </c>
    </row>
    <row r="1014" spans="2:3" x14ac:dyDescent="0.3">
      <c r="B1014" s="126">
        <v>44623</v>
      </c>
      <c r="C1014" s="129">
        <v>23727.54</v>
      </c>
    </row>
    <row r="1015" spans="2:3" x14ac:dyDescent="0.3">
      <c r="B1015" s="126">
        <v>44622</v>
      </c>
      <c r="C1015" s="129">
        <v>23882.720000000001</v>
      </c>
    </row>
    <row r="1016" spans="2:3" x14ac:dyDescent="0.3">
      <c r="B1016" s="126">
        <v>44620</v>
      </c>
      <c r="C1016" s="129">
        <v>24153.01</v>
      </c>
    </row>
    <row r="1017" spans="2:3" x14ac:dyDescent="0.3">
      <c r="B1017" s="126">
        <v>44617</v>
      </c>
      <c r="C1017" s="129">
        <v>23958.1</v>
      </c>
    </row>
    <row r="1018" spans="2:3" x14ac:dyDescent="0.3">
      <c r="B1018" s="126">
        <v>44616</v>
      </c>
      <c r="C1018" s="129">
        <v>23367.85</v>
      </c>
    </row>
    <row r="1019" spans="2:3" x14ac:dyDescent="0.3">
      <c r="B1019" s="126">
        <v>44615</v>
      </c>
      <c r="C1019" s="129">
        <v>24540.41</v>
      </c>
    </row>
    <row r="1020" spans="2:3" x14ac:dyDescent="0.3">
      <c r="B1020" s="126">
        <v>44614</v>
      </c>
      <c r="C1020" s="129">
        <v>24582.05</v>
      </c>
    </row>
    <row r="1021" spans="2:3" x14ac:dyDescent="0.3">
      <c r="B1021" s="126">
        <v>44613</v>
      </c>
      <c r="C1021" s="129">
        <v>24746.59</v>
      </c>
    </row>
    <row r="1022" spans="2:3" x14ac:dyDescent="0.3">
      <c r="B1022" s="126">
        <v>44610</v>
      </c>
      <c r="C1022" s="129">
        <v>24838.68</v>
      </c>
    </row>
    <row r="1023" spans="2:3" x14ac:dyDescent="0.3">
      <c r="B1023" s="126">
        <v>44609</v>
      </c>
      <c r="C1023" s="129">
        <v>24879.32</v>
      </c>
    </row>
    <row r="1024" spans="2:3" x14ac:dyDescent="0.3">
      <c r="B1024" s="126">
        <v>44608</v>
      </c>
      <c r="C1024" s="129">
        <v>24904.67</v>
      </c>
    </row>
    <row r="1025" spans="2:3" x14ac:dyDescent="0.3">
      <c r="B1025" s="126">
        <v>44607</v>
      </c>
      <c r="C1025" s="129">
        <v>24941.93</v>
      </c>
    </row>
    <row r="1026" spans="2:3" x14ac:dyDescent="0.3">
      <c r="B1026" s="126">
        <v>44606</v>
      </c>
      <c r="C1026" s="129">
        <v>24209.38</v>
      </c>
    </row>
    <row r="1027" spans="2:3" x14ac:dyDescent="0.3">
      <c r="B1027" s="126">
        <v>44603</v>
      </c>
      <c r="C1027" s="129">
        <v>24958.45</v>
      </c>
    </row>
    <row r="1028" spans="2:3" x14ac:dyDescent="0.3">
      <c r="B1028" s="126">
        <v>44602</v>
      </c>
      <c r="C1028" s="129">
        <v>25290.42</v>
      </c>
    </row>
    <row r="1029" spans="2:3" x14ac:dyDescent="0.3">
      <c r="B1029" s="126">
        <v>44601</v>
      </c>
      <c r="C1029" s="129">
        <v>25084.6</v>
      </c>
    </row>
    <row r="1030" spans="2:3" x14ac:dyDescent="0.3">
      <c r="B1030" s="126">
        <v>44600</v>
      </c>
      <c r="C1030" s="129">
        <v>24795.759999999998</v>
      </c>
    </row>
    <row r="1031" spans="2:3" x14ac:dyDescent="0.3">
      <c r="B1031" s="126">
        <v>44599</v>
      </c>
      <c r="C1031" s="129">
        <v>24719.45</v>
      </c>
    </row>
    <row r="1032" spans="2:3" x14ac:dyDescent="0.3">
      <c r="B1032" s="126">
        <v>44596</v>
      </c>
      <c r="C1032" s="129">
        <v>25154.14</v>
      </c>
    </row>
    <row r="1033" spans="2:3" x14ac:dyDescent="0.3">
      <c r="B1033" s="126">
        <v>44595</v>
      </c>
      <c r="C1033" s="129">
        <v>25217.200000000001</v>
      </c>
    </row>
    <row r="1034" spans="2:3" x14ac:dyDescent="0.3">
      <c r="B1034" s="126">
        <v>44594</v>
      </c>
      <c r="C1034" s="129">
        <v>25526.55</v>
      </c>
    </row>
    <row r="1035" spans="2:3" x14ac:dyDescent="0.3">
      <c r="B1035" s="126">
        <v>44593</v>
      </c>
      <c r="C1035" s="129">
        <v>25234.89</v>
      </c>
    </row>
    <row r="1036" spans="2:3" x14ac:dyDescent="0.3">
      <c r="B1036" s="126">
        <v>44592</v>
      </c>
      <c r="C1036" s="129">
        <v>24894.62</v>
      </c>
    </row>
    <row r="1037" spans="2:3" x14ac:dyDescent="0.3">
      <c r="B1037" s="126">
        <v>44589</v>
      </c>
      <c r="C1037" s="129">
        <v>24553.040000000001</v>
      </c>
    </row>
    <row r="1038" spans="2:3" x14ac:dyDescent="0.3">
      <c r="B1038" s="126">
        <v>44588</v>
      </c>
      <c r="C1038" s="129">
        <v>24564.81</v>
      </c>
    </row>
    <row r="1039" spans="2:3" x14ac:dyDescent="0.3">
      <c r="B1039" s="126">
        <v>44586</v>
      </c>
      <c r="C1039" s="129">
        <v>24805.75</v>
      </c>
    </row>
    <row r="1040" spans="2:3" x14ac:dyDescent="0.3">
      <c r="B1040" s="126">
        <v>44585</v>
      </c>
      <c r="C1040" s="129">
        <v>24620.720000000001</v>
      </c>
    </row>
    <row r="1041" spans="2:3" x14ac:dyDescent="0.3">
      <c r="B1041" s="126">
        <v>44582</v>
      </c>
      <c r="C1041" s="129">
        <v>25292.720000000001</v>
      </c>
    </row>
    <row r="1042" spans="2:3" x14ac:dyDescent="0.3">
      <c r="B1042" s="126">
        <v>44581</v>
      </c>
      <c r="C1042" s="129">
        <v>25492.99</v>
      </c>
    </row>
    <row r="1043" spans="2:3" x14ac:dyDescent="0.3">
      <c r="B1043" s="126">
        <v>44580</v>
      </c>
      <c r="C1043" s="129">
        <v>25749.81</v>
      </c>
    </row>
    <row r="1044" spans="2:3" x14ac:dyDescent="0.3">
      <c r="B1044" s="126">
        <v>44579</v>
      </c>
      <c r="C1044" s="129">
        <v>25998.14</v>
      </c>
    </row>
    <row r="1045" spans="2:3" x14ac:dyDescent="0.3">
      <c r="B1045" s="126">
        <v>44578</v>
      </c>
      <c r="C1045" s="129">
        <v>26278.07</v>
      </c>
    </row>
    <row r="1046" spans="2:3" x14ac:dyDescent="0.3">
      <c r="B1046" s="126">
        <v>44575</v>
      </c>
      <c r="C1046" s="129">
        <v>26202.97</v>
      </c>
    </row>
    <row r="1047" spans="2:3" x14ac:dyDescent="0.3">
      <c r="B1047" s="126">
        <v>44574</v>
      </c>
      <c r="C1047" s="129">
        <v>26205.87</v>
      </c>
    </row>
    <row r="1048" spans="2:3" x14ac:dyDescent="0.3">
      <c r="B1048" s="126">
        <v>44573</v>
      </c>
      <c r="C1048" s="129">
        <v>26140.68</v>
      </c>
    </row>
    <row r="1049" spans="2:3" x14ac:dyDescent="0.3">
      <c r="B1049" s="126">
        <v>44572</v>
      </c>
      <c r="C1049" s="129">
        <v>25915.89</v>
      </c>
    </row>
    <row r="1050" spans="2:3" x14ac:dyDescent="0.3">
      <c r="B1050" s="126">
        <v>44571</v>
      </c>
      <c r="C1050" s="129">
        <v>25840.62</v>
      </c>
    </row>
    <row r="1051" spans="2:3" x14ac:dyDescent="0.3">
      <c r="B1051" s="126">
        <v>44568</v>
      </c>
      <c r="C1051" s="129">
        <v>25567.06</v>
      </c>
    </row>
    <row r="1052" spans="2:3" x14ac:dyDescent="0.3">
      <c r="B1052" s="126">
        <v>44567</v>
      </c>
      <c r="C1052" s="129">
        <v>25471.18</v>
      </c>
    </row>
    <row r="1053" spans="2:3" x14ac:dyDescent="0.3">
      <c r="B1053" s="126">
        <v>44566</v>
      </c>
      <c r="C1053" s="129">
        <v>25728.58</v>
      </c>
    </row>
    <row r="1054" spans="2:3" x14ac:dyDescent="0.3">
      <c r="B1054" s="126">
        <v>44565</v>
      </c>
      <c r="C1054" s="129">
        <v>25556.34</v>
      </c>
    </row>
    <row r="1055" spans="2:3" x14ac:dyDescent="0.3">
      <c r="B1055" s="126">
        <v>44564</v>
      </c>
      <c r="C1055" s="129">
        <v>25298.63</v>
      </c>
    </row>
    <row r="1056" spans="2:3" x14ac:dyDescent="0.3">
      <c r="B1056" s="126">
        <v>44561</v>
      </c>
      <c r="C1056" s="129">
        <v>24908.71</v>
      </c>
    </row>
    <row r="1057" spans="2:3" x14ac:dyDescent="0.3">
      <c r="B1057" s="126">
        <v>44560</v>
      </c>
      <c r="C1057" s="129">
        <v>24693.25</v>
      </c>
    </row>
    <row r="1058" spans="2:3" x14ac:dyDescent="0.3">
      <c r="B1058" s="126">
        <v>44559</v>
      </c>
      <c r="C1058" s="129">
        <v>24707.1</v>
      </c>
    </row>
    <row r="1059" spans="2:3" x14ac:dyDescent="0.3">
      <c r="B1059" s="126">
        <v>44558</v>
      </c>
      <c r="C1059" s="129">
        <v>24735.32</v>
      </c>
    </row>
    <row r="1060" spans="2:3" x14ac:dyDescent="0.3">
      <c r="B1060" s="126">
        <v>44557</v>
      </c>
      <c r="C1060" s="129">
        <v>24524.36</v>
      </c>
    </row>
    <row r="1061" spans="2:3" x14ac:dyDescent="0.3">
      <c r="B1061" s="126">
        <v>44554</v>
      </c>
      <c r="C1061" s="129">
        <v>24405.96</v>
      </c>
    </row>
    <row r="1062" spans="2:3" x14ac:dyDescent="0.3">
      <c r="B1062" s="126">
        <v>44553</v>
      </c>
      <c r="C1062" s="129">
        <v>24504.75</v>
      </c>
    </row>
    <row r="1063" spans="2:3" x14ac:dyDescent="0.3">
      <c r="B1063" s="126">
        <v>44552</v>
      </c>
      <c r="C1063" s="129">
        <v>24336.62</v>
      </c>
    </row>
    <row r="1064" spans="2:3" x14ac:dyDescent="0.3">
      <c r="B1064" s="126">
        <v>44551</v>
      </c>
      <c r="C1064" s="129">
        <v>24063.78</v>
      </c>
    </row>
    <row r="1065" spans="2:3" x14ac:dyDescent="0.3">
      <c r="B1065" s="126">
        <v>44550</v>
      </c>
      <c r="C1065" s="129">
        <v>23839.01</v>
      </c>
    </row>
    <row r="1066" spans="2:3" x14ac:dyDescent="0.3">
      <c r="B1066" s="126">
        <v>44547</v>
      </c>
      <c r="C1066" s="129">
        <v>24371.37</v>
      </c>
    </row>
    <row r="1067" spans="2:3" x14ac:dyDescent="0.3">
      <c r="B1067" s="126">
        <v>44546</v>
      </c>
      <c r="C1067" s="129">
        <v>24749.01</v>
      </c>
    </row>
    <row r="1068" spans="2:3" x14ac:dyDescent="0.3">
      <c r="B1068" s="126">
        <v>44545</v>
      </c>
      <c r="C1068" s="129">
        <v>24710.3</v>
      </c>
    </row>
    <row r="1069" spans="2:3" x14ac:dyDescent="0.3">
      <c r="B1069" s="126">
        <v>44544</v>
      </c>
      <c r="C1069" s="129">
        <v>24858.79</v>
      </c>
    </row>
    <row r="1070" spans="2:3" x14ac:dyDescent="0.3">
      <c r="B1070" s="126">
        <v>44543</v>
      </c>
      <c r="C1070" s="129">
        <v>24921.02</v>
      </c>
    </row>
    <row r="1071" spans="2:3" x14ac:dyDescent="0.3">
      <c r="B1071" s="126">
        <v>44540</v>
      </c>
      <c r="C1071" s="129">
        <v>25126.240000000002</v>
      </c>
    </row>
    <row r="1072" spans="2:3" x14ac:dyDescent="0.3">
      <c r="B1072" s="126">
        <v>44539</v>
      </c>
      <c r="C1072" s="129">
        <v>25134.23</v>
      </c>
    </row>
    <row r="1073" spans="2:3" x14ac:dyDescent="0.3">
      <c r="B1073" s="126">
        <v>44538</v>
      </c>
      <c r="C1073" s="129">
        <v>25066.62</v>
      </c>
    </row>
    <row r="1074" spans="2:3" x14ac:dyDescent="0.3">
      <c r="B1074" s="126">
        <v>44537</v>
      </c>
      <c r="C1074" s="129">
        <v>24646.18</v>
      </c>
    </row>
    <row r="1075" spans="2:3" x14ac:dyDescent="0.3">
      <c r="B1075" s="126">
        <v>44536</v>
      </c>
      <c r="C1075" s="129">
        <v>24266.71</v>
      </c>
    </row>
    <row r="1076" spans="2:3" x14ac:dyDescent="0.3">
      <c r="B1076" s="126">
        <v>44533</v>
      </c>
      <c r="C1076" s="129">
        <v>24674.83</v>
      </c>
    </row>
    <row r="1077" spans="2:3" x14ac:dyDescent="0.3">
      <c r="B1077" s="126">
        <v>44532</v>
      </c>
      <c r="C1077" s="129">
        <v>24968.91</v>
      </c>
    </row>
    <row r="1078" spans="2:3" x14ac:dyDescent="0.3">
      <c r="B1078" s="126">
        <v>44531</v>
      </c>
      <c r="C1078" s="129">
        <v>24632.06</v>
      </c>
    </row>
    <row r="1079" spans="2:3" x14ac:dyDescent="0.3">
      <c r="B1079" s="126">
        <v>44530</v>
      </c>
      <c r="C1079" s="129">
        <v>24368.53</v>
      </c>
    </row>
    <row r="1080" spans="2:3" x14ac:dyDescent="0.3">
      <c r="B1080" s="126">
        <v>44529</v>
      </c>
      <c r="C1080" s="129">
        <v>24469.99</v>
      </c>
    </row>
    <row r="1081" spans="2:3" x14ac:dyDescent="0.3">
      <c r="B1081" s="126">
        <v>44526</v>
      </c>
      <c r="C1081" s="129">
        <v>24430.53</v>
      </c>
    </row>
    <row r="1082" spans="2:3" x14ac:dyDescent="0.3">
      <c r="B1082" s="126">
        <v>44525</v>
      </c>
      <c r="C1082" s="129">
        <v>25162.07</v>
      </c>
    </row>
    <row r="1083" spans="2:3" x14ac:dyDescent="0.3">
      <c r="B1083" s="126">
        <v>44524</v>
      </c>
      <c r="C1083" s="129">
        <v>24988.18</v>
      </c>
    </row>
    <row r="1084" spans="2:3" x14ac:dyDescent="0.3">
      <c r="B1084" s="126">
        <v>44523</v>
      </c>
      <c r="C1084" s="129">
        <v>25114.82</v>
      </c>
    </row>
    <row r="1085" spans="2:3" x14ac:dyDescent="0.3">
      <c r="B1085" s="126">
        <v>44522</v>
      </c>
      <c r="C1085" s="129">
        <v>24990.27</v>
      </c>
    </row>
    <row r="1086" spans="2:3" x14ac:dyDescent="0.3">
      <c r="B1086" s="126">
        <v>44518</v>
      </c>
      <c r="C1086" s="129">
        <v>25483.23</v>
      </c>
    </row>
    <row r="1087" spans="2:3" x14ac:dyDescent="0.3">
      <c r="B1087" s="126">
        <v>44517</v>
      </c>
      <c r="C1087" s="129">
        <v>25675.200000000001</v>
      </c>
    </row>
    <row r="1088" spans="2:3" x14ac:dyDescent="0.3">
      <c r="B1088" s="126">
        <v>44516</v>
      </c>
      <c r="C1088" s="129">
        <v>25819.49</v>
      </c>
    </row>
    <row r="1089" spans="2:3" x14ac:dyDescent="0.3">
      <c r="B1089" s="126">
        <v>44515</v>
      </c>
      <c r="C1089" s="129">
        <v>25977.61</v>
      </c>
    </row>
    <row r="1090" spans="2:3" x14ac:dyDescent="0.3">
      <c r="B1090" s="126">
        <v>44512</v>
      </c>
      <c r="C1090" s="129">
        <v>25968.02</v>
      </c>
    </row>
    <row r="1091" spans="2:3" x14ac:dyDescent="0.3">
      <c r="B1091" s="126">
        <v>44511</v>
      </c>
      <c r="C1091" s="129">
        <v>25639.32</v>
      </c>
    </row>
    <row r="1092" spans="2:3" x14ac:dyDescent="0.3">
      <c r="B1092" s="126">
        <v>44510</v>
      </c>
      <c r="C1092" s="129">
        <v>25839.47</v>
      </c>
    </row>
    <row r="1093" spans="2:3" x14ac:dyDescent="0.3">
      <c r="B1093" s="126">
        <v>44509</v>
      </c>
      <c r="C1093" s="129">
        <v>25878.28</v>
      </c>
    </row>
    <row r="1094" spans="2:3" x14ac:dyDescent="0.3">
      <c r="B1094" s="126">
        <v>44508</v>
      </c>
      <c r="C1094" s="129">
        <v>25913.09</v>
      </c>
    </row>
    <row r="1095" spans="2:3" x14ac:dyDescent="0.3">
      <c r="B1095" s="126">
        <v>44503</v>
      </c>
      <c r="C1095" s="129">
        <v>25569.86</v>
      </c>
    </row>
    <row r="1096" spans="2:3" x14ac:dyDescent="0.3">
      <c r="B1096" s="126">
        <v>44502</v>
      </c>
      <c r="C1096" s="129">
        <v>25655.51</v>
      </c>
    </row>
    <row r="1097" spans="2:3" x14ac:dyDescent="0.3">
      <c r="B1097" s="126">
        <v>44501</v>
      </c>
      <c r="C1097" s="129">
        <v>25710.799999999999</v>
      </c>
    </row>
    <row r="1098" spans="2:3" x14ac:dyDescent="0.3">
      <c r="B1098" s="126">
        <v>44498</v>
      </c>
      <c r="C1098" s="129">
        <v>25340.83</v>
      </c>
    </row>
    <row r="1099" spans="2:3" x14ac:dyDescent="0.3">
      <c r="B1099" s="126">
        <v>44497</v>
      </c>
      <c r="C1099" s="129">
        <v>25606.99</v>
      </c>
    </row>
    <row r="1100" spans="2:3" x14ac:dyDescent="0.3">
      <c r="B1100" s="126">
        <v>44496</v>
      </c>
      <c r="C1100" s="129">
        <v>26113.62</v>
      </c>
    </row>
    <row r="1101" spans="2:3" x14ac:dyDescent="0.3">
      <c r="B1101" s="126">
        <v>44495</v>
      </c>
      <c r="C1101" s="129">
        <v>26196.05</v>
      </c>
    </row>
    <row r="1102" spans="2:3" x14ac:dyDescent="0.3">
      <c r="B1102" s="126">
        <v>44494</v>
      </c>
      <c r="C1102" s="129">
        <v>25967.040000000001</v>
      </c>
    </row>
    <row r="1103" spans="2:3" x14ac:dyDescent="0.3">
      <c r="B1103" s="126">
        <v>44491</v>
      </c>
      <c r="C1103" s="129">
        <v>25952.01</v>
      </c>
    </row>
    <row r="1104" spans="2:3" x14ac:dyDescent="0.3">
      <c r="B1104" s="126">
        <v>44490</v>
      </c>
      <c r="C1104" s="129">
        <v>26042.59</v>
      </c>
    </row>
    <row r="1105" spans="2:3" x14ac:dyDescent="0.3">
      <c r="B1105" s="126">
        <v>44489</v>
      </c>
      <c r="C1105" s="129">
        <v>26165.78</v>
      </c>
    </row>
    <row r="1106" spans="2:3" x14ac:dyDescent="0.3">
      <c r="B1106" s="126">
        <v>44488</v>
      </c>
      <c r="C1106" s="129">
        <v>26383.71</v>
      </c>
    </row>
    <row r="1107" spans="2:3" x14ac:dyDescent="0.3">
      <c r="B1107" s="126">
        <v>44487</v>
      </c>
      <c r="C1107" s="129">
        <v>26467.21</v>
      </c>
    </row>
    <row r="1108" spans="2:3" x14ac:dyDescent="0.3">
      <c r="B1108" s="126">
        <v>44483</v>
      </c>
      <c r="C1108" s="129">
        <v>26268.83</v>
      </c>
    </row>
    <row r="1109" spans="2:3" x14ac:dyDescent="0.3">
      <c r="B1109" s="126">
        <v>44482</v>
      </c>
      <c r="C1109" s="129">
        <v>26013.19</v>
      </c>
    </row>
    <row r="1110" spans="2:3" x14ac:dyDescent="0.3">
      <c r="B1110" s="126">
        <v>44481</v>
      </c>
      <c r="C1110" s="129">
        <v>25770.01</v>
      </c>
    </row>
    <row r="1111" spans="2:3" x14ac:dyDescent="0.3">
      <c r="B1111" s="126">
        <v>44480</v>
      </c>
      <c r="C1111" s="129">
        <v>25704.1</v>
      </c>
    </row>
    <row r="1112" spans="2:3" x14ac:dyDescent="0.3">
      <c r="B1112" s="126">
        <v>44477</v>
      </c>
      <c r="C1112" s="129">
        <v>25631.38</v>
      </c>
    </row>
    <row r="1113" spans="2:3" x14ac:dyDescent="0.3">
      <c r="B1113" s="126">
        <v>44476</v>
      </c>
      <c r="C1113" s="129">
        <v>25481.26</v>
      </c>
    </row>
    <row r="1114" spans="2:3" x14ac:dyDescent="0.3">
      <c r="B1114" s="126">
        <v>44475</v>
      </c>
      <c r="C1114" s="129">
        <v>25274.48</v>
      </c>
    </row>
    <row r="1115" spans="2:3" x14ac:dyDescent="0.3">
      <c r="B1115" s="126">
        <v>44474</v>
      </c>
      <c r="C1115" s="129">
        <v>25526.98</v>
      </c>
    </row>
    <row r="1116" spans="2:3" x14ac:dyDescent="0.3">
      <c r="B1116" s="126">
        <v>44473</v>
      </c>
      <c r="C1116" s="129">
        <v>25339.32</v>
      </c>
    </row>
    <row r="1117" spans="2:3" x14ac:dyDescent="0.3">
      <c r="B1117" s="126">
        <v>44470</v>
      </c>
      <c r="C1117" s="129">
        <v>25111.25</v>
      </c>
    </row>
    <row r="1118" spans="2:3" x14ac:dyDescent="0.3">
      <c r="B1118" s="126">
        <v>44469</v>
      </c>
      <c r="C1118" s="129">
        <v>25234.57</v>
      </c>
    </row>
    <row r="1119" spans="2:3" x14ac:dyDescent="0.3">
      <c r="B1119" s="126">
        <v>44468</v>
      </c>
      <c r="C1119" s="129">
        <v>25367.99</v>
      </c>
    </row>
    <row r="1120" spans="2:3" x14ac:dyDescent="0.3">
      <c r="B1120" s="126">
        <v>44467</v>
      </c>
      <c r="C1120" s="129">
        <v>25421.46</v>
      </c>
    </row>
    <row r="1121" spans="2:3" x14ac:dyDescent="0.3">
      <c r="B1121" s="126">
        <v>44466</v>
      </c>
      <c r="C1121" s="129">
        <v>25573.99</v>
      </c>
    </row>
    <row r="1122" spans="2:3" x14ac:dyDescent="0.3">
      <c r="B1122" s="126">
        <v>44463</v>
      </c>
      <c r="C1122" s="129">
        <v>25571.24</v>
      </c>
    </row>
    <row r="1123" spans="2:3" x14ac:dyDescent="0.3">
      <c r="B1123" s="126">
        <v>44462</v>
      </c>
      <c r="C1123" s="129">
        <v>25527.919999999998</v>
      </c>
    </row>
    <row r="1124" spans="2:3" x14ac:dyDescent="0.3">
      <c r="B1124" s="126">
        <v>44461</v>
      </c>
      <c r="C1124" s="129">
        <v>25132.15</v>
      </c>
    </row>
    <row r="1125" spans="2:3" x14ac:dyDescent="0.3">
      <c r="B1125" s="126">
        <v>44460</v>
      </c>
      <c r="C1125" s="129">
        <v>25154.16</v>
      </c>
    </row>
    <row r="1126" spans="2:3" x14ac:dyDescent="0.3">
      <c r="B1126" s="126">
        <v>44459</v>
      </c>
      <c r="C1126" s="129">
        <v>24917.72</v>
      </c>
    </row>
    <row r="1127" spans="2:3" x14ac:dyDescent="0.3">
      <c r="B1127" s="126">
        <v>44456</v>
      </c>
      <c r="C1127" s="129">
        <v>25187.34</v>
      </c>
    </row>
    <row r="1128" spans="2:3" x14ac:dyDescent="0.3">
      <c r="B1128" s="126">
        <v>44455</v>
      </c>
      <c r="C1128" s="129">
        <v>25250.87</v>
      </c>
    </row>
    <row r="1129" spans="2:3" x14ac:dyDescent="0.3">
      <c r="B1129" s="126">
        <v>44454</v>
      </c>
      <c r="C1129" s="129">
        <v>25093.22</v>
      </c>
    </row>
    <row r="1130" spans="2:3" x14ac:dyDescent="0.3">
      <c r="B1130" s="126">
        <v>44453</v>
      </c>
      <c r="C1130" s="129">
        <v>24893.51</v>
      </c>
    </row>
    <row r="1131" spans="2:3" x14ac:dyDescent="0.3">
      <c r="B1131" s="126">
        <v>44452</v>
      </c>
      <c r="C1131" s="129">
        <v>24858.12</v>
      </c>
    </row>
    <row r="1132" spans="2:3" x14ac:dyDescent="0.3">
      <c r="B1132" s="126">
        <v>44448</v>
      </c>
      <c r="C1132" s="129">
        <v>24878.09</v>
      </c>
    </row>
    <row r="1133" spans="2:3" x14ac:dyDescent="0.3">
      <c r="B1133" s="126">
        <v>44447</v>
      </c>
      <c r="C1133" s="129">
        <v>24855.5</v>
      </c>
    </row>
    <row r="1134" spans="2:3" x14ac:dyDescent="0.3">
      <c r="B1134" s="126">
        <v>44446</v>
      </c>
      <c r="C1134" s="129">
        <v>24857.27</v>
      </c>
    </row>
    <row r="1135" spans="2:3" x14ac:dyDescent="0.3">
      <c r="B1135" s="126">
        <v>44445</v>
      </c>
      <c r="C1135" s="129">
        <v>24879.79</v>
      </c>
    </row>
    <row r="1136" spans="2:3" x14ac:dyDescent="0.3">
      <c r="B1136" s="126">
        <v>44442</v>
      </c>
      <c r="C1136" s="129">
        <v>24802.17</v>
      </c>
    </row>
    <row r="1137" spans="2:3" x14ac:dyDescent="0.3">
      <c r="B1137" s="126">
        <v>44441</v>
      </c>
      <c r="C1137" s="129">
        <v>24674.11</v>
      </c>
    </row>
    <row r="1138" spans="2:3" x14ac:dyDescent="0.3">
      <c r="B1138" s="126">
        <v>44440</v>
      </c>
      <c r="C1138" s="129">
        <v>24445.62</v>
      </c>
    </row>
    <row r="1139" spans="2:3" x14ac:dyDescent="0.3">
      <c r="B1139" s="126">
        <v>44439</v>
      </c>
      <c r="C1139" s="129">
        <v>24525.71</v>
      </c>
    </row>
    <row r="1140" spans="2:3" x14ac:dyDescent="0.3">
      <c r="B1140" s="126">
        <v>44438</v>
      </c>
      <c r="C1140" s="129">
        <v>24237.8</v>
      </c>
    </row>
    <row r="1141" spans="2:3" x14ac:dyDescent="0.3">
      <c r="B1141" s="126">
        <v>44435</v>
      </c>
      <c r="C1141" s="129">
        <v>23914.48</v>
      </c>
    </row>
    <row r="1142" spans="2:3" x14ac:dyDescent="0.3">
      <c r="B1142" s="126">
        <v>44434</v>
      </c>
      <c r="C1142" s="129">
        <v>23816.68</v>
      </c>
    </row>
    <row r="1143" spans="2:3" x14ac:dyDescent="0.3">
      <c r="B1143" s="126">
        <v>44433</v>
      </c>
      <c r="C1143" s="129">
        <v>23813.43</v>
      </c>
    </row>
    <row r="1144" spans="2:3" x14ac:dyDescent="0.3">
      <c r="B1144" s="126">
        <v>44432</v>
      </c>
      <c r="C1144" s="129">
        <v>23799.1</v>
      </c>
    </row>
    <row r="1145" spans="2:3" x14ac:dyDescent="0.3">
      <c r="B1145" s="126">
        <v>44431</v>
      </c>
      <c r="C1145" s="129">
        <v>23615.61</v>
      </c>
    </row>
    <row r="1146" spans="2:3" x14ac:dyDescent="0.3">
      <c r="B1146" s="126">
        <v>44428</v>
      </c>
      <c r="C1146" s="129">
        <v>23549.09</v>
      </c>
    </row>
    <row r="1147" spans="2:3" x14ac:dyDescent="0.3">
      <c r="B1147" s="126">
        <v>44426</v>
      </c>
      <c r="C1147" s="129">
        <v>23718.57</v>
      </c>
    </row>
    <row r="1148" spans="2:3" x14ac:dyDescent="0.3">
      <c r="B1148" s="126">
        <v>44425</v>
      </c>
      <c r="C1148" s="129">
        <v>23784.05</v>
      </c>
    </row>
    <row r="1149" spans="2:3" x14ac:dyDescent="0.3">
      <c r="B1149" s="126">
        <v>44424</v>
      </c>
      <c r="C1149" s="129">
        <v>23708.38</v>
      </c>
    </row>
    <row r="1150" spans="2:3" x14ac:dyDescent="0.3">
      <c r="B1150" s="126">
        <v>44421</v>
      </c>
      <c r="C1150" s="129">
        <v>23659.78</v>
      </c>
    </row>
    <row r="1151" spans="2:3" x14ac:dyDescent="0.3">
      <c r="B1151" s="126">
        <v>44420</v>
      </c>
      <c r="C1151" s="129">
        <v>23424.04</v>
      </c>
    </row>
    <row r="1152" spans="2:3" x14ac:dyDescent="0.3">
      <c r="B1152" s="126">
        <v>44419</v>
      </c>
      <c r="C1152" s="129">
        <v>23303.89</v>
      </c>
    </row>
    <row r="1153" spans="2:3" x14ac:dyDescent="0.3">
      <c r="B1153" s="126">
        <v>44418</v>
      </c>
      <c r="C1153" s="129">
        <v>23300.36</v>
      </c>
    </row>
    <row r="1154" spans="2:3" x14ac:dyDescent="0.3">
      <c r="B1154" s="126">
        <v>44417</v>
      </c>
      <c r="C1154" s="129">
        <v>23269.119999999999</v>
      </c>
    </row>
    <row r="1155" spans="2:3" x14ac:dyDescent="0.3">
      <c r="B1155" s="126">
        <v>44414</v>
      </c>
      <c r="C1155" s="129">
        <v>23238.83</v>
      </c>
    </row>
    <row r="1156" spans="2:3" x14ac:dyDescent="0.3">
      <c r="B1156" s="126">
        <v>44413</v>
      </c>
      <c r="C1156" s="129">
        <v>23319.53</v>
      </c>
    </row>
    <row r="1157" spans="2:3" x14ac:dyDescent="0.3">
      <c r="B1157" s="126">
        <v>44412</v>
      </c>
      <c r="C1157" s="129">
        <v>23265.07</v>
      </c>
    </row>
    <row r="1158" spans="2:3" x14ac:dyDescent="0.3">
      <c r="B1158" s="126">
        <v>44411</v>
      </c>
      <c r="C1158" s="129">
        <v>23081.86</v>
      </c>
    </row>
    <row r="1159" spans="2:3" x14ac:dyDescent="0.3">
      <c r="B1159" s="126">
        <v>44410</v>
      </c>
      <c r="C1159" s="129">
        <v>22730.42</v>
      </c>
    </row>
    <row r="1160" spans="2:3" x14ac:dyDescent="0.3">
      <c r="B1160" s="126">
        <v>44407</v>
      </c>
      <c r="C1160" s="129">
        <v>22554.26</v>
      </c>
    </row>
    <row r="1161" spans="2:3" x14ac:dyDescent="0.3">
      <c r="B1161" s="126">
        <v>44406</v>
      </c>
      <c r="C1161" s="129">
        <v>22576.34</v>
      </c>
    </row>
    <row r="1162" spans="2:3" x14ac:dyDescent="0.3">
      <c r="B1162" s="126">
        <v>44405</v>
      </c>
      <c r="C1162" s="129">
        <v>22472.95</v>
      </c>
    </row>
    <row r="1163" spans="2:3" x14ac:dyDescent="0.3">
      <c r="B1163" s="126">
        <v>44404</v>
      </c>
      <c r="C1163" s="129">
        <v>22518.799999999999</v>
      </c>
    </row>
    <row r="1164" spans="2:3" x14ac:dyDescent="0.3">
      <c r="B1164" s="126">
        <v>44403</v>
      </c>
      <c r="C1164" s="129">
        <v>22628.19</v>
      </c>
    </row>
    <row r="1165" spans="2:3" x14ac:dyDescent="0.3">
      <c r="B1165" s="126">
        <v>44400</v>
      </c>
      <c r="C1165" s="129">
        <v>22673.35</v>
      </c>
    </row>
    <row r="1166" spans="2:3" x14ac:dyDescent="0.3">
      <c r="B1166" s="126">
        <v>44399</v>
      </c>
      <c r="C1166" s="129">
        <v>22621.45</v>
      </c>
    </row>
    <row r="1167" spans="2:3" x14ac:dyDescent="0.3">
      <c r="B1167" s="126">
        <v>44397</v>
      </c>
      <c r="C1167" s="129">
        <v>22344.81</v>
      </c>
    </row>
    <row r="1168" spans="2:3" x14ac:dyDescent="0.3">
      <c r="B1168" s="126">
        <v>44396</v>
      </c>
      <c r="C1168" s="129">
        <v>22516.71</v>
      </c>
    </row>
    <row r="1169" spans="2:3" x14ac:dyDescent="0.3">
      <c r="B1169" s="126">
        <v>44393</v>
      </c>
      <c r="C1169" s="129">
        <v>22761.200000000001</v>
      </c>
    </row>
    <row r="1170" spans="2:3" x14ac:dyDescent="0.3">
      <c r="B1170" s="126">
        <v>44392</v>
      </c>
      <c r="C1170" s="129">
        <v>22762.34</v>
      </c>
    </row>
    <row r="1171" spans="2:3" x14ac:dyDescent="0.3">
      <c r="B1171" s="126">
        <v>44391</v>
      </c>
      <c r="C1171" s="129">
        <v>22656.78</v>
      </c>
    </row>
    <row r="1172" spans="2:3" x14ac:dyDescent="0.3">
      <c r="B1172" s="126">
        <v>44390</v>
      </c>
      <c r="C1172" s="129">
        <v>22595.49</v>
      </c>
    </row>
    <row r="1173" spans="2:3" x14ac:dyDescent="0.3">
      <c r="B1173" s="126">
        <v>44389</v>
      </c>
      <c r="C1173" s="129">
        <v>22424.39</v>
      </c>
    </row>
    <row r="1174" spans="2:3" x14ac:dyDescent="0.3">
      <c r="B1174" s="126">
        <v>44386</v>
      </c>
      <c r="C1174" s="129">
        <v>22420.36</v>
      </c>
    </row>
    <row r="1175" spans="2:3" x14ac:dyDescent="0.3">
      <c r="B1175" s="126">
        <v>44385</v>
      </c>
      <c r="C1175" s="129">
        <v>22473.81</v>
      </c>
    </row>
    <row r="1176" spans="2:3" x14ac:dyDescent="0.3">
      <c r="B1176" s="126">
        <v>44384</v>
      </c>
      <c r="C1176" s="129">
        <v>22683.66</v>
      </c>
    </row>
    <row r="1177" spans="2:3" x14ac:dyDescent="0.3">
      <c r="B1177" s="126">
        <v>44383</v>
      </c>
      <c r="C1177" s="129">
        <v>22595.93</v>
      </c>
    </row>
    <row r="1178" spans="2:3" x14ac:dyDescent="0.3">
      <c r="B1178" s="126">
        <v>44382</v>
      </c>
      <c r="C1178" s="129">
        <v>22618.97</v>
      </c>
    </row>
    <row r="1179" spans="2:3" x14ac:dyDescent="0.3">
      <c r="B1179" s="126">
        <v>44379</v>
      </c>
      <c r="C1179" s="129">
        <v>22456.66</v>
      </c>
    </row>
    <row r="1180" spans="2:3" x14ac:dyDescent="0.3">
      <c r="B1180" s="126">
        <v>44378</v>
      </c>
      <c r="C1180" s="129">
        <v>22396.400000000001</v>
      </c>
    </row>
    <row r="1181" spans="2:3" x14ac:dyDescent="0.3">
      <c r="B1181" s="126">
        <v>44377</v>
      </c>
      <c r="C1181" s="129">
        <v>22455.7</v>
      </c>
    </row>
    <row r="1182" spans="2:3" x14ac:dyDescent="0.3">
      <c r="B1182" s="126">
        <v>44376</v>
      </c>
      <c r="C1182" s="129">
        <v>22493.599999999999</v>
      </c>
    </row>
    <row r="1183" spans="2:3" x14ac:dyDescent="0.3">
      <c r="B1183" s="126">
        <v>44375</v>
      </c>
      <c r="C1183" s="129">
        <v>22578.86</v>
      </c>
    </row>
    <row r="1184" spans="2:3" x14ac:dyDescent="0.3">
      <c r="B1184" s="126">
        <v>44372</v>
      </c>
      <c r="C1184" s="129">
        <v>22644.06</v>
      </c>
    </row>
    <row r="1185" spans="2:3" x14ac:dyDescent="0.3">
      <c r="B1185" s="126">
        <v>44371</v>
      </c>
      <c r="C1185" s="129">
        <v>22544.26</v>
      </c>
    </row>
    <row r="1186" spans="2:3" x14ac:dyDescent="0.3">
      <c r="B1186" s="126">
        <v>44370</v>
      </c>
      <c r="C1186" s="129">
        <v>22395.25</v>
      </c>
    </row>
    <row r="1187" spans="2:3" x14ac:dyDescent="0.3">
      <c r="B1187" s="126">
        <v>44369</v>
      </c>
      <c r="C1187" s="129">
        <v>22517.74</v>
      </c>
    </row>
    <row r="1188" spans="2:3" x14ac:dyDescent="0.3">
      <c r="B1188" s="126">
        <v>44368</v>
      </c>
      <c r="C1188" s="129">
        <v>22480.3</v>
      </c>
    </row>
    <row r="1189" spans="2:3" x14ac:dyDescent="0.3">
      <c r="B1189" s="126">
        <v>44365</v>
      </c>
      <c r="C1189" s="129">
        <v>22390.11</v>
      </c>
    </row>
    <row r="1190" spans="2:3" x14ac:dyDescent="0.3">
      <c r="B1190" s="126">
        <v>44364</v>
      </c>
      <c r="C1190" s="129">
        <v>22401.65</v>
      </c>
    </row>
    <row r="1191" spans="2:3" x14ac:dyDescent="0.3">
      <c r="B1191" s="126">
        <v>44363</v>
      </c>
      <c r="C1191" s="129">
        <v>22503.9</v>
      </c>
    </row>
    <row r="1192" spans="2:3" x14ac:dyDescent="0.3">
      <c r="B1192" s="126">
        <v>44362</v>
      </c>
      <c r="C1192" s="129">
        <v>22649.05</v>
      </c>
    </row>
    <row r="1193" spans="2:3" x14ac:dyDescent="0.3">
      <c r="B1193" s="126">
        <v>44361</v>
      </c>
      <c r="C1193" s="129">
        <v>22567.11</v>
      </c>
    </row>
    <row r="1194" spans="2:3" x14ac:dyDescent="0.3">
      <c r="B1194" s="126">
        <v>44358</v>
      </c>
      <c r="C1194" s="129">
        <v>22544.26</v>
      </c>
    </row>
    <row r="1195" spans="2:3" x14ac:dyDescent="0.3">
      <c r="B1195" s="126">
        <v>44357</v>
      </c>
      <c r="C1195" s="129">
        <v>22448.94</v>
      </c>
    </row>
    <row r="1196" spans="2:3" x14ac:dyDescent="0.3">
      <c r="B1196" s="126">
        <v>44356</v>
      </c>
      <c r="C1196" s="129">
        <v>22283.52</v>
      </c>
    </row>
    <row r="1197" spans="2:3" x14ac:dyDescent="0.3">
      <c r="B1197" s="126">
        <v>44355</v>
      </c>
      <c r="C1197" s="129">
        <v>22432.77</v>
      </c>
    </row>
    <row r="1198" spans="2:3" x14ac:dyDescent="0.3">
      <c r="B1198" s="126">
        <v>44354</v>
      </c>
      <c r="C1198" s="129">
        <v>22449.24</v>
      </c>
    </row>
    <row r="1199" spans="2:3" x14ac:dyDescent="0.3">
      <c r="B1199" s="126">
        <v>44351</v>
      </c>
      <c r="C1199" s="129">
        <v>22333.23</v>
      </c>
    </row>
    <row r="1200" spans="2:3" x14ac:dyDescent="0.3">
      <c r="B1200" s="126">
        <v>44350</v>
      </c>
      <c r="C1200" s="129">
        <v>22361.86</v>
      </c>
    </row>
    <row r="1201" spans="2:3" x14ac:dyDescent="0.3">
      <c r="B1201" s="126">
        <v>44349</v>
      </c>
      <c r="C1201" s="129">
        <v>22194.18</v>
      </c>
    </row>
    <row r="1202" spans="2:3" x14ac:dyDescent="0.3">
      <c r="B1202" s="126">
        <v>44348</v>
      </c>
      <c r="C1202" s="129">
        <v>22192.25</v>
      </c>
    </row>
    <row r="1203" spans="2:3" x14ac:dyDescent="0.3">
      <c r="B1203" s="126">
        <v>44347</v>
      </c>
      <c r="C1203" s="129">
        <v>22203.59</v>
      </c>
    </row>
    <row r="1204" spans="2:3" x14ac:dyDescent="0.3">
      <c r="B1204" s="126">
        <v>44344</v>
      </c>
      <c r="C1204" s="129">
        <v>21962.31</v>
      </c>
    </row>
    <row r="1205" spans="2:3" x14ac:dyDescent="0.3">
      <c r="B1205" s="126">
        <v>44343</v>
      </c>
      <c r="C1205" s="129">
        <v>21823.14</v>
      </c>
    </row>
    <row r="1206" spans="2:3" x14ac:dyDescent="0.3">
      <c r="B1206" s="126">
        <v>44342</v>
      </c>
      <c r="C1206" s="129">
        <v>21771.35</v>
      </c>
    </row>
    <row r="1207" spans="2:3" x14ac:dyDescent="0.3">
      <c r="B1207" s="126">
        <v>44341</v>
      </c>
      <c r="C1207" s="129">
        <v>21639.040000000001</v>
      </c>
    </row>
    <row r="1208" spans="2:3" x14ac:dyDescent="0.3">
      <c r="B1208" s="126">
        <v>44340</v>
      </c>
      <c r="C1208" s="129">
        <v>21617.03</v>
      </c>
    </row>
    <row r="1209" spans="2:3" x14ac:dyDescent="0.3">
      <c r="B1209" s="126">
        <v>44337</v>
      </c>
      <c r="C1209" s="129">
        <v>21585.18</v>
      </c>
    </row>
    <row r="1210" spans="2:3" x14ac:dyDescent="0.3">
      <c r="B1210" s="126">
        <v>44336</v>
      </c>
      <c r="C1210" s="129">
        <v>21202.21</v>
      </c>
    </row>
    <row r="1211" spans="2:3" x14ac:dyDescent="0.3">
      <c r="B1211" s="126">
        <v>44335</v>
      </c>
      <c r="C1211" s="129">
        <v>21378.71</v>
      </c>
    </row>
    <row r="1212" spans="2:3" x14ac:dyDescent="0.3">
      <c r="B1212" s="126">
        <v>44334</v>
      </c>
      <c r="C1212" s="129">
        <v>21489.56</v>
      </c>
    </row>
    <row r="1213" spans="2:3" x14ac:dyDescent="0.3">
      <c r="B1213" s="126">
        <v>44333</v>
      </c>
      <c r="C1213" s="129">
        <v>21226.53</v>
      </c>
    </row>
    <row r="1214" spans="2:3" x14ac:dyDescent="0.3">
      <c r="B1214" s="126">
        <v>44330</v>
      </c>
      <c r="C1214" s="129">
        <v>20877.560000000001</v>
      </c>
    </row>
    <row r="1215" spans="2:3" x14ac:dyDescent="0.3">
      <c r="B1215" s="126">
        <v>44328</v>
      </c>
      <c r="C1215" s="129">
        <v>20904.13</v>
      </c>
    </row>
    <row r="1216" spans="2:3" x14ac:dyDescent="0.3">
      <c r="B1216" s="126">
        <v>44327</v>
      </c>
      <c r="C1216" s="129">
        <v>21123.53</v>
      </c>
    </row>
    <row r="1217" spans="2:3" x14ac:dyDescent="0.3">
      <c r="B1217" s="126">
        <v>44326</v>
      </c>
      <c r="C1217" s="129">
        <v>21253.8</v>
      </c>
    </row>
    <row r="1218" spans="2:3" x14ac:dyDescent="0.3">
      <c r="B1218" s="126">
        <v>44323</v>
      </c>
      <c r="C1218" s="129">
        <v>21084.26</v>
      </c>
    </row>
    <row r="1219" spans="2:3" x14ac:dyDescent="0.3">
      <c r="B1219" s="126">
        <v>44322</v>
      </c>
      <c r="C1219" s="129">
        <v>20944.41</v>
      </c>
    </row>
    <row r="1220" spans="2:3" x14ac:dyDescent="0.3">
      <c r="B1220" s="126">
        <v>44321</v>
      </c>
      <c r="C1220" s="129">
        <v>20792.240000000002</v>
      </c>
    </row>
    <row r="1221" spans="2:3" x14ac:dyDescent="0.3">
      <c r="B1221" s="126">
        <v>44320</v>
      </c>
      <c r="C1221" s="129">
        <v>20619.62</v>
      </c>
    </row>
    <row r="1222" spans="2:3" x14ac:dyDescent="0.3">
      <c r="B1222" s="126">
        <v>44319</v>
      </c>
      <c r="C1222" s="129">
        <v>20815.43</v>
      </c>
    </row>
    <row r="1223" spans="2:3" x14ac:dyDescent="0.3">
      <c r="B1223" s="126">
        <v>44316</v>
      </c>
      <c r="C1223" s="129">
        <v>20811.13</v>
      </c>
    </row>
    <row r="1224" spans="2:3" x14ac:dyDescent="0.3">
      <c r="B1224" s="126">
        <v>44315</v>
      </c>
      <c r="C1224" s="129">
        <v>21186.3</v>
      </c>
    </row>
    <row r="1225" spans="2:3" x14ac:dyDescent="0.3">
      <c r="B1225" s="126">
        <v>44314</v>
      </c>
      <c r="C1225" s="129">
        <v>21136.41</v>
      </c>
    </row>
    <row r="1226" spans="2:3" x14ac:dyDescent="0.3">
      <c r="B1226" s="126">
        <v>44313</v>
      </c>
      <c r="C1226" s="129">
        <v>20835.669999999998</v>
      </c>
    </row>
    <row r="1227" spans="2:3" x14ac:dyDescent="0.3">
      <c r="B1227" s="126">
        <v>44312</v>
      </c>
      <c r="C1227" s="129">
        <v>20596.72</v>
      </c>
    </row>
    <row r="1228" spans="2:3" x14ac:dyDescent="0.3">
      <c r="B1228" s="126">
        <v>44309</v>
      </c>
      <c r="C1228" s="129">
        <v>20392.439999999999</v>
      </c>
    </row>
    <row r="1229" spans="2:3" x14ac:dyDescent="0.3">
      <c r="B1229" s="126">
        <v>44308</v>
      </c>
      <c r="C1229" s="129">
        <v>20484.63</v>
      </c>
    </row>
    <row r="1230" spans="2:3" x14ac:dyDescent="0.3">
      <c r="B1230" s="126">
        <v>44306</v>
      </c>
      <c r="C1230" s="129">
        <v>20328.55</v>
      </c>
    </row>
    <row r="1231" spans="2:3" x14ac:dyDescent="0.3">
      <c r="B1231" s="126">
        <v>44305</v>
      </c>
      <c r="C1231" s="129">
        <v>20418.16</v>
      </c>
    </row>
    <row r="1232" spans="2:3" x14ac:dyDescent="0.3">
      <c r="B1232" s="126">
        <v>44302</v>
      </c>
      <c r="C1232" s="129">
        <v>20785.61</v>
      </c>
    </row>
    <row r="1233" spans="2:3" x14ac:dyDescent="0.3">
      <c r="B1233" s="126">
        <v>44301</v>
      </c>
      <c r="C1233" s="129">
        <v>20733.88</v>
      </c>
    </row>
    <row r="1234" spans="2:3" x14ac:dyDescent="0.3">
      <c r="B1234" s="126">
        <v>44299</v>
      </c>
      <c r="C1234" s="129">
        <v>20624.86</v>
      </c>
    </row>
    <row r="1235" spans="2:3" x14ac:dyDescent="0.3">
      <c r="B1235" s="126">
        <v>44298</v>
      </c>
      <c r="C1235" s="129">
        <v>20348.990000000002</v>
      </c>
    </row>
    <row r="1236" spans="2:3" x14ac:dyDescent="0.3">
      <c r="B1236" s="126">
        <v>44295</v>
      </c>
      <c r="C1236" s="129">
        <v>21094.17</v>
      </c>
    </row>
    <row r="1237" spans="2:3" x14ac:dyDescent="0.3">
      <c r="B1237" s="126">
        <v>44294</v>
      </c>
      <c r="C1237" s="129">
        <v>21149.59</v>
      </c>
    </row>
    <row r="1238" spans="2:3" x14ac:dyDescent="0.3">
      <c r="B1238" s="126">
        <v>44293</v>
      </c>
      <c r="C1238" s="129">
        <v>21069.32</v>
      </c>
    </row>
    <row r="1239" spans="2:3" x14ac:dyDescent="0.3">
      <c r="B1239" s="126">
        <v>44292</v>
      </c>
      <c r="C1239" s="129">
        <v>20876.57</v>
      </c>
    </row>
    <row r="1240" spans="2:3" x14ac:dyDescent="0.3">
      <c r="B1240" s="126">
        <v>44291</v>
      </c>
      <c r="C1240" s="129">
        <v>20811.61</v>
      </c>
    </row>
    <row r="1241" spans="2:3" x14ac:dyDescent="0.3">
      <c r="B1241" s="126">
        <v>44287</v>
      </c>
      <c r="C1241" s="129">
        <v>21137.69</v>
      </c>
    </row>
    <row r="1242" spans="2:3" x14ac:dyDescent="0.3">
      <c r="B1242" s="126">
        <v>44286</v>
      </c>
      <c r="C1242" s="129">
        <v>20886.52</v>
      </c>
    </row>
    <row r="1243" spans="2:3" x14ac:dyDescent="0.3">
      <c r="B1243" s="126">
        <v>44285</v>
      </c>
      <c r="C1243" s="129">
        <v>21106.06</v>
      </c>
    </row>
    <row r="1244" spans="2:3" x14ac:dyDescent="0.3">
      <c r="B1244" s="126">
        <v>44281</v>
      </c>
      <c r="C1244" s="129">
        <v>20625.79</v>
      </c>
    </row>
    <row r="1245" spans="2:3" x14ac:dyDescent="0.3">
      <c r="B1245" s="126">
        <v>44280</v>
      </c>
      <c r="C1245" s="129">
        <v>20366.419999999998</v>
      </c>
    </row>
    <row r="1246" spans="2:3" x14ac:dyDescent="0.3">
      <c r="B1246" s="126">
        <v>44279</v>
      </c>
      <c r="C1246" s="129">
        <v>20684.27</v>
      </c>
    </row>
    <row r="1247" spans="2:3" x14ac:dyDescent="0.3">
      <c r="B1247" s="126">
        <v>44278</v>
      </c>
      <c r="C1247" s="129">
        <v>21061.52</v>
      </c>
    </row>
    <row r="1248" spans="2:3" x14ac:dyDescent="0.3">
      <c r="B1248" s="126">
        <v>44277</v>
      </c>
      <c r="C1248" s="129">
        <v>20947.650000000001</v>
      </c>
    </row>
    <row r="1249" spans="2:3" x14ac:dyDescent="0.3">
      <c r="B1249" s="126">
        <v>44274</v>
      </c>
      <c r="C1249" s="129">
        <v>20956.87</v>
      </c>
    </row>
    <row r="1250" spans="2:3" x14ac:dyDescent="0.3">
      <c r="B1250" s="126">
        <v>44273</v>
      </c>
      <c r="C1250" s="129">
        <v>20692.34</v>
      </c>
    </row>
    <row r="1251" spans="2:3" x14ac:dyDescent="0.3">
      <c r="B1251" s="126">
        <v>44272</v>
      </c>
      <c r="C1251" s="129">
        <v>20924.61</v>
      </c>
    </row>
    <row r="1252" spans="2:3" x14ac:dyDescent="0.3">
      <c r="B1252" s="126">
        <v>44271</v>
      </c>
      <c r="C1252" s="129">
        <v>21193.46</v>
      </c>
    </row>
    <row r="1253" spans="2:3" x14ac:dyDescent="0.3">
      <c r="B1253" s="126">
        <v>44270</v>
      </c>
      <c r="C1253" s="129">
        <v>21220.59</v>
      </c>
    </row>
    <row r="1254" spans="2:3" x14ac:dyDescent="0.3">
      <c r="B1254" s="126">
        <v>44267</v>
      </c>
      <c r="C1254" s="129">
        <v>21361.29</v>
      </c>
    </row>
    <row r="1255" spans="2:3" x14ac:dyDescent="0.3">
      <c r="B1255" s="126">
        <v>44265</v>
      </c>
      <c r="C1255" s="129">
        <v>21565.72</v>
      </c>
    </row>
    <row r="1256" spans="2:3" x14ac:dyDescent="0.3">
      <c r="B1256" s="126">
        <v>44264</v>
      </c>
      <c r="C1256" s="129">
        <v>21457.17</v>
      </c>
    </row>
    <row r="1257" spans="2:3" x14ac:dyDescent="0.3">
      <c r="B1257" s="126">
        <v>44263</v>
      </c>
      <c r="C1257" s="129">
        <v>21255.06</v>
      </c>
    </row>
    <row r="1258" spans="2:3" x14ac:dyDescent="0.3">
      <c r="B1258" s="126">
        <v>44260</v>
      </c>
      <c r="C1258" s="129">
        <v>21225.94</v>
      </c>
    </row>
    <row r="1259" spans="2:3" x14ac:dyDescent="0.3">
      <c r="B1259" s="126">
        <v>44259</v>
      </c>
      <c r="C1259" s="129">
        <v>21428.63</v>
      </c>
    </row>
    <row r="1260" spans="2:3" x14ac:dyDescent="0.3">
      <c r="B1260" s="126">
        <v>44258</v>
      </c>
      <c r="C1260" s="129">
        <v>21662.92</v>
      </c>
    </row>
    <row r="1261" spans="2:3" x14ac:dyDescent="0.3">
      <c r="B1261" s="126">
        <v>44257</v>
      </c>
      <c r="C1261" s="129">
        <v>21198.93</v>
      </c>
    </row>
    <row r="1262" spans="2:3" x14ac:dyDescent="0.3">
      <c r="B1262" s="126">
        <v>44256</v>
      </c>
      <c r="C1262" s="129">
        <v>20975.08</v>
      </c>
    </row>
    <row r="1263" spans="2:3" x14ac:dyDescent="0.3">
      <c r="B1263" s="126">
        <v>44253</v>
      </c>
      <c r="C1263" s="129">
        <v>20644.88</v>
      </c>
    </row>
    <row r="1264" spans="2:3" x14ac:dyDescent="0.3">
      <c r="B1264" s="126">
        <v>44252</v>
      </c>
      <c r="C1264" s="129">
        <v>21452.240000000002</v>
      </c>
    </row>
    <row r="1265" spans="2:3" x14ac:dyDescent="0.3">
      <c r="B1265" s="126">
        <v>44251</v>
      </c>
      <c r="C1265" s="129">
        <v>21288.35</v>
      </c>
    </row>
    <row r="1266" spans="2:3" x14ac:dyDescent="0.3">
      <c r="B1266" s="126">
        <v>44250</v>
      </c>
      <c r="C1266" s="129">
        <v>20898.75</v>
      </c>
    </row>
    <row r="1267" spans="2:3" x14ac:dyDescent="0.3">
      <c r="B1267" s="126">
        <v>44249</v>
      </c>
      <c r="C1267" s="129">
        <v>20853.12</v>
      </c>
    </row>
    <row r="1268" spans="2:3" x14ac:dyDescent="0.3">
      <c r="B1268" s="126">
        <v>44246</v>
      </c>
      <c r="C1268" s="129">
        <v>21273.279999999999</v>
      </c>
    </row>
    <row r="1269" spans="2:3" x14ac:dyDescent="0.3">
      <c r="B1269" s="126">
        <v>44245</v>
      </c>
      <c r="C1269" s="129">
        <v>21468.11</v>
      </c>
    </row>
    <row r="1270" spans="2:3" x14ac:dyDescent="0.3">
      <c r="B1270" s="126">
        <v>44244</v>
      </c>
      <c r="C1270" s="129">
        <v>21595.82</v>
      </c>
    </row>
    <row r="1271" spans="2:3" x14ac:dyDescent="0.3">
      <c r="B1271" s="126">
        <v>44243</v>
      </c>
      <c r="C1271" s="129">
        <v>21737.9</v>
      </c>
    </row>
    <row r="1272" spans="2:3" x14ac:dyDescent="0.3">
      <c r="B1272" s="126">
        <v>44242</v>
      </c>
      <c r="C1272" s="129">
        <v>21739.69</v>
      </c>
    </row>
    <row r="1273" spans="2:3" x14ac:dyDescent="0.3">
      <c r="B1273" s="126">
        <v>44239</v>
      </c>
      <c r="C1273" s="129">
        <v>21521.82</v>
      </c>
    </row>
    <row r="1274" spans="2:3" x14ac:dyDescent="0.3">
      <c r="B1274" s="126">
        <v>44238</v>
      </c>
      <c r="C1274" s="129">
        <v>21536</v>
      </c>
    </row>
    <row r="1275" spans="2:3" x14ac:dyDescent="0.3">
      <c r="B1275" s="126">
        <v>44237</v>
      </c>
      <c r="C1275" s="129">
        <v>21436.44</v>
      </c>
    </row>
    <row r="1276" spans="2:3" x14ac:dyDescent="0.3">
      <c r="B1276" s="126">
        <v>44236</v>
      </c>
      <c r="C1276" s="129">
        <v>21440.42</v>
      </c>
    </row>
    <row r="1277" spans="2:3" x14ac:dyDescent="0.3">
      <c r="B1277" s="126">
        <v>44235</v>
      </c>
      <c r="C1277" s="129">
        <v>21447.64</v>
      </c>
    </row>
    <row r="1278" spans="2:3" x14ac:dyDescent="0.3">
      <c r="B1278" s="126">
        <v>44232</v>
      </c>
      <c r="C1278" s="129">
        <v>21175.89</v>
      </c>
    </row>
    <row r="1279" spans="2:3" x14ac:dyDescent="0.3">
      <c r="B1279" s="126">
        <v>44231</v>
      </c>
      <c r="C1279" s="129">
        <v>21135.31</v>
      </c>
    </row>
    <row r="1280" spans="2:3" x14ac:dyDescent="0.3">
      <c r="B1280" s="126">
        <v>44230</v>
      </c>
      <c r="C1280" s="129">
        <v>20985.32</v>
      </c>
    </row>
    <row r="1281" spans="2:3" x14ac:dyDescent="0.3">
      <c r="B1281" s="126">
        <v>44229</v>
      </c>
      <c r="C1281" s="129">
        <v>20783.689999999999</v>
      </c>
    </row>
    <row r="1282" spans="2:3" x14ac:dyDescent="0.3">
      <c r="B1282" s="126">
        <v>44228</v>
      </c>
      <c r="C1282" s="129">
        <v>20263.439999999999</v>
      </c>
    </row>
    <row r="1283" spans="2:3" x14ac:dyDescent="0.3">
      <c r="B1283" s="126">
        <v>44225</v>
      </c>
      <c r="C1283" s="129">
        <v>19346.03</v>
      </c>
    </row>
    <row r="1284" spans="2:3" x14ac:dyDescent="0.3">
      <c r="B1284" s="126">
        <v>44224</v>
      </c>
      <c r="C1284" s="129">
        <v>19605.59</v>
      </c>
    </row>
    <row r="1285" spans="2:3" x14ac:dyDescent="0.3">
      <c r="B1285" s="126">
        <v>44223</v>
      </c>
      <c r="C1285" s="129">
        <v>19818.34</v>
      </c>
    </row>
    <row r="1286" spans="2:3" x14ac:dyDescent="0.3">
      <c r="B1286" s="126">
        <v>44221</v>
      </c>
      <c r="C1286" s="129">
        <v>20201.900000000001</v>
      </c>
    </row>
    <row r="1287" spans="2:3" x14ac:dyDescent="0.3">
      <c r="B1287" s="126">
        <v>44218</v>
      </c>
      <c r="C1287" s="129">
        <v>20390.57</v>
      </c>
    </row>
    <row r="1288" spans="2:3" x14ac:dyDescent="0.3">
      <c r="B1288" s="126">
        <v>44217</v>
      </c>
      <c r="C1288" s="129">
        <v>20700.02</v>
      </c>
    </row>
    <row r="1289" spans="2:3" x14ac:dyDescent="0.3">
      <c r="B1289" s="126">
        <v>44216</v>
      </c>
      <c r="C1289" s="129">
        <v>20775.669999999998</v>
      </c>
    </row>
    <row r="1290" spans="2:3" x14ac:dyDescent="0.3">
      <c r="B1290" s="126">
        <v>44215</v>
      </c>
      <c r="C1290" s="129">
        <v>20600.41</v>
      </c>
    </row>
    <row r="1291" spans="2:3" x14ac:dyDescent="0.3">
      <c r="B1291" s="126">
        <v>44214</v>
      </c>
      <c r="C1291" s="129">
        <v>20260.18</v>
      </c>
    </row>
    <row r="1292" spans="2:3" x14ac:dyDescent="0.3">
      <c r="B1292" s="126">
        <v>44211</v>
      </c>
      <c r="C1292" s="129">
        <v>20476.38</v>
      </c>
    </row>
    <row r="1293" spans="2:3" x14ac:dyDescent="0.3">
      <c r="B1293" s="126">
        <v>44210</v>
      </c>
      <c r="C1293" s="129">
        <v>20706.07</v>
      </c>
    </row>
    <row r="1294" spans="2:3" x14ac:dyDescent="0.3">
      <c r="B1294" s="126">
        <v>44209</v>
      </c>
      <c r="C1294" s="129">
        <v>20660.349999999999</v>
      </c>
    </row>
    <row r="1295" spans="2:3" x14ac:dyDescent="0.3">
      <c r="B1295" s="126">
        <v>44208</v>
      </c>
      <c r="C1295" s="129">
        <v>20658.34</v>
      </c>
    </row>
    <row r="1296" spans="2:3" x14ac:dyDescent="0.3">
      <c r="B1296" s="126">
        <v>44207</v>
      </c>
      <c r="C1296" s="129">
        <v>20546.740000000002</v>
      </c>
    </row>
    <row r="1297" spans="2:3" x14ac:dyDescent="0.3">
      <c r="B1297" s="126">
        <v>44204</v>
      </c>
      <c r="C1297" s="129">
        <v>20351.669999999998</v>
      </c>
    </row>
    <row r="1298" spans="2:3" x14ac:dyDescent="0.3">
      <c r="B1298" s="126">
        <v>44203</v>
      </c>
      <c r="C1298" s="129">
        <v>20053.97</v>
      </c>
    </row>
    <row r="1299" spans="2:3" x14ac:dyDescent="0.3">
      <c r="B1299" s="126">
        <v>44202</v>
      </c>
      <c r="C1299" s="129">
        <v>20066.560000000001</v>
      </c>
    </row>
    <row r="1300" spans="2:3" x14ac:dyDescent="0.3">
      <c r="B1300" s="126">
        <v>44201</v>
      </c>
      <c r="C1300" s="129">
        <v>20142.13</v>
      </c>
    </row>
    <row r="1301" spans="2:3" x14ac:dyDescent="0.3">
      <c r="B1301" s="126">
        <v>44200</v>
      </c>
      <c r="C1301" s="129">
        <v>20047.61</v>
      </c>
    </row>
    <row r="1302" spans="2:3" x14ac:dyDescent="0.3">
      <c r="B1302" s="126">
        <v>44197</v>
      </c>
      <c r="C1302" s="129">
        <v>19885.36</v>
      </c>
    </row>
    <row r="1303" spans="2:3" x14ac:dyDescent="0.3">
      <c r="B1303" s="126">
        <v>44196</v>
      </c>
      <c r="C1303" s="129">
        <v>19833.189999999999</v>
      </c>
    </row>
    <row r="1304" spans="2:3" x14ac:dyDescent="0.3">
      <c r="B1304" s="126">
        <v>44195</v>
      </c>
      <c r="C1304" s="129">
        <v>19833.53</v>
      </c>
    </row>
    <row r="1305" spans="2:3" x14ac:dyDescent="0.3">
      <c r="B1305" s="126">
        <v>44194</v>
      </c>
      <c r="C1305" s="129">
        <v>19763.509999999998</v>
      </c>
    </row>
    <row r="1306" spans="2:3" x14ac:dyDescent="0.3">
      <c r="B1306" s="126">
        <v>44193</v>
      </c>
      <c r="C1306" s="129">
        <v>19679.240000000002</v>
      </c>
    </row>
    <row r="1307" spans="2:3" x14ac:dyDescent="0.3">
      <c r="B1307" s="126">
        <v>44189</v>
      </c>
      <c r="C1307" s="129">
        <v>19503.400000000001</v>
      </c>
    </row>
    <row r="1308" spans="2:3" x14ac:dyDescent="0.3">
      <c r="B1308" s="126">
        <v>44188</v>
      </c>
      <c r="C1308" s="129">
        <v>19293.259999999998</v>
      </c>
    </row>
    <row r="1309" spans="2:3" x14ac:dyDescent="0.3">
      <c r="B1309" s="126">
        <v>44187</v>
      </c>
      <c r="C1309" s="129">
        <v>19102.060000000001</v>
      </c>
    </row>
    <row r="1310" spans="2:3" x14ac:dyDescent="0.3">
      <c r="B1310" s="126">
        <v>44186</v>
      </c>
      <c r="C1310" s="129">
        <v>18906.45</v>
      </c>
    </row>
    <row r="1311" spans="2:3" x14ac:dyDescent="0.3">
      <c r="B1311" s="126">
        <v>44183</v>
      </c>
      <c r="C1311" s="129">
        <v>19519.419999999998</v>
      </c>
    </row>
    <row r="1312" spans="2:3" x14ac:dyDescent="0.3">
      <c r="B1312" s="126">
        <v>44182</v>
      </c>
      <c r="C1312" s="129">
        <v>19491.3</v>
      </c>
    </row>
    <row r="1313" spans="2:3" x14ac:dyDescent="0.3">
      <c r="B1313" s="126">
        <v>44181</v>
      </c>
      <c r="C1313" s="129">
        <v>19404.8</v>
      </c>
    </row>
    <row r="1314" spans="2:3" x14ac:dyDescent="0.3">
      <c r="B1314" s="126">
        <v>44180</v>
      </c>
      <c r="C1314" s="129">
        <v>19241.900000000001</v>
      </c>
    </row>
    <row r="1315" spans="2:3" x14ac:dyDescent="0.3">
      <c r="B1315" s="126">
        <v>44179</v>
      </c>
      <c r="C1315" s="129">
        <v>19228.16</v>
      </c>
    </row>
    <row r="1316" spans="2:3" x14ac:dyDescent="0.3">
      <c r="B1316" s="126">
        <v>44176</v>
      </c>
      <c r="C1316" s="129">
        <v>19165.330000000002</v>
      </c>
    </row>
    <row r="1317" spans="2:3" x14ac:dyDescent="0.3">
      <c r="B1317" s="126">
        <v>44175</v>
      </c>
      <c r="C1317" s="129">
        <v>19114.96</v>
      </c>
    </row>
    <row r="1318" spans="2:3" x14ac:dyDescent="0.3">
      <c r="B1318" s="126">
        <v>44174</v>
      </c>
      <c r="C1318" s="129">
        <v>19186.95</v>
      </c>
    </row>
    <row r="1319" spans="2:3" x14ac:dyDescent="0.3">
      <c r="B1319" s="126">
        <v>44173</v>
      </c>
      <c r="C1319" s="129">
        <v>18993.86</v>
      </c>
    </row>
    <row r="1320" spans="2:3" x14ac:dyDescent="0.3">
      <c r="B1320" s="126">
        <v>44172</v>
      </c>
      <c r="C1320" s="129">
        <v>18941.150000000001</v>
      </c>
    </row>
    <row r="1321" spans="2:3" x14ac:dyDescent="0.3">
      <c r="B1321" s="126">
        <v>44169</v>
      </c>
      <c r="C1321" s="129">
        <v>18803.27</v>
      </c>
    </row>
    <row r="1322" spans="2:3" x14ac:dyDescent="0.3">
      <c r="B1322" s="126">
        <v>44168</v>
      </c>
      <c r="C1322" s="129">
        <v>18626.53</v>
      </c>
    </row>
    <row r="1323" spans="2:3" x14ac:dyDescent="0.3">
      <c r="B1323" s="126">
        <v>44167</v>
      </c>
      <c r="C1323" s="129">
        <v>18597.900000000001</v>
      </c>
    </row>
    <row r="1324" spans="2:3" x14ac:dyDescent="0.3">
      <c r="B1324" s="126">
        <v>44166</v>
      </c>
      <c r="C1324" s="129">
        <v>18591.25</v>
      </c>
    </row>
    <row r="1325" spans="2:3" x14ac:dyDescent="0.3">
      <c r="B1325" s="126">
        <v>44162</v>
      </c>
      <c r="C1325" s="129">
        <v>18392.54</v>
      </c>
    </row>
    <row r="1326" spans="2:3" x14ac:dyDescent="0.3">
      <c r="B1326" s="126">
        <v>44161</v>
      </c>
      <c r="C1326" s="129">
        <v>18418.16</v>
      </c>
    </row>
    <row r="1327" spans="2:3" x14ac:dyDescent="0.3">
      <c r="B1327" s="126">
        <v>44160</v>
      </c>
      <c r="C1327" s="129">
        <v>18235.759999999998</v>
      </c>
    </row>
    <row r="1328" spans="2:3" x14ac:dyDescent="0.3">
      <c r="B1328" s="126">
        <v>44159</v>
      </c>
      <c r="C1328" s="129">
        <v>18514.82</v>
      </c>
    </row>
    <row r="1329" spans="2:3" x14ac:dyDescent="0.3">
      <c r="B1329" s="126">
        <v>44158</v>
      </c>
      <c r="C1329" s="129">
        <v>18332.330000000002</v>
      </c>
    </row>
    <row r="1330" spans="2:3" x14ac:dyDescent="0.3">
      <c r="B1330" s="126">
        <v>44155</v>
      </c>
      <c r="C1330" s="129">
        <v>18236.68</v>
      </c>
    </row>
    <row r="1331" spans="2:3" x14ac:dyDescent="0.3">
      <c r="B1331" s="126">
        <v>44154</v>
      </c>
      <c r="C1331" s="129">
        <v>18112.830000000002</v>
      </c>
    </row>
    <row r="1332" spans="2:3" x14ac:dyDescent="0.3">
      <c r="B1332" s="126">
        <v>44153</v>
      </c>
      <c r="C1332" s="129">
        <v>18349.02</v>
      </c>
    </row>
    <row r="1333" spans="2:3" x14ac:dyDescent="0.3">
      <c r="B1333" s="126">
        <v>44152</v>
      </c>
      <c r="C1333" s="129">
        <v>18258.23</v>
      </c>
    </row>
    <row r="1334" spans="2:3" x14ac:dyDescent="0.3">
      <c r="B1334" s="126">
        <v>44148</v>
      </c>
      <c r="C1334" s="129">
        <v>18039.439999999999</v>
      </c>
    </row>
    <row r="1335" spans="2:3" x14ac:dyDescent="0.3">
      <c r="B1335" s="126">
        <v>44147</v>
      </c>
      <c r="C1335" s="129">
        <v>17998.11</v>
      </c>
    </row>
    <row r="1336" spans="2:3" x14ac:dyDescent="0.3">
      <c r="B1336" s="126">
        <v>44146</v>
      </c>
      <c r="C1336" s="129">
        <v>18080.84</v>
      </c>
    </row>
    <row r="1337" spans="2:3" x14ac:dyDescent="0.3">
      <c r="B1337" s="126">
        <v>44145</v>
      </c>
      <c r="C1337" s="129">
        <v>17913.400000000001</v>
      </c>
    </row>
    <row r="1338" spans="2:3" x14ac:dyDescent="0.3">
      <c r="B1338" s="126">
        <v>44144</v>
      </c>
      <c r="C1338" s="129">
        <v>17672.25</v>
      </c>
    </row>
    <row r="1339" spans="2:3" x14ac:dyDescent="0.3">
      <c r="B1339" s="126">
        <v>44141</v>
      </c>
      <c r="C1339" s="129">
        <v>17392.14</v>
      </c>
    </row>
    <row r="1340" spans="2:3" x14ac:dyDescent="0.3">
      <c r="B1340" s="126">
        <v>44140</v>
      </c>
      <c r="C1340" s="129">
        <v>17189.03</v>
      </c>
    </row>
    <row r="1341" spans="2:3" x14ac:dyDescent="0.3">
      <c r="B1341" s="126">
        <v>44139</v>
      </c>
      <c r="C1341" s="129">
        <v>16888.650000000001</v>
      </c>
    </row>
    <row r="1342" spans="2:3" x14ac:dyDescent="0.3">
      <c r="B1342" s="126">
        <v>44138</v>
      </c>
      <c r="C1342" s="129">
        <v>16746.75</v>
      </c>
    </row>
    <row r="1343" spans="2:3" x14ac:dyDescent="0.3">
      <c r="B1343" s="126">
        <v>44137</v>
      </c>
      <c r="C1343" s="129">
        <v>16542.080000000002</v>
      </c>
    </row>
    <row r="1344" spans="2:3" x14ac:dyDescent="0.3">
      <c r="B1344" s="126">
        <v>44134</v>
      </c>
      <c r="C1344" s="129">
        <v>16504.16</v>
      </c>
    </row>
    <row r="1345" spans="2:3" x14ac:dyDescent="0.3">
      <c r="B1345" s="126">
        <v>44133</v>
      </c>
      <c r="C1345" s="129">
        <v>16544.45</v>
      </c>
    </row>
    <row r="1346" spans="2:3" x14ac:dyDescent="0.3">
      <c r="B1346" s="126">
        <v>44132</v>
      </c>
      <c r="C1346" s="129">
        <v>16623.13</v>
      </c>
    </row>
    <row r="1347" spans="2:3" x14ac:dyDescent="0.3">
      <c r="B1347" s="126">
        <v>44131</v>
      </c>
      <c r="C1347" s="129">
        <v>16844.96</v>
      </c>
    </row>
    <row r="1348" spans="2:3" x14ac:dyDescent="0.3">
      <c r="B1348" s="126">
        <v>44130</v>
      </c>
      <c r="C1348" s="129">
        <v>16672.62</v>
      </c>
    </row>
    <row r="1349" spans="2:3" x14ac:dyDescent="0.3">
      <c r="B1349" s="126">
        <v>44127</v>
      </c>
      <c r="C1349" s="129">
        <v>16902.96</v>
      </c>
    </row>
    <row r="1350" spans="2:3" x14ac:dyDescent="0.3">
      <c r="B1350" s="126">
        <v>44126</v>
      </c>
      <c r="C1350" s="129">
        <v>16840.52</v>
      </c>
    </row>
    <row r="1351" spans="2:3" x14ac:dyDescent="0.3">
      <c r="B1351" s="126">
        <v>44125</v>
      </c>
      <c r="C1351" s="129">
        <v>16897.43</v>
      </c>
    </row>
    <row r="1352" spans="2:3" x14ac:dyDescent="0.3">
      <c r="B1352" s="126">
        <v>44124</v>
      </c>
      <c r="C1352" s="129">
        <v>16839.599999999999</v>
      </c>
    </row>
    <row r="1353" spans="2:3" x14ac:dyDescent="0.3">
      <c r="B1353" s="126">
        <v>44123</v>
      </c>
      <c r="C1353" s="129">
        <v>16805.97</v>
      </c>
    </row>
    <row r="1354" spans="2:3" x14ac:dyDescent="0.3">
      <c r="B1354" s="126">
        <v>44120</v>
      </c>
      <c r="C1354" s="129">
        <v>16649.46</v>
      </c>
    </row>
    <row r="1355" spans="2:3" x14ac:dyDescent="0.3">
      <c r="B1355" s="126">
        <v>44119</v>
      </c>
      <c r="C1355" s="129">
        <v>16533.240000000002</v>
      </c>
    </row>
    <row r="1356" spans="2:3" x14ac:dyDescent="0.3">
      <c r="B1356" s="126">
        <v>44118</v>
      </c>
      <c r="C1356" s="129">
        <v>16944.73</v>
      </c>
    </row>
    <row r="1357" spans="2:3" x14ac:dyDescent="0.3">
      <c r="B1357" s="126">
        <v>44117</v>
      </c>
      <c r="C1357" s="129">
        <v>16888.87</v>
      </c>
    </row>
    <row r="1358" spans="2:3" x14ac:dyDescent="0.3">
      <c r="B1358" s="126">
        <v>44116</v>
      </c>
      <c r="C1358" s="129">
        <v>16883.84</v>
      </c>
    </row>
    <row r="1359" spans="2:3" x14ac:dyDescent="0.3">
      <c r="B1359" s="126">
        <v>44113</v>
      </c>
      <c r="C1359" s="129">
        <v>16860.11</v>
      </c>
    </row>
    <row r="1360" spans="2:3" x14ac:dyDescent="0.3">
      <c r="B1360" s="126">
        <v>44112</v>
      </c>
      <c r="C1360" s="129">
        <v>16747.48</v>
      </c>
    </row>
    <row r="1361" spans="2:3" x14ac:dyDescent="0.3">
      <c r="B1361" s="126">
        <v>44111</v>
      </c>
      <c r="C1361" s="129">
        <v>16611.96</v>
      </c>
    </row>
    <row r="1362" spans="2:3" x14ac:dyDescent="0.3">
      <c r="B1362" s="126">
        <v>44110</v>
      </c>
      <c r="C1362" s="129">
        <v>16503.77</v>
      </c>
    </row>
    <row r="1363" spans="2:3" x14ac:dyDescent="0.3">
      <c r="B1363" s="126">
        <v>44109</v>
      </c>
      <c r="C1363" s="129">
        <v>16278.72</v>
      </c>
    </row>
    <row r="1364" spans="2:3" x14ac:dyDescent="0.3">
      <c r="B1364" s="126">
        <v>44105</v>
      </c>
      <c r="C1364" s="129">
        <v>16156.44</v>
      </c>
    </row>
    <row r="1365" spans="2:3" x14ac:dyDescent="0.3">
      <c r="B1365" s="126">
        <v>44104</v>
      </c>
      <c r="C1365" s="129">
        <v>15916.72</v>
      </c>
    </row>
    <row r="1366" spans="2:3" x14ac:dyDescent="0.3">
      <c r="B1366" s="126">
        <v>44103</v>
      </c>
      <c r="C1366" s="129">
        <v>15881.16</v>
      </c>
    </row>
    <row r="1367" spans="2:3" x14ac:dyDescent="0.3">
      <c r="B1367" s="126">
        <v>44102</v>
      </c>
      <c r="C1367" s="129">
        <v>15888.44</v>
      </c>
    </row>
    <row r="1368" spans="2:3" x14ac:dyDescent="0.3">
      <c r="B1368" s="126">
        <v>44099</v>
      </c>
      <c r="C1368" s="129">
        <v>15637.53</v>
      </c>
    </row>
    <row r="1369" spans="2:3" x14ac:dyDescent="0.3">
      <c r="B1369" s="126">
        <v>44098</v>
      </c>
      <c r="C1369" s="129">
        <v>15291.25</v>
      </c>
    </row>
    <row r="1370" spans="2:3" x14ac:dyDescent="0.3">
      <c r="B1370" s="126">
        <v>44097</v>
      </c>
      <c r="C1370" s="129">
        <v>15752.97</v>
      </c>
    </row>
    <row r="1371" spans="2:3" x14ac:dyDescent="0.3">
      <c r="B1371" s="126">
        <v>44096</v>
      </c>
      <c r="C1371" s="129">
        <v>15783.87</v>
      </c>
    </row>
    <row r="1372" spans="2:3" x14ac:dyDescent="0.3">
      <c r="B1372" s="126">
        <v>44095</v>
      </c>
      <c r="C1372" s="129">
        <v>15920.99</v>
      </c>
    </row>
    <row r="1373" spans="2:3" x14ac:dyDescent="0.3">
      <c r="B1373" s="126">
        <v>44092</v>
      </c>
      <c r="C1373" s="129">
        <v>16281</v>
      </c>
    </row>
    <row r="1374" spans="2:3" x14ac:dyDescent="0.3">
      <c r="B1374" s="126">
        <v>44091</v>
      </c>
      <c r="C1374" s="129">
        <v>16296.78</v>
      </c>
    </row>
    <row r="1375" spans="2:3" x14ac:dyDescent="0.3">
      <c r="B1375" s="126">
        <v>44090</v>
      </c>
      <c r="C1375" s="129">
        <v>16421.95</v>
      </c>
    </row>
    <row r="1376" spans="2:3" x14ac:dyDescent="0.3">
      <c r="B1376" s="126">
        <v>44089</v>
      </c>
      <c r="C1376" s="129">
        <v>16304.84</v>
      </c>
    </row>
    <row r="1377" spans="2:3" x14ac:dyDescent="0.3">
      <c r="B1377" s="126">
        <v>44088</v>
      </c>
      <c r="C1377" s="129">
        <v>16189.14</v>
      </c>
    </row>
    <row r="1378" spans="2:3" x14ac:dyDescent="0.3">
      <c r="B1378" s="126">
        <v>44085</v>
      </c>
      <c r="C1378" s="129">
        <v>16222.92</v>
      </c>
    </row>
    <row r="1379" spans="2:3" x14ac:dyDescent="0.3">
      <c r="B1379" s="126">
        <v>44084</v>
      </c>
      <c r="C1379" s="129">
        <v>16201.44</v>
      </c>
    </row>
    <row r="1380" spans="2:3" x14ac:dyDescent="0.3">
      <c r="B1380" s="126">
        <v>44083</v>
      </c>
      <c r="C1380" s="129">
        <v>15958.99</v>
      </c>
    </row>
    <row r="1381" spans="2:3" x14ac:dyDescent="0.3">
      <c r="B1381" s="126">
        <v>44082</v>
      </c>
      <c r="C1381" s="129">
        <v>16014.67</v>
      </c>
    </row>
    <row r="1382" spans="2:3" x14ac:dyDescent="0.3">
      <c r="B1382" s="126">
        <v>44081</v>
      </c>
      <c r="C1382" s="129">
        <v>16068.06</v>
      </c>
    </row>
    <row r="1383" spans="2:3" x14ac:dyDescent="0.3">
      <c r="B1383" s="126">
        <v>44078</v>
      </c>
      <c r="C1383" s="129">
        <v>16038.07</v>
      </c>
    </row>
    <row r="1384" spans="2:3" x14ac:dyDescent="0.3">
      <c r="B1384" s="126">
        <v>44077</v>
      </c>
      <c r="C1384" s="129">
        <v>16311.99</v>
      </c>
    </row>
    <row r="1385" spans="2:3" x14ac:dyDescent="0.3">
      <c r="B1385" s="126">
        <v>44076</v>
      </c>
      <c r="C1385" s="129">
        <v>16322.17</v>
      </c>
    </row>
    <row r="1386" spans="2:3" x14ac:dyDescent="0.3">
      <c r="B1386" s="126">
        <v>44075</v>
      </c>
      <c r="C1386" s="129">
        <v>16227.14</v>
      </c>
    </row>
    <row r="1387" spans="2:3" x14ac:dyDescent="0.3">
      <c r="B1387" s="126">
        <v>44074</v>
      </c>
      <c r="C1387" s="129">
        <v>16110.07</v>
      </c>
    </row>
    <row r="1388" spans="2:3" x14ac:dyDescent="0.3">
      <c r="B1388" s="126">
        <v>44071</v>
      </c>
      <c r="C1388" s="129">
        <v>16478.009999999998</v>
      </c>
    </row>
    <row r="1389" spans="2:3" x14ac:dyDescent="0.3">
      <c r="B1389" s="126">
        <v>44070</v>
      </c>
      <c r="C1389" s="129">
        <v>16353.08</v>
      </c>
    </row>
    <row r="1390" spans="2:3" x14ac:dyDescent="0.3">
      <c r="B1390" s="126">
        <v>44069</v>
      </c>
      <c r="C1390" s="129">
        <v>16339.41</v>
      </c>
    </row>
    <row r="1391" spans="2:3" x14ac:dyDescent="0.3">
      <c r="B1391" s="126">
        <v>44068</v>
      </c>
      <c r="C1391" s="129">
        <v>16226.2</v>
      </c>
    </row>
    <row r="1392" spans="2:3" x14ac:dyDescent="0.3">
      <c r="B1392" s="126">
        <v>44067</v>
      </c>
      <c r="C1392" s="129">
        <v>16218.02</v>
      </c>
    </row>
    <row r="1393" spans="2:3" x14ac:dyDescent="0.3">
      <c r="B1393" s="126">
        <v>44064</v>
      </c>
      <c r="C1393" s="129">
        <v>16083.84</v>
      </c>
    </row>
    <row r="1394" spans="2:3" x14ac:dyDescent="0.3">
      <c r="B1394" s="126">
        <v>44063</v>
      </c>
      <c r="C1394" s="129">
        <v>15999.86</v>
      </c>
    </row>
    <row r="1395" spans="2:3" x14ac:dyDescent="0.3">
      <c r="B1395" s="126">
        <v>44062</v>
      </c>
      <c r="C1395" s="129">
        <v>16135.89</v>
      </c>
    </row>
    <row r="1396" spans="2:3" x14ac:dyDescent="0.3">
      <c r="B1396" s="126">
        <v>44061</v>
      </c>
      <c r="C1396" s="129">
        <v>16101.86</v>
      </c>
    </row>
    <row r="1397" spans="2:3" x14ac:dyDescent="0.3">
      <c r="B1397" s="126">
        <v>44060</v>
      </c>
      <c r="C1397" s="129">
        <v>15906.29</v>
      </c>
    </row>
    <row r="1398" spans="2:3" x14ac:dyDescent="0.3">
      <c r="B1398" s="126">
        <v>44057</v>
      </c>
      <c r="C1398" s="129">
        <v>15809.17</v>
      </c>
    </row>
    <row r="1399" spans="2:3" x14ac:dyDescent="0.3">
      <c r="B1399" s="126">
        <v>44056</v>
      </c>
      <c r="C1399" s="129">
        <v>15981.73</v>
      </c>
    </row>
    <row r="1400" spans="2:3" x14ac:dyDescent="0.3">
      <c r="B1400" s="126">
        <v>44055</v>
      </c>
      <c r="C1400" s="129">
        <v>15986.03</v>
      </c>
    </row>
    <row r="1401" spans="2:3" x14ac:dyDescent="0.3">
      <c r="B1401" s="126">
        <v>44054</v>
      </c>
      <c r="C1401" s="129">
        <v>16005.99</v>
      </c>
    </row>
    <row r="1402" spans="2:3" x14ac:dyDescent="0.3">
      <c r="B1402" s="126">
        <v>44053</v>
      </c>
      <c r="C1402" s="129">
        <v>15931.97</v>
      </c>
    </row>
    <row r="1403" spans="2:3" x14ac:dyDescent="0.3">
      <c r="B1403" s="126">
        <v>44050</v>
      </c>
      <c r="C1403" s="129">
        <v>15852.65</v>
      </c>
    </row>
    <row r="1404" spans="2:3" x14ac:dyDescent="0.3">
      <c r="B1404" s="126">
        <v>44049</v>
      </c>
      <c r="C1404" s="129">
        <v>15833.02</v>
      </c>
    </row>
    <row r="1405" spans="2:3" x14ac:dyDescent="0.3">
      <c r="B1405" s="126">
        <v>44048</v>
      </c>
      <c r="C1405" s="129">
        <v>15689.69</v>
      </c>
    </row>
    <row r="1406" spans="2:3" x14ac:dyDescent="0.3">
      <c r="B1406" s="126">
        <v>44047</v>
      </c>
      <c r="C1406" s="129">
        <v>15676.74</v>
      </c>
    </row>
    <row r="1407" spans="2:3" x14ac:dyDescent="0.3">
      <c r="B1407" s="126">
        <v>44046</v>
      </c>
      <c r="C1407" s="129">
        <v>15388.98</v>
      </c>
    </row>
    <row r="1408" spans="2:3" x14ac:dyDescent="0.3">
      <c r="B1408" s="126">
        <v>44043</v>
      </c>
      <c r="C1408" s="129">
        <v>15645.34</v>
      </c>
    </row>
    <row r="1409" spans="2:3" x14ac:dyDescent="0.3">
      <c r="B1409" s="126">
        <v>44042</v>
      </c>
      <c r="C1409" s="129">
        <v>15685.92</v>
      </c>
    </row>
    <row r="1410" spans="2:3" x14ac:dyDescent="0.3">
      <c r="B1410" s="126">
        <v>44041</v>
      </c>
      <c r="C1410" s="129">
        <v>15824.19</v>
      </c>
    </row>
    <row r="1411" spans="2:3" x14ac:dyDescent="0.3">
      <c r="B1411" s="126">
        <v>44040</v>
      </c>
      <c r="C1411" s="129">
        <v>15961.7</v>
      </c>
    </row>
    <row r="1412" spans="2:3" x14ac:dyDescent="0.3">
      <c r="B1412" s="126">
        <v>44039</v>
      </c>
      <c r="C1412" s="129">
        <v>15723.39</v>
      </c>
    </row>
    <row r="1413" spans="2:3" x14ac:dyDescent="0.3">
      <c r="B1413" s="126">
        <v>44036</v>
      </c>
      <c r="C1413" s="129">
        <v>15811.4</v>
      </c>
    </row>
    <row r="1414" spans="2:3" x14ac:dyDescent="0.3">
      <c r="B1414" s="126">
        <v>44035</v>
      </c>
      <c r="C1414" s="129">
        <v>15841.48</v>
      </c>
    </row>
    <row r="1415" spans="2:3" x14ac:dyDescent="0.3">
      <c r="B1415" s="126">
        <v>44034</v>
      </c>
      <c r="C1415" s="129">
        <v>15722.51</v>
      </c>
    </row>
    <row r="1416" spans="2:3" x14ac:dyDescent="0.3">
      <c r="B1416" s="126">
        <v>44033</v>
      </c>
      <c r="C1416" s="129">
        <v>15764.41</v>
      </c>
    </row>
    <row r="1417" spans="2:3" x14ac:dyDescent="0.3">
      <c r="B1417" s="126">
        <v>44032</v>
      </c>
      <c r="C1417" s="129">
        <v>15566.56</v>
      </c>
    </row>
    <row r="1418" spans="2:3" x14ac:dyDescent="0.3">
      <c r="B1418" s="126">
        <v>44029</v>
      </c>
      <c r="C1418" s="129">
        <v>15396.44</v>
      </c>
    </row>
    <row r="1419" spans="2:3" x14ac:dyDescent="0.3">
      <c r="B1419" s="126">
        <v>44028</v>
      </c>
      <c r="C1419" s="129">
        <v>15167.99</v>
      </c>
    </row>
    <row r="1420" spans="2:3" x14ac:dyDescent="0.3">
      <c r="B1420" s="126">
        <v>44027</v>
      </c>
      <c r="C1420" s="129">
        <v>14993.52</v>
      </c>
    </row>
    <row r="1421" spans="2:3" x14ac:dyDescent="0.3">
      <c r="B1421" s="126">
        <v>44026</v>
      </c>
      <c r="C1421" s="129">
        <v>14978.23</v>
      </c>
    </row>
    <row r="1422" spans="2:3" x14ac:dyDescent="0.3">
      <c r="B1422" s="126">
        <v>44025</v>
      </c>
      <c r="C1422" s="129">
        <v>15254.09</v>
      </c>
    </row>
    <row r="1423" spans="2:3" x14ac:dyDescent="0.3">
      <c r="B1423" s="126">
        <v>44022</v>
      </c>
      <c r="C1423" s="129">
        <v>15204.13</v>
      </c>
    </row>
    <row r="1424" spans="2:3" x14ac:dyDescent="0.3">
      <c r="B1424" s="126">
        <v>44021</v>
      </c>
      <c r="C1424" s="129">
        <v>15268.19</v>
      </c>
    </row>
    <row r="1425" spans="2:3" x14ac:dyDescent="0.3">
      <c r="B1425" s="126">
        <v>44020</v>
      </c>
      <c r="C1425" s="129">
        <v>15104.09</v>
      </c>
    </row>
    <row r="1426" spans="2:3" x14ac:dyDescent="0.3">
      <c r="B1426" s="126">
        <v>44019</v>
      </c>
      <c r="C1426" s="129">
        <v>15236.58</v>
      </c>
    </row>
    <row r="1427" spans="2:3" x14ac:dyDescent="0.3">
      <c r="B1427" s="126">
        <v>44018</v>
      </c>
      <c r="C1427" s="129">
        <v>15185.78</v>
      </c>
    </row>
    <row r="1428" spans="2:3" x14ac:dyDescent="0.3">
      <c r="B1428" s="126">
        <v>44015</v>
      </c>
      <c r="C1428" s="129">
        <v>14964.59</v>
      </c>
    </row>
    <row r="1429" spans="2:3" x14ac:dyDescent="0.3">
      <c r="B1429" s="126">
        <v>44014</v>
      </c>
      <c r="C1429" s="129">
        <v>14886.06</v>
      </c>
    </row>
    <row r="1430" spans="2:3" x14ac:dyDescent="0.3">
      <c r="B1430" s="126">
        <v>44013</v>
      </c>
      <c r="C1430" s="129">
        <v>14707.64</v>
      </c>
    </row>
    <row r="1431" spans="2:3" x14ac:dyDescent="0.3">
      <c r="B1431" s="126">
        <v>44012</v>
      </c>
      <c r="C1431" s="129">
        <v>14527.18</v>
      </c>
    </row>
    <row r="1432" spans="2:3" x14ac:dyDescent="0.3">
      <c r="B1432" s="126">
        <v>44011</v>
      </c>
      <c r="C1432" s="129">
        <v>14541.76</v>
      </c>
    </row>
    <row r="1433" spans="2:3" x14ac:dyDescent="0.3">
      <c r="B1433" s="126">
        <v>44008</v>
      </c>
      <c r="C1433" s="129">
        <v>14641.26</v>
      </c>
    </row>
    <row r="1434" spans="2:3" x14ac:dyDescent="0.3">
      <c r="B1434" s="126">
        <v>44007</v>
      </c>
      <c r="C1434" s="129">
        <v>14508.61</v>
      </c>
    </row>
    <row r="1435" spans="2:3" x14ac:dyDescent="0.3">
      <c r="B1435" s="126">
        <v>44006</v>
      </c>
      <c r="C1435" s="129">
        <v>14531.72</v>
      </c>
    </row>
    <row r="1436" spans="2:3" x14ac:dyDescent="0.3">
      <c r="B1436" s="126">
        <v>44005</v>
      </c>
      <c r="C1436" s="129">
        <v>14765.36</v>
      </c>
    </row>
    <row r="1437" spans="2:3" x14ac:dyDescent="0.3">
      <c r="B1437" s="126">
        <v>44004</v>
      </c>
      <c r="C1437" s="129">
        <v>14540.07</v>
      </c>
    </row>
    <row r="1438" spans="2:3" x14ac:dyDescent="0.3">
      <c r="B1438" s="126">
        <v>44001</v>
      </c>
      <c r="C1438" s="129">
        <v>14445.87</v>
      </c>
    </row>
    <row r="1439" spans="2:3" x14ac:dyDescent="0.3">
      <c r="B1439" s="126">
        <v>44000</v>
      </c>
      <c r="C1439" s="129">
        <v>14227.14</v>
      </c>
    </row>
    <row r="1440" spans="2:3" x14ac:dyDescent="0.3">
      <c r="B1440" s="126">
        <v>43999</v>
      </c>
      <c r="C1440" s="129">
        <v>13930.35</v>
      </c>
    </row>
    <row r="1441" spans="2:3" x14ac:dyDescent="0.3">
      <c r="B1441" s="126">
        <v>43998</v>
      </c>
      <c r="C1441" s="129">
        <v>13976.63</v>
      </c>
    </row>
    <row r="1442" spans="2:3" x14ac:dyDescent="0.3">
      <c r="B1442" s="126">
        <v>43997</v>
      </c>
      <c r="C1442" s="129">
        <v>13835.27</v>
      </c>
    </row>
    <row r="1443" spans="2:3" x14ac:dyDescent="0.3">
      <c r="B1443" s="126">
        <v>43994</v>
      </c>
      <c r="C1443" s="129">
        <v>14059.69</v>
      </c>
    </row>
    <row r="1444" spans="2:3" x14ac:dyDescent="0.3">
      <c r="B1444" s="126">
        <v>43993</v>
      </c>
      <c r="C1444" s="129">
        <v>13959.73</v>
      </c>
    </row>
    <row r="1445" spans="2:3" x14ac:dyDescent="0.3">
      <c r="B1445" s="126">
        <v>43992</v>
      </c>
      <c r="C1445" s="129">
        <v>14260.91</v>
      </c>
    </row>
    <row r="1446" spans="2:3" x14ac:dyDescent="0.3">
      <c r="B1446" s="126">
        <v>43991</v>
      </c>
      <c r="C1446" s="129">
        <v>14162.9</v>
      </c>
    </row>
    <row r="1447" spans="2:3" x14ac:dyDescent="0.3">
      <c r="B1447" s="126">
        <v>43990</v>
      </c>
      <c r="C1447" s="129">
        <v>14333.2</v>
      </c>
    </row>
    <row r="1448" spans="2:3" x14ac:dyDescent="0.3">
      <c r="B1448" s="126">
        <v>43987</v>
      </c>
      <c r="C1448" s="129">
        <v>14297.55</v>
      </c>
    </row>
    <row r="1449" spans="2:3" x14ac:dyDescent="0.3">
      <c r="B1449" s="126">
        <v>43986</v>
      </c>
      <c r="C1449" s="129">
        <v>14138.19</v>
      </c>
    </row>
    <row r="1450" spans="2:3" x14ac:dyDescent="0.3">
      <c r="B1450" s="126">
        <v>43985</v>
      </c>
      <c r="C1450" s="129">
        <v>14183.95</v>
      </c>
    </row>
    <row r="1451" spans="2:3" x14ac:dyDescent="0.3">
      <c r="B1451" s="126">
        <v>43984</v>
      </c>
      <c r="C1451" s="129">
        <v>14065.56</v>
      </c>
    </row>
    <row r="1452" spans="2:3" x14ac:dyDescent="0.3">
      <c r="B1452" s="126">
        <v>43983</v>
      </c>
      <c r="C1452" s="129">
        <v>13850</v>
      </c>
    </row>
    <row r="1453" spans="2:3" x14ac:dyDescent="0.3">
      <c r="B1453" s="126">
        <v>43980</v>
      </c>
      <c r="C1453" s="129">
        <v>13503.45</v>
      </c>
    </row>
    <row r="1454" spans="2:3" x14ac:dyDescent="0.3">
      <c r="B1454" s="126">
        <v>43979</v>
      </c>
      <c r="C1454" s="129">
        <v>13364.65</v>
      </c>
    </row>
    <row r="1455" spans="2:3" x14ac:dyDescent="0.3">
      <c r="B1455" s="126">
        <v>43978</v>
      </c>
      <c r="C1455" s="129">
        <v>13117.99</v>
      </c>
    </row>
    <row r="1456" spans="2:3" x14ac:dyDescent="0.3">
      <c r="B1456" s="126">
        <v>43977</v>
      </c>
      <c r="C1456" s="129">
        <v>12715.39</v>
      </c>
    </row>
    <row r="1457" spans="2:3" x14ac:dyDescent="0.3">
      <c r="B1457" s="126">
        <v>43973</v>
      </c>
      <c r="C1457" s="129">
        <v>12729.74</v>
      </c>
    </row>
    <row r="1458" spans="2:3" x14ac:dyDescent="0.3">
      <c r="B1458" s="126">
        <v>43972</v>
      </c>
      <c r="C1458" s="129">
        <v>12824.12</v>
      </c>
    </row>
    <row r="1459" spans="2:3" x14ac:dyDescent="0.3">
      <c r="B1459" s="126">
        <v>43971</v>
      </c>
      <c r="C1459" s="129">
        <v>12768.2</v>
      </c>
    </row>
    <row r="1460" spans="2:3" x14ac:dyDescent="0.3">
      <c r="B1460" s="126">
        <v>43970</v>
      </c>
      <c r="C1460" s="129">
        <v>12504.22</v>
      </c>
    </row>
    <row r="1461" spans="2:3" x14ac:dyDescent="0.3">
      <c r="B1461" s="126">
        <v>43969</v>
      </c>
      <c r="C1461" s="129">
        <v>12425.57</v>
      </c>
    </row>
    <row r="1462" spans="2:3" x14ac:dyDescent="0.3">
      <c r="B1462" s="126">
        <v>43966</v>
      </c>
      <c r="C1462" s="129">
        <v>12867.16</v>
      </c>
    </row>
    <row r="1463" spans="2:3" x14ac:dyDescent="0.3">
      <c r="B1463" s="126">
        <v>43965</v>
      </c>
      <c r="C1463" s="129">
        <v>12875.51</v>
      </c>
    </row>
    <row r="1464" spans="2:3" x14ac:dyDescent="0.3">
      <c r="B1464" s="126">
        <v>43964</v>
      </c>
      <c r="C1464" s="129">
        <v>13214.58</v>
      </c>
    </row>
    <row r="1465" spans="2:3" x14ac:dyDescent="0.3">
      <c r="B1465" s="126">
        <v>43963</v>
      </c>
      <c r="C1465" s="129">
        <v>12951.29</v>
      </c>
    </row>
    <row r="1466" spans="2:3" x14ac:dyDescent="0.3">
      <c r="B1466" s="126">
        <v>43962</v>
      </c>
      <c r="C1466" s="129">
        <v>13011.35</v>
      </c>
    </row>
    <row r="1467" spans="2:3" x14ac:dyDescent="0.3">
      <c r="B1467" s="126">
        <v>43959</v>
      </c>
      <c r="C1467" s="129">
        <v>13028.62</v>
      </c>
    </row>
    <row r="1468" spans="2:3" x14ac:dyDescent="0.3">
      <c r="B1468" s="126">
        <v>43958</v>
      </c>
      <c r="C1468" s="129">
        <v>12954.81</v>
      </c>
    </row>
    <row r="1469" spans="2:3" x14ac:dyDescent="0.3">
      <c r="B1469" s="126">
        <v>43957</v>
      </c>
      <c r="C1469" s="129">
        <v>13055.99</v>
      </c>
    </row>
    <row r="1470" spans="2:3" x14ac:dyDescent="0.3">
      <c r="B1470" s="126">
        <v>43956</v>
      </c>
      <c r="C1470" s="129">
        <v>12963.99</v>
      </c>
    </row>
    <row r="1471" spans="2:3" x14ac:dyDescent="0.3">
      <c r="B1471" s="126">
        <v>43955</v>
      </c>
      <c r="C1471" s="129">
        <v>13086.63</v>
      </c>
    </row>
    <row r="1472" spans="2:3" x14ac:dyDescent="0.3">
      <c r="B1472" s="126">
        <v>43951</v>
      </c>
      <c r="C1472" s="129">
        <v>13884.18</v>
      </c>
    </row>
    <row r="1473" spans="2:3" x14ac:dyDescent="0.3">
      <c r="B1473" s="126">
        <v>43950</v>
      </c>
      <c r="C1473" s="129">
        <v>13452.51</v>
      </c>
    </row>
    <row r="1474" spans="2:3" x14ac:dyDescent="0.3">
      <c r="B1474" s="126">
        <v>43949</v>
      </c>
      <c r="C1474" s="129">
        <v>13208.29</v>
      </c>
    </row>
    <row r="1475" spans="2:3" x14ac:dyDescent="0.3">
      <c r="B1475" s="126">
        <v>43948</v>
      </c>
      <c r="C1475" s="129">
        <v>13069.49</v>
      </c>
    </row>
    <row r="1476" spans="2:3" x14ac:dyDescent="0.3">
      <c r="B1476" s="126">
        <v>43945</v>
      </c>
      <c r="C1476" s="129">
        <v>12889.39</v>
      </c>
    </row>
    <row r="1477" spans="2:3" x14ac:dyDescent="0.3">
      <c r="B1477" s="126">
        <v>43944</v>
      </c>
      <c r="C1477" s="129">
        <v>13113.97</v>
      </c>
    </row>
    <row r="1478" spans="2:3" x14ac:dyDescent="0.3">
      <c r="B1478" s="126">
        <v>43943</v>
      </c>
      <c r="C1478" s="129">
        <v>12935.73</v>
      </c>
    </row>
    <row r="1479" spans="2:3" x14ac:dyDescent="0.3">
      <c r="B1479" s="126">
        <v>43942</v>
      </c>
      <c r="C1479" s="129">
        <v>12645.91</v>
      </c>
    </row>
    <row r="1480" spans="2:3" x14ac:dyDescent="0.3">
      <c r="B1480" s="126">
        <v>43941</v>
      </c>
      <c r="C1480" s="129">
        <v>13040.65</v>
      </c>
    </row>
    <row r="1481" spans="2:3" x14ac:dyDescent="0.3">
      <c r="B1481" s="126">
        <v>43938</v>
      </c>
      <c r="C1481" s="129">
        <v>13047.57</v>
      </c>
    </row>
    <row r="1482" spans="2:3" x14ac:dyDescent="0.3">
      <c r="B1482" s="126">
        <v>43937</v>
      </c>
      <c r="C1482" s="129">
        <v>12661.83</v>
      </c>
    </row>
    <row r="1483" spans="2:3" x14ac:dyDescent="0.3">
      <c r="B1483" s="126">
        <v>43936</v>
      </c>
      <c r="C1483" s="129">
        <v>12566.85</v>
      </c>
    </row>
    <row r="1484" spans="2:3" x14ac:dyDescent="0.3">
      <c r="B1484" s="126">
        <v>43934</v>
      </c>
      <c r="C1484" s="129">
        <v>12663.31</v>
      </c>
    </row>
    <row r="1485" spans="2:3" x14ac:dyDescent="0.3">
      <c r="B1485" s="126">
        <v>43930</v>
      </c>
      <c r="C1485" s="129">
        <v>12829.57</v>
      </c>
    </row>
    <row r="1486" spans="2:3" x14ac:dyDescent="0.3">
      <c r="B1486" s="126">
        <v>43929</v>
      </c>
      <c r="C1486" s="129">
        <v>12318.25</v>
      </c>
    </row>
    <row r="1487" spans="2:3" x14ac:dyDescent="0.3">
      <c r="B1487" s="126">
        <v>43928</v>
      </c>
      <c r="C1487" s="129">
        <v>12379.42</v>
      </c>
    </row>
    <row r="1488" spans="2:3" x14ac:dyDescent="0.3">
      <c r="B1488" s="126">
        <v>43924</v>
      </c>
      <c r="C1488" s="129">
        <v>11382.02</v>
      </c>
    </row>
    <row r="1489" spans="2:3" x14ac:dyDescent="0.3">
      <c r="B1489" s="126">
        <v>43922</v>
      </c>
      <c r="C1489" s="129">
        <v>11621.35</v>
      </c>
    </row>
    <row r="1490" spans="2:3" x14ac:dyDescent="0.3">
      <c r="B1490" s="126">
        <v>43921</v>
      </c>
      <c r="C1490" s="129">
        <v>12105.66</v>
      </c>
    </row>
    <row r="1491" spans="2:3" x14ac:dyDescent="0.3">
      <c r="B1491" s="126">
        <v>43920</v>
      </c>
      <c r="C1491" s="129">
        <v>11659.76</v>
      </c>
    </row>
    <row r="1492" spans="2:3" x14ac:dyDescent="0.3">
      <c r="B1492" s="126">
        <v>43917</v>
      </c>
      <c r="C1492" s="129">
        <v>12193.62</v>
      </c>
    </row>
    <row r="1493" spans="2:3" x14ac:dyDescent="0.3">
      <c r="B1493" s="126">
        <v>43916</v>
      </c>
      <c r="C1493" s="129">
        <v>12167.15</v>
      </c>
    </row>
    <row r="1494" spans="2:3" x14ac:dyDescent="0.3">
      <c r="B1494" s="126">
        <v>43915</v>
      </c>
      <c r="C1494" s="129">
        <v>11710.71</v>
      </c>
    </row>
    <row r="1495" spans="2:3" x14ac:dyDescent="0.3">
      <c r="B1495" s="126">
        <v>43914</v>
      </c>
      <c r="C1495" s="129">
        <v>10983.15</v>
      </c>
    </row>
    <row r="1496" spans="2:3" x14ac:dyDescent="0.3">
      <c r="B1496" s="126">
        <v>43913</v>
      </c>
      <c r="C1496" s="129">
        <v>10710.41</v>
      </c>
    </row>
    <row r="1497" spans="2:3" x14ac:dyDescent="0.3">
      <c r="B1497" s="126">
        <v>43910</v>
      </c>
      <c r="C1497" s="129">
        <v>12298.74</v>
      </c>
    </row>
    <row r="1498" spans="2:3" x14ac:dyDescent="0.3">
      <c r="B1498" s="126">
        <v>43909</v>
      </c>
      <c r="C1498" s="129">
        <v>11620.92</v>
      </c>
    </row>
    <row r="1499" spans="2:3" x14ac:dyDescent="0.3">
      <c r="B1499" s="126">
        <v>43908</v>
      </c>
      <c r="C1499" s="129">
        <v>11904.02</v>
      </c>
    </row>
    <row r="1500" spans="2:3" x14ac:dyDescent="0.3">
      <c r="B1500" s="126">
        <v>43907</v>
      </c>
      <c r="C1500" s="129">
        <v>12604.41</v>
      </c>
    </row>
    <row r="1501" spans="2:3" x14ac:dyDescent="0.3">
      <c r="B1501" s="126">
        <v>43906</v>
      </c>
      <c r="C1501" s="129">
        <v>12928.18</v>
      </c>
    </row>
    <row r="1502" spans="2:3" x14ac:dyDescent="0.3">
      <c r="B1502" s="126">
        <v>43903</v>
      </c>
      <c r="C1502" s="129">
        <v>13987.31</v>
      </c>
    </row>
    <row r="1503" spans="2:3" x14ac:dyDescent="0.3">
      <c r="B1503" s="126">
        <v>43902</v>
      </c>
      <c r="C1503" s="129">
        <v>13474.38</v>
      </c>
    </row>
    <row r="1504" spans="2:3" x14ac:dyDescent="0.3">
      <c r="B1504" s="126">
        <v>43901</v>
      </c>
      <c r="C1504" s="129">
        <v>14694.31</v>
      </c>
    </row>
    <row r="1505" spans="2:3" x14ac:dyDescent="0.3">
      <c r="B1505" s="126">
        <v>43899</v>
      </c>
      <c r="C1505" s="129">
        <v>14684.56</v>
      </c>
    </row>
    <row r="1506" spans="2:3" x14ac:dyDescent="0.3">
      <c r="B1506" s="126">
        <v>43896</v>
      </c>
      <c r="C1506" s="129">
        <v>15440.48</v>
      </c>
    </row>
    <row r="1507" spans="2:3" x14ac:dyDescent="0.3">
      <c r="B1507" s="126">
        <v>43895</v>
      </c>
      <c r="C1507" s="129">
        <v>15833.21</v>
      </c>
    </row>
    <row r="1508" spans="2:3" x14ac:dyDescent="0.3">
      <c r="B1508" s="126">
        <v>43894</v>
      </c>
      <c r="C1508" s="129">
        <v>15805.53</v>
      </c>
    </row>
    <row r="1509" spans="2:3" x14ac:dyDescent="0.3">
      <c r="B1509" s="126">
        <v>43893</v>
      </c>
      <c r="C1509" s="129">
        <v>15878.98</v>
      </c>
    </row>
    <row r="1510" spans="2:3" x14ac:dyDescent="0.3">
      <c r="B1510" s="126">
        <v>43892</v>
      </c>
      <c r="C1510" s="129">
        <v>15632.14</v>
      </c>
    </row>
    <row r="1511" spans="2:3" x14ac:dyDescent="0.3">
      <c r="B1511" s="126">
        <v>43889</v>
      </c>
      <c r="C1511" s="129">
        <v>15726.92</v>
      </c>
    </row>
    <row r="1512" spans="2:3" x14ac:dyDescent="0.3">
      <c r="B1512" s="126">
        <v>43888</v>
      </c>
      <c r="C1512" s="129">
        <v>16332.81</v>
      </c>
    </row>
    <row r="1513" spans="2:3" x14ac:dyDescent="0.3">
      <c r="B1513" s="126">
        <v>43887</v>
      </c>
      <c r="C1513" s="129">
        <v>16396.23</v>
      </c>
    </row>
    <row r="1514" spans="2:3" x14ac:dyDescent="0.3">
      <c r="B1514" s="126">
        <v>43886</v>
      </c>
      <c r="C1514" s="129">
        <v>16563.91</v>
      </c>
    </row>
    <row r="1515" spans="2:3" x14ac:dyDescent="0.3">
      <c r="B1515" s="126">
        <v>43885</v>
      </c>
      <c r="C1515" s="129">
        <v>16608.12</v>
      </c>
    </row>
    <row r="1516" spans="2:3" x14ac:dyDescent="0.3">
      <c r="B1516" s="126">
        <v>43881</v>
      </c>
      <c r="C1516" s="129">
        <v>16961.16</v>
      </c>
    </row>
    <row r="1517" spans="2:3" x14ac:dyDescent="0.3">
      <c r="B1517" s="126">
        <v>43880</v>
      </c>
      <c r="C1517" s="129">
        <v>17024.41</v>
      </c>
    </row>
    <row r="1518" spans="2:3" x14ac:dyDescent="0.3">
      <c r="B1518" s="126">
        <v>43879</v>
      </c>
      <c r="C1518" s="129">
        <v>16837.080000000002</v>
      </c>
    </row>
    <row r="1519" spans="2:3" x14ac:dyDescent="0.3">
      <c r="B1519" s="126">
        <v>43878</v>
      </c>
      <c r="C1519" s="129">
        <v>16911.919999999998</v>
      </c>
    </row>
    <row r="1520" spans="2:3" x14ac:dyDescent="0.3">
      <c r="B1520" s="126">
        <v>43875</v>
      </c>
      <c r="C1520" s="129">
        <v>17002.89</v>
      </c>
    </row>
    <row r="1521" spans="2:3" x14ac:dyDescent="0.3">
      <c r="B1521" s="126">
        <v>43874</v>
      </c>
      <c r="C1521" s="129">
        <v>17088.84</v>
      </c>
    </row>
    <row r="1522" spans="2:3" x14ac:dyDescent="0.3">
      <c r="B1522" s="126">
        <v>43873</v>
      </c>
      <c r="C1522" s="129">
        <v>17126.07</v>
      </c>
    </row>
    <row r="1523" spans="2:3" x14ac:dyDescent="0.3">
      <c r="B1523" s="126">
        <v>43872</v>
      </c>
      <c r="C1523" s="129">
        <v>16995.099999999999</v>
      </c>
    </row>
    <row r="1524" spans="2:3" x14ac:dyDescent="0.3">
      <c r="B1524" s="126">
        <v>43871</v>
      </c>
      <c r="C1524" s="129">
        <v>16887.86</v>
      </c>
    </row>
    <row r="1525" spans="2:3" x14ac:dyDescent="0.3">
      <c r="B1525" s="126">
        <v>43868</v>
      </c>
      <c r="C1525" s="129">
        <v>16981.75</v>
      </c>
    </row>
    <row r="1526" spans="2:3" x14ac:dyDescent="0.3">
      <c r="B1526" s="126">
        <v>43867</v>
      </c>
      <c r="C1526" s="129">
        <v>17037.28</v>
      </c>
    </row>
    <row r="1527" spans="2:3" x14ac:dyDescent="0.3">
      <c r="B1527" s="126">
        <v>43866</v>
      </c>
      <c r="C1527" s="129">
        <v>16968.830000000002</v>
      </c>
    </row>
    <row r="1528" spans="2:3" x14ac:dyDescent="0.3">
      <c r="B1528" s="126">
        <v>43865</v>
      </c>
      <c r="C1528" s="129">
        <v>16815.12</v>
      </c>
    </row>
    <row r="1529" spans="2:3" x14ac:dyDescent="0.3">
      <c r="B1529" s="126">
        <v>43864</v>
      </c>
      <c r="C1529" s="129">
        <v>16433.650000000001</v>
      </c>
    </row>
    <row r="1530" spans="2:3" x14ac:dyDescent="0.3">
      <c r="B1530" s="126">
        <v>43862</v>
      </c>
      <c r="C1530" s="129">
        <v>16369</v>
      </c>
    </row>
    <row r="1531" spans="2:3" x14ac:dyDescent="0.3">
      <c r="B1531" s="126">
        <v>43861</v>
      </c>
      <c r="C1531" s="129">
        <v>16790.45</v>
      </c>
    </row>
    <row r="1532" spans="2:3" x14ac:dyDescent="0.3">
      <c r="B1532" s="126">
        <v>43860</v>
      </c>
      <c r="C1532" s="129">
        <v>16893.91</v>
      </c>
    </row>
    <row r="1533" spans="2:3" x14ac:dyDescent="0.3">
      <c r="B1533" s="126">
        <v>43859</v>
      </c>
      <c r="C1533" s="129">
        <v>17025.46</v>
      </c>
    </row>
    <row r="1534" spans="2:3" x14ac:dyDescent="0.3">
      <c r="B1534" s="126">
        <v>43858</v>
      </c>
      <c r="C1534" s="129">
        <v>16922.009999999998</v>
      </c>
    </row>
    <row r="1535" spans="2:3" x14ac:dyDescent="0.3">
      <c r="B1535" s="126">
        <v>43857</v>
      </c>
      <c r="C1535" s="129">
        <v>17010.7</v>
      </c>
    </row>
    <row r="1536" spans="2:3" x14ac:dyDescent="0.3">
      <c r="B1536" s="126">
        <v>43854</v>
      </c>
      <c r="C1536" s="129">
        <v>17192.150000000001</v>
      </c>
    </row>
    <row r="1537" spans="2:3" x14ac:dyDescent="0.3">
      <c r="B1537" s="126">
        <v>43853</v>
      </c>
      <c r="C1537" s="129">
        <v>17095.61</v>
      </c>
    </row>
    <row r="1538" spans="2:3" x14ac:dyDescent="0.3">
      <c r="B1538" s="126">
        <v>43852</v>
      </c>
      <c r="C1538" s="129">
        <v>16990.68</v>
      </c>
    </row>
    <row r="1539" spans="2:3" x14ac:dyDescent="0.3">
      <c r="B1539" s="126">
        <v>43851</v>
      </c>
      <c r="C1539" s="129">
        <v>17079.07</v>
      </c>
    </row>
    <row r="1540" spans="2:3" x14ac:dyDescent="0.3">
      <c r="B1540" s="126">
        <v>43850</v>
      </c>
      <c r="C1540" s="129">
        <v>17155.830000000002</v>
      </c>
    </row>
    <row r="1541" spans="2:3" x14ac:dyDescent="0.3">
      <c r="B1541" s="126">
        <v>43847</v>
      </c>
      <c r="C1541" s="129">
        <v>17335.2</v>
      </c>
    </row>
    <row r="1542" spans="2:3" x14ac:dyDescent="0.3">
      <c r="B1542" s="126">
        <v>43846</v>
      </c>
      <c r="C1542" s="129">
        <v>17339.57</v>
      </c>
    </row>
    <row r="1543" spans="2:3" x14ac:dyDescent="0.3">
      <c r="B1543" s="126">
        <v>43845</v>
      </c>
      <c r="C1543" s="129">
        <v>17322.5</v>
      </c>
    </row>
    <row r="1544" spans="2:3" x14ac:dyDescent="0.3">
      <c r="B1544" s="126">
        <v>43844</v>
      </c>
      <c r="C1544" s="129">
        <v>17349.12</v>
      </c>
    </row>
    <row r="1545" spans="2:3" x14ac:dyDescent="0.3">
      <c r="B1545" s="126">
        <v>43843</v>
      </c>
      <c r="C1545" s="129">
        <v>17303.2</v>
      </c>
    </row>
    <row r="1546" spans="2:3" x14ac:dyDescent="0.3">
      <c r="B1546" s="126">
        <v>43840</v>
      </c>
      <c r="C1546" s="129">
        <v>17201.080000000002</v>
      </c>
    </row>
    <row r="1547" spans="2:3" x14ac:dyDescent="0.3">
      <c r="B1547" s="126">
        <v>43839</v>
      </c>
      <c r="C1547" s="129">
        <v>17143.650000000001</v>
      </c>
    </row>
    <row r="1548" spans="2:3" x14ac:dyDescent="0.3">
      <c r="B1548" s="126">
        <v>43838</v>
      </c>
      <c r="C1548" s="129">
        <v>16876.240000000002</v>
      </c>
    </row>
    <row r="1549" spans="2:3" x14ac:dyDescent="0.3">
      <c r="B1549" s="126">
        <v>43837</v>
      </c>
      <c r="C1549" s="129">
        <v>16915.03</v>
      </c>
    </row>
    <row r="1550" spans="2:3" x14ac:dyDescent="0.3">
      <c r="B1550" s="126">
        <v>43836</v>
      </c>
      <c r="C1550" s="129">
        <v>16830.93</v>
      </c>
    </row>
    <row r="1551" spans="2:3" x14ac:dyDescent="0.3">
      <c r="B1551" s="126">
        <v>43833</v>
      </c>
      <c r="C1551" s="129">
        <v>17158.75</v>
      </c>
    </row>
    <row r="1552" spans="2:3" x14ac:dyDescent="0.3">
      <c r="B1552" s="126">
        <v>43832</v>
      </c>
      <c r="C1552" s="129">
        <v>17236.7</v>
      </c>
    </row>
    <row r="1553" spans="2:3" x14ac:dyDescent="0.3">
      <c r="B1553" s="126">
        <v>43831</v>
      </c>
      <c r="C1553" s="129">
        <v>17096.830000000002</v>
      </c>
    </row>
    <row r="1554" spans="2:3" x14ac:dyDescent="0.3">
      <c r="B1554" s="126">
        <v>43830</v>
      </c>
      <c r="C1554" s="129">
        <v>17077.060000000001</v>
      </c>
    </row>
    <row r="1555" spans="2:3" x14ac:dyDescent="0.3">
      <c r="B1555" s="126">
        <v>43829</v>
      </c>
      <c r="C1555" s="129">
        <v>17199.73</v>
      </c>
    </row>
    <row r="1556" spans="2:3" x14ac:dyDescent="0.3">
      <c r="B1556" s="126">
        <v>43826</v>
      </c>
      <c r="C1556" s="129">
        <v>17185.66</v>
      </c>
    </row>
    <row r="1557" spans="2:3" x14ac:dyDescent="0.3">
      <c r="B1557" s="126">
        <v>43825</v>
      </c>
      <c r="C1557" s="129">
        <v>17018.259999999998</v>
      </c>
    </row>
    <row r="1558" spans="2:3" x14ac:dyDescent="0.3">
      <c r="B1558" s="126">
        <v>43823</v>
      </c>
      <c r="C1558" s="129">
        <v>17141.8</v>
      </c>
    </row>
    <row r="1559" spans="2:3" x14ac:dyDescent="0.3">
      <c r="B1559" s="126">
        <v>43822</v>
      </c>
      <c r="C1559" s="129">
        <v>17209.400000000001</v>
      </c>
    </row>
    <row r="1560" spans="2:3" x14ac:dyDescent="0.3">
      <c r="B1560" s="126">
        <v>43819</v>
      </c>
      <c r="C1560" s="129">
        <v>17222.14</v>
      </c>
    </row>
    <row r="1561" spans="2:3" x14ac:dyDescent="0.3">
      <c r="B1561" s="126">
        <v>43818</v>
      </c>
      <c r="C1561" s="129">
        <v>17205.12</v>
      </c>
    </row>
    <row r="1562" spans="2:3" x14ac:dyDescent="0.3">
      <c r="B1562" s="126">
        <v>43817</v>
      </c>
      <c r="C1562" s="129">
        <v>17150.93</v>
      </c>
    </row>
    <row r="1563" spans="2:3" x14ac:dyDescent="0.3">
      <c r="B1563" s="126">
        <v>43816</v>
      </c>
      <c r="C1563" s="129">
        <v>17071.490000000002</v>
      </c>
    </row>
    <row r="1564" spans="2:3" x14ac:dyDescent="0.3">
      <c r="B1564" s="126">
        <v>43815</v>
      </c>
      <c r="C1564" s="129">
        <v>16915.650000000001</v>
      </c>
    </row>
    <row r="1565" spans="2:3" x14ac:dyDescent="0.3">
      <c r="B1565" s="126">
        <v>43812</v>
      </c>
      <c r="C1565" s="129">
        <v>16961.560000000001</v>
      </c>
    </row>
    <row r="1566" spans="2:3" x14ac:dyDescent="0.3">
      <c r="B1566" s="126">
        <v>43811</v>
      </c>
      <c r="C1566" s="129">
        <v>16800.36</v>
      </c>
    </row>
    <row r="1567" spans="2:3" x14ac:dyDescent="0.3">
      <c r="B1567" s="126">
        <v>43810</v>
      </c>
      <c r="C1567" s="129">
        <v>16713.79</v>
      </c>
    </row>
    <row r="1568" spans="2:3" x14ac:dyDescent="0.3">
      <c r="B1568" s="126">
        <v>43809</v>
      </c>
      <c r="C1568" s="129">
        <v>16638.939999999999</v>
      </c>
    </row>
    <row r="1569" spans="2:3" x14ac:dyDescent="0.3">
      <c r="B1569" s="126">
        <v>43808</v>
      </c>
      <c r="C1569" s="129">
        <v>16751.53</v>
      </c>
    </row>
    <row r="1570" spans="2:3" x14ac:dyDescent="0.3">
      <c r="B1570" s="126">
        <v>43805</v>
      </c>
      <c r="C1570" s="129">
        <v>16729.080000000002</v>
      </c>
    </row>
    <row r="1571" spans="2:3" x14ac:dyDescent="0.3">
      <c r="B1571" s="126">
        <v>43804</v>
      </c>
      <c r="C1571" s="129">
        <v>16865.04</v>
      </c>
    </row>
    <row r="1572" spans="2:3" x14ac:dyDescent="0.3">
      <c r="B1572" s="126">
        <v>43803</v>
      </c>
      <c r="C1572" s="129">
        <v>16899.88</v>
      </c>
    </row>
    <row r="1573" spans="2:3" x14ac:dyDescent="0.3">
      <c r="B1573" s="126">
        <v>43802</v>
      </c>
      <c r="C1573" s="129">
        <v>16831.11</v>
      </c>
    </row>
    <row r="1574" spans="2:3" x14ac:dyDescent="0.3">
      <c r="B1574" s="126">
        <v>43801</v>
      </c>
      <c r="C1574" s="129">
        <v>16906.88</v>
      </c>
    </row>
    <row r="1575" spans="2:3" x14ac:dyDescent="0.3">
      <c r="B1575" s="126">
        <v>43798</v>
      </c>
      <c r="C1575" s="129">
        <v>16917.89</v>
      </c>
    </row>
    <row r="1576" spans="2:3" x14ac:dyDescent="0.3">
      <c r="B1576" s="126">
        <v>43797</v>
      </c>
      <c r="C1576" s="129">
        <v>17051.310000000001</v>
      </c>
    </row>
    <row r="1577" spans="2:3" x14ac:dyDescent="0.3">
      <c r="B1577" s="126">
        <v>43796</v>
      </c>
      <c r="C1577" s="129">
        <v>16980.54</v>
      </c>
    </row>
    <row r="1578" spans="2:3" x14ac:dyDescent="0.3">
      <c r="B1578" s="126">
        <v>43795</v>
      </c>
      <c r="C1578" s="129">
        <v>16892.150000000001</v>
      </c>
    </row>
    <row r="1579" spans="2:3" x14ac:dyDescent="0.3">
      <c r="B1579" s="126">
        <v>43794</v>
      </c>
      <c r="C1579" s="129">
        <v>16942.7</v>
      </c>
    </row>
    <row r="1580" spans="2:3" x14ac:dyDescent="0.3">
      <c r="B1580" s="126">
        <v>43791</v>
      </c>
      <c r="C1580" s="129">
        <v>16719.11</v>
      </c>
    </row>
    <row r="1581" spans="2:3" x14ac:dyDescent="0.3">
      <c r="B1581" s="126">
        <v>43790</v>
      </c>
      <c r="C1581" s="129">
        <v>16794.86</v>
      </c>
    </row>
    <row r="1582" spans="2:3" x14ac:dyDescent="0.3">
      <c r="B1582" s="126">
        <v>43789</v>
      </c>
      <c r="C1582" s="129">
        <v>16837.96</v>
      </c>
    </row>
    <row r="1583" spans="2:3" x14ac:dyDescent="0.3">
      <c r="B1583" s="126">
        <v>43788</v>
      </c>
      <c r="C1583" s="129">
        <v>16755.150000000001</v>
      </c>
    </row>
    <row r="1584" spans="2:3" x14ac:dyDescent="0.3">
      <c r="B1584" s="126">
        <v>43787</v>
      </c>
      <c r="C1584" s="129">
        <v>16677.14</v>
      </c>
    </row>
    <row r="1585" spans="2:3" x14ac:dyDescent="0.3">
      <c r="B1585" s="126">
        <v>43784</v>
      </c>
      <c r="C1585" s="129">
        <v>16692.52</v>
      </c>
    </row>
    <row r="1586" spans="2:3" x14ac:dyDescent="0.3">
      <c r="B1586" s="126">
        <v>43783</v>
      </c>
      <c r="C1586" s="129">
        <v>16659.78</v>
      </c>
    </row>
    <row r="1587" spans="2:3" x14ac:dyDescent="0.3">
      <c r="B1587" s="126">
        <v>43782</v>
      </c>
      <c r="C1587" s="129">
        <v>16615.37</v>
      </c>
    </row>
    <row r="1588" spans="2:3" x14ac:dyDescent="0.3">
      <c r="B1588" s="126">
        <v>43780</v>
      </c>
      <c r="C1588" s="129">
        <v>16717.75</v>
      </c>
    </row>
    <row r="1589" spans="2:3" x14ac:dyDescent="0.3">
      <c r="B1589" s="126">
        <v>43777</v>
      </c>
      <c r="C1589" s="129">
        <v>16710.37</v>
      </c>
    </row>
    <row r="1590" spans="2:3" x14ac:dyDescent="0.3">
      <c r="B1590" s="126">
        <v>43776</v>
      </c>
      <c r="C1590" s="129">
        <v>16856.169999999998</v>
      </c>
    </row>
    <row r="1591" spans="2:3" x14ac:dyDescent="0.3">
      <c r="B1591" s="126">
        <v>43775</v>
      </c>
      <c r="C1591" s="129">
        <v>16791.61</v>
      </c>
    </row>
    <row r="1592" spans="2:3" x14ac:dyDescent="0.3">
      <c r="B1592" s="126">
        <v>43774</v>
      </c>
      <c r="C1592" s="129">
        <v>16723.060000000001</v>
      </c>
    </row>
    <row r="1593" spans="2:3" x14ac:dyDescent="0.3">
      <c r="B1593" s="126">
        <v>43773</v>
      </c>
      <c r="C1593" s="129">
        <v>16756.87</v>
      </c>
    </row>
    <row r="1594" spans="2:3" x14ac:dyDescent="0.3">
      <c r="B1594" s="126">
        <v>43770</v>
      </c>
      <c r="C1594" s="129">
        <v>16685.73</v>
      </c>
    </row>
    <row r="1595" spans="2:3" x14ac:dyDescent="0.3">
      <c r="B1595" s="126">
        <v>43769</v>
      </c>
      <c r="C1595" s="129">
        <v>16667.29</v>
      </c>
    </row>
    <row r="1596" spans="2:3" x14ac:dyDescent="0.3">
      <c r="B1596" s="126">
        <v>43768</v>
      </c>
      <c r="C1596" s="129">
        <v>16620.07</v>
      </c>
    </row>
    <row r="1597" spans="2:3" x14ac:dyDescent="0.3">
      <c r="B1597" s="126">
        <v>43767</v>
      </c>
      <c r="C1597" s="129">
        <v>16539.23</v>
      </c>
    </row>
    <row r="1598" spans="2:3" x14ac:dyDescent="0.3">
      <c r="B1598" s="126">
        <v>43765</v>
      </c>
      <c r="C1598" s="129">
        <v>16315.17</v>
      </c>
    </row>
    <row r="1599" spans="2:3" x14ac:dyDescent="0.3">
      <c r="B1599" s="126">
        <v>43763</v>
      </c>
      <c r="C1599" s="129">
        <v>16254.45</v>
      </c>
    </row>
    <row r="1600" spans="2:3" x14ac:dyDescent="0.3">
      <c r="B1600" s="126">
        <v>43762</v>
      </c>
      <c r="C1600" s="129">
        <v>16252.63</v>
      </c>
    </row>
    <row r="1601" spans="2:3" x14ac:dyDescent="0.3">
      <c r="B1601" s="126">
        <v>43761</v>
      </c>
      <c r="C1601" s="129">
        <v>16282.84</v>
      </c>
    </row>
    <row r="1602" spans="2:3" x14ac:dyDescent="0.3">
      <c r="B1602" s="126">
        <v>43760</v>
      </c>
      <c r="C1602" s="129">
        <v>16248.11</v>
      </c>
    </row>
    <row r="1603" spans="2:3" x14ac:dyDescent="0.3">
      <c r="B1603" s="126">
        <v>43756</v>
      </c>
      <c r="C1603" s="129">
        <v>16351.16</v>
      </c>
    </row>
    <row r="1604" spans="2:3" x14ac:dyDescent="0.3">
      <c r="B1604" s="126">
        <v>43755</v>
      </c>
      <c r="C1604" s="129">
        <v>16245.31</v>
      </c>
    </row>
    <row r="1605" spans="2:3" x14ac:dyDescent="0.3">
      <c r="B1605" s="126">
        <v>43754</v>
      </c>
      <c r="C1605" s="129">
        <v>16057.85</v>
      </c>
    </row>
    <row r="1606" spans="2:3" x14ac:dyDescent="0.3">
      <c r="B1606" s="126">
        <v>43753</v>
      </c>
      <c r="C1606" s="129">
        <v>16007.83</v>
      </c>
    </row>
    <row r="1607" spans="2:3" x14ac:dyDescent="0.3">
      <c r="B1607" s="126">
        <v>43752</v>
      </c>
      <c r="C1607" s="129">
        <v>15885.74</v>
      </c>
    </row>
    <row r="1608" spans="2:3" x14ac:dyDescent="0.3">
      <c r="B1608" s="126">
        <v>43749</v>
      </c>
      <c r="C1608" s="129">
        <v>15835.17</v>
      </c>
    </row>
    <row r="1609" spans="2:3" x14ac:dyDescent="0.3">
      <c r="B1609" s="126">
        <v>43748</v>
      </c>
      <c r="C1609" s="129">
        <v>15736.44</v>
      </c>
    </row>
    <row r="1610" spans="2:3" x14ac:dyDescent="0.3">
      <c r="B1610" s="126">
        <v>43747</v>
      </c>
      <c r="C1610" s="129">
        <v>15846.77</v>
      </c>
    </row>
    <row r="1611" spans="2:3" x14ac:dyDescent="0.3">
      <c r="B1611" s="126">
        <v>43745</v>
      </c>
      <c r="C1611" s="129">
        <v>15584.94</v>
      </c>
    </row>
    <row r="1612" spans="2:3" x14ac:dyDescent="0.3">
      <c r="B1612" s="126">
        <v>43742</v>
      </c>
      <c r="C1612" s="129">
        <v>15652.7</v>
      </c>
    </row>
    <row r="1613" spans="2:3" x14ac:dyDescent="0.3">
      <c r="B1613" s="126">
        <v>43741</v>
      </c>
      <c r="C1613" s="129">
        <v>15847.7</v>
      </c>
    </row>
    <row r="1614" spans="2:3" x14ac:dyDescent="0.3">
      <c r="B1614" s="126">
        <v>43739</v>
      </c>
      <c r="C1614" s="129">
        <v>15912.03</v>
      </c>
    </row>
    <row r="1615" spans="2:3" x14ac:dyDescent="0.3">
      <c r="B1615" s="126">
        <v>43738</v>
      </c>
      <c r="C1615" s="129">
        <v>16072.5</v>
      </c>
    </row>
    <row r="1616" spans="2:3" x14ac:dyDescent="0.3">
      <c r="B1616" s="126">
        <v>43735</v>
      </c>
      <c r="C1616" s="129">
        <v>16125.65</v>
      </c>
    </row>
    <row r="1617" spans="2:3" x14ac:dyDescent="0.3">
      <c r="B1617" s="126">
        <v>43734</v>
      </c>
      <c r="C1617" s="129">
        <v>16207.96</v>
      </c>
    </row>
    <row r="1618" spans="2:3" x14ac:dyDescent="0.3">
      <c r="B1618" s="126">
        <v>43733</v>
      </c>
      <c r="C1618" s="129">
        <v>16024.49</v>
      </c>
    </row>
    <row r="1619" spans="2:3" x14ac:dyDescent="0.3">
      <c r="B1619" s="126">
        <v>43732</v>
      </c>
      <c r="C1619" s="129">
        <v>16231.83</v>
      </c>
    </row>
    <row r="1620" spans="2:3" x14ac:dyDescent="0.3">
      <c r="B1620" s="126">
        <v>43731</v>
      </c>
      <c r="C1620" s="129">
        <v>16248.62</v>
      </c>
    </row>
    <row r="1621" spans="2:3" x14ac:dyDescent="0.3">
      <c r="B1621" s="126">
        <v>43728</v>
      </c>
      <c r="C1621" s="129">
        <v>15791.99</v>
      </c>
    </row>
    <row r="1622" spans="2:3" x14ac:dyDescent="0.3">
      <c r="B1622" s="126">
        <v>43727</v>
      </c>
      <c r="C1622" s="129">
        <v>14994.39</v>
      </c>
    </row>
    <row r="1623" spans="2:3" x14ac:dyDescent="0.3">
      <c r="B1623" s="126">
        <v>43726</v>
      </c>
      <c r="C1623" s="129">
        <v>15184.69</v>
      </c>
    </row>
    <row r="1624" spans="2:3" x14ac:dyDescent="0.3">
      <c r="B1624" s="126">
        <v>43725</v>
      </c>
      <c r="C1624" s="129">
        <v>15152.39</v>
      </c>
    </row>
    <row r="1625" spans="2:3" x14ac:dyDescent="0.3">
      <c r="B1625" s="126">
        <v>43724</v>
      </c>
      <c r="C1625" s="129">
        <v>15412.83</v>
      </c>
    </row>
    <row r="1626" spans="2:3" x14ac:dyDescent="0.3">
      <c r="B1626" s="126">
        <v>43721</v>
      </c>
      <c r="C1626" s="129">
        <v>15514.2</v>
      </c>
    </row>
    <row r="1627" spans="2:3" x14ac:dyDescent="0.3">
      <c r="B1627" s="126">
        <v>43720</v>
      </c>
      <c r="C1627" s="129">
        <v>15383.82</v>
      </c>
    </row>
    <row r="1628" spans="2:3" x14ac:dyDescent="0.3">
      <c r="B1628" s="126">
        <v>43719</v>
      </c>
      <c r="C1628" s="129">
        <v>15457.9</v>
      </c>
    </row>
    <row r="1629" spans="2:3" x14ac:dyDescent="0.3">
      <c r="B1629" s="126">
        <v>43717</v>
      </c>
      <c r="C1629" s="129">
        <v>15412.14</v>
      </c>
    </row>
    <row r="1630" spans="2:3" x14ac:dyDescent="0.3">
      <c r="B1630" s="126">
        <v>43714</v>
      </c>
      <c r="C1630" s="129">
        <v>15332.57</v>
      </c>
    </row>
    <row r="1631" spans="2:3" x14ac:dyDescent="0.3">
      <c r="B1631" s="126">
        <v>43713</v>
      </c>
      <c r="C1631" s="129">
        <v>15194.86</v>
      </c>
    </row>
    <row r="1632" spans="2:3" x14ac:dyDescent="0.3">
      <c r="B1632" s="126">
        <v>43712</v>
      </c>
      <c r="C1632" s="129">
        <v>15190.3</v>
      </c>
    </row>
    <row r="1633" spans="2:3" x14ac:dyDescent="0.3">
      <c r="B1633" s="126">
        <v>43711</v>
      </c>
      <c r="C1633" s="129">
        <v>15124.8</v>
      </c>
    </row>
    <row r="1634" spans="2:3" x14ac:dyDescent="0.3">
      <c r="B1634" s="126">
        <v>43707</v>
      </c>
      <c r="C1634" s="129">
        <v>15440.47</v>
      </c>
    </row>
    <row r="1635" spans="2:3" x14ac:dyDescent="0.3">
      <c r="B1635" s="126">
        <v>43706</v>
      </c>
      <c r="C1635" s="129">
        <v>15335.45</v>
      </c>
    </row>
    <row r="1636" spans="2:3" x14ac:dyDescent="0.3">
      <c r="B1636" s="126">
        <v>43705</v>
      </c>
      <c r="C1636" s="129">
        <v>15472.44</v>
      </c>
    </row>
    <row r="1637" spans="2:3" x14ac:dyDescent="0.3">
      <c r="B1637" s="126">
        <v>43704</v>
      </c>
      <c r="C1637" s="129">
        <v>15555.44</v>
      </c>
    </row>
    <row r="1638" spans="2:3" x14ac:dyDescent="0.3">
      <c r="B1638" s="126">
        <v>43703</v>
      </c>
      <c r="C1638" s="129">
        <v>15488.96</v>
      </c>
    </row>
    <row r="1639" spans="2:3" x14ac:dyDescent="0.3">
      <c r="B1639" s="126">
        <v>43700</v>
      </c>
      <c r="C1639" s="129">
        <v>15168.88</v>
      </c>
    </row>
    <row r="1640" spans="2:3" x14ac:dyDescent="0.3">
      <c r="B1640" s="126">
        <v>43699</v>
      </c>
      <c r="C1640" s="129">
        <v>15045.62</v>
      </c>
    </row>
    <row r="1641" spans="2:3" x14ac:dyDescent="0.3">
      <c r="B1641" s="126">
        <v>43698</v>
      </c>
      <c r="C1641" s="129">
        <v>15290.85</v>
      </c>
    </row>
    <row r="1642" spans="2:3" x14ac:dyDescent="0.3">
      <c r="B1642" s="126">
        <v>43697</v>
      </c>
      <c r="C1642" s="129">
        <v>15425.45</v>
      </c>
    </row>
    <row r="1643" spans="2:3" x14ac:dyDescent="0.3">
      <c r="B1643" s="126">
        <v>43696</v>
      </c>
      <c r="C1643" s="129">
        <v>15476.07</v>
      </c>
    </row>
    <row r="1644" spans="2:3" x14ac:dyDescent="0.3">
      <c r="B1644" s="126">
        <v>43693</v>
      </c>
      <c r="C1644" s="129">
        <v>15464.58</v>
      </c>
    </row>
    <row r="1645" spans="2:3" x14ac:dyDescent="0.3">
      <c r="B1645" s="126">
        <v>43691</v>
      </c>
      <c r="C1645" s="129">
        <v>15438.86</v>
      </c>
    </row>
    <row r="1646" spans="2:3" x14ac:dyDescent="0.3">
      <c r="B1646" s="126">
        <v>43690</v>
      </c>
      <c r="C1646" s="129">
        <v>15289.35</v>
      </c>
    </row>
    <row r="1647" spans="2:3" x14ac:dyDescent="0.3">
      <c r="B1647" s="126">
        <v>43686</v>
      </c>
      <c r="C1647" s="129">
        <v>15542.72</v>
      </c>
    </row>
    <row r="1648" spans="2:3" x14ac:dyDescent="0.3">
      <c r="B1648" s="126">
        <v>43685</v>
      </c>
      <c r="C1648" s="129">
        <v>15434.73</v>
      </c>
    </row>
    <row r="1649" spans="2:3" x14ac:dyDescent="0.3">
      <c r="B1649" s="126">
        <v>43684</v>
      </c>
      <c r="C1649" s="129">
        <v>15184.34</v>
      </c>
    </row>
    <row r="1650" spans="2:3" x14ac:dyDescent="0.3">
      <c r="B1650" s="126">
        <v>43683</v>
      </c>
      <c r="C1650" s="129">
        <v>15314.03</v>
      </c>
    </row>
    <row r="1651" spans="2:3" x14ac:dyDescent="0.3">
      <c r="B1651" s="126">
        <v>43682</v>
      </c>
      <c r="C1651" s="129">
        <v>15194.27</v>
      </c>
    </row>
    <row r="1652" spans="2:3" x14ac:dyDescent="0.3">
      <c r="B1652" s="126">
        <v>43679</v>
      </c>
      <c r="C1652" s="129">
        <v>15382.73</v>
      </c>
    </row>
    <row r="1653" spans="2:3" x14ac:dyDescent="0.3">
      <c r="B1653" s="126">
        <v>43678</v>
      </c>
      <c r="C1653" s="129">
        <v>15350.83</v>
      </c>
    </row>
    <row r="1654" spans="2:3" x14ac:dyDescent="0.3">
      <c r="B1654" s="126">
        <v>43677</v>
      </c>
      <c r="C1654" s="129">
        <v>15539.43</v>
      </c>
    </row>
    <row r="1655" spans="2:3" x14ac:dyDescent="0.3">
      <c r="B1655" s="126">
        <v>43676</v>
      </c>
      <c r="C1655" s="129">
        <v>15493.33</v>
      </c>
    </row>
    <row r="1656" spans="2:3" x14ac:dyDescent="0.3">
      <c r="B1656" s="126">
        <v>43675</v>
      </c>
      <c r="C1656" s="129">
        <v>15638.42</v>
      </c>
    </row>
    <row r="1657" spans="2:3" x14ac:dyDescent="0.3">
      <c r="B1657" s="126">
        <v>43672</v>
      </c>
      <c r="C1657" s="129">
        <v>15770.63</v>
      </c>
    </row>
    <row r="1658" spans="2:3" x14ac:dyDescent="0.3">
      <c r="B1658" s="126">
        <v>43671</v>
      </c>
      <c r="C1658" s="129">
        <v>15725.6</v>
      </c>
    </row>
    <row r="1659" spans="2:3" x14ac:dyDescent="0.3">
      <c r="B1659" s="126">
        <v>43670</v>
      </c>
      <c r="C1659" s="129">
        <v>15749.37</v>
      </c>
    </row>
    <row r="1660" spans="2:3" x14ac:dyDescent="0.3">
      <c r="B1660" s="126">
        <v>43669</v>
      </c>
      <c r="C1660" s="129">
        <v>15824.55</v>
      </c>
    </row>
    <row r="1661" spans="2:3" x14ac:dyDescent="0.3">
      <c r="B1661" s="126">
        <v>43668</v>
      </c>
      <c r="C1661" s="129">
        <v>15845.74</v>
      </c>
    </row>
    <row r="1662" spans="2:3" x14ac:dyDescent="0.3">
      <c r="B1662" s="126">
        <v>43665</v>
      </c>
      <c r="C1662" s="129">
        <v>15945.55</v>
      </c>
    </row>
    <row r="1663" spans="2:3" x14ac:dyDescent="0.3">
      <c r="B1663" s="126">
        <v>43664</v>
      </c>
      <c r="C1663" s="129">
        <v>16183.16</v>
      </c>
    </row>
    <row r="1664" spans="2:3" x14ac:dyDescent="0.3">
      <c r="B1664" s="126">
        <v>43663</v>
      </c>
      <c r="C1664" s="129">
        <v>16306.82</v>
      </c>
    </row>
    <row r="1665" spans="2:3" x14ac:dyDescent="0.3">
      <c r="B1665" s="126">
        <v>43662</v>
      </c>
      <c r="C1665" s="129">
        <v>16272.08</v>
      </c>
    </row>
    <row r="1666" spans="2:3" x14ac:dyDescent="0.3">
      <c r="B1666" s="126">
        <v>43661</v>
      </c>
      <c r="C1666" s="129">
        <v>16165.28</v>
      </c>
    </row>
    <row r="1667" spans="2:3" x14ac:dyDescent="0.3">
      <c r="B1667" s="126">
        <v>43658</v>
      </c>
      <c r="C1667" s="129">
        <v>16113.75</v>
      </c>
    </row>
    <row r="1668" spans="2:3" x14ac:dyDescent="0.3">
      <c r="B1668" s="126">
        <v>43657</v>
      </c>
      <c r="C1668" s="129">
        <v>16155.78</v>
      </c>
    </row>
    <row r="1669" spans="2:3" x14ac:dyDescent="0.3">
      <c r="B1669" s="126">
        <v>43656</v>
      </c>
      <c r="C1669" s="129">
        <v>16035.44</v>
      </c>
    </row>
    <row r="1670" spans="2:3" x14ac:dyDescent="0.3">
      <c r="B1670" s="126">
        <v>43655</v>
      </c>
      <c r="C1670" s="129">
        <v>16114.46</v>
      </c>
    </row>
    <row r="1671" spans="2:3" x14ac:dyDescent="0.3">
      <c r="B1671" s="126">
        <v>43654</v>
      </c>
      <c r="C1671" s="129">
        <v>16118.27</v>
      </c>
    </row>
    <row r="1672" spans="2:3" x14ac:dyDescent="0.3">
      <c r="B1672" s="126">
        <v>43651</v>
      </c>
      <c r="C1672" s="129">
        <v>16468.990000000002</v>
      </c>
    </row>
    <row r="1673" spans="2:3" x14ac:dyDescent="0.3">
      <c r="B1673" s="126">
        <v>43650</v>
      </c>
      <c r="C1673" s="129">
        <v>16658.04</v>
      </c>
    </row>
    <row r="1674" spans="2:3" x14ac:dyDescent="0.3">
      <c r="B1674" s="126">
        <v>43649</v>
      </c>
      <c r="C1674" s="129">
        <v>16612.16</v>
      </c>
    </row>
    <row r="1675" spans="2:3" x14ac:dyDescent="0.3">
      <c r="B1675" s="126">
        <v>43648</v>
      </c>
      <c r="C1675" s="129">
        <v>16603.169999999998</v>
      </c>
    </row>
    <row r="1676" spans="2:3" x14ac:dyDescent="0.3">
      <c r="B1676" s="126">
        <v>43647</v>
      </c>
      <c r="C1676" s="129">
        <v>16540.88</v>
      </c>
    </row>
    <row r="1677" spans="2:3" x14ac:dyDescent="0.3">
      <c r="B1677" s="126">
        <v>43644</v>
      </c>
      <c r="C1677" s="129">
        <v>16433.849999999999</v>
      </c>
    </row>
    <row r="1678" spans="2:3" x14ac:dyDescent="0.3">
      <c r="B1678" s="126">
        <v>43643</v>
      </c>
      <c r="C1678" s="129">
        <v>16507.34</v>
      </c>
    </row>
    <row r="1679" spans="2:3" x14ac:dyDescent="0.3">
      <c r="B1679" s="126">
        <v>43642</v>
      </c>
      <c r="C1679" s="129">
        <v>16515.68</v>
      </c>
    </row>
    <row r="1680" spans="2:3" x14ac:dyDescent="0.3">
      <c r="B1680" s="126">
        <v>43641</v>
      </c>
      <c r="C1680" s="129">
        <v>16444.46</v>
      </c>
    </row>
    <row r="1681" spans="2:3" x14ac:dyDescent="0.3">
      <c r="B1681" s="126">
        <v>43640</v>
      </c>
      <c r="C1681" s="129">
        <v>16309.52</v>
      </c>
    </row>
    <row r="1682" spans="2:3" x14ac:dyDescent="0.3">
      <c r="B1682" s="126">
        <v>43637</v>
      </c>
      <c r="C1682" s="129">
        <v>16343.59</v>
      </c>
    </row>
    <row r="1683" spans="2:3" x14ac:dyDescent="0.3">
      <c r="B1683" s="126">
        <v>43636</v>
      </c>
      <c r="C1683" s="129">
        <v>16493.650000000001</v>
      </c>
    </row>
    <row r="1684" spans="2:3" x14ac:dyDescent="0.3">
      <c r="B1684" s="126">
        <v>43635</v>
      </c>
      <c r="C1684" s="129">
        <v>16283.94</v>
      </c>
    </row>
    <row r="1685" spans="2:3" x14ac:dyDescent="0.3">
      <c r="B1685" s="126">
        <v>43634</v>
      </c>
      <c r="C1685" s="129">
        <v>16283.98</v>
      </c>
    </row>
    <row r="1686" spans="2:3" x14ac:dyDescent="0.3">
      <c r="B1686" s="126">
        <v>43633</v>
      </c>
      <c r="C1686" s="129">
        <v>16257.06</v>
      </c>
    </row>
    <row r="1687" spans="2:3" x14ac:dyDescent="0.3">
      <c r="B1687" s="126">
        <v>43630</v>
      </c>
      <c r="C1687" s="129">
        <v>16467.55</v>
      </c>
    </row>
    <row r="1688" spans="2:3" x14ac:dyDescent="0.3">
      <c r="B1688" s="126">
        <v>43629</v>
      </c>
      <c r="C1688" s="129">
        <v>16593.97</v>
      </c>
    </row>
    <row r="1689" spans="2:3" x14ac:dyDescent="0.3">
      <c r="B1689" s="126">
        <v>43628</v>
      </c>
      <c r="C1689" s="129">
        <v>16568.09</v>
      </c>
    </row>
    <row r="1690" spans="2:3" x14ac:dyDescent="0.3">
      <c r="B1690" s="126">
        <v>43627</v>
      </c>
      <c r="C1690" s="129">
        <v>16650.75</v>
      </c>
    </row>
    <row r="1691" spans="2:3" x14ac:dyDescent="0.3">
      <c r="B1691" s="126">
        <v>43626</v>
      </c>
      <c r="C1691" s="129">
        <v>16590.990000000002</v>
      </c>
    </row>
    <row r="1692" spans="2:3" x14ac:dyDescent="0.3">
      <c r="B1692" s="126">
        <v>43623</v>
      </c>
      <c r="C1692" s="129">
        <v>16518.62</v>
      </c>
    </row>
    <row r="1693" spans="2:3" x14ac:dyDescent="0.3">
      <c r="B1693" s="126">
        <v>43622</v>
      </c>
      <c r="C1693" s="129">
        <v>16481.14</v>
      </c>
    </row>
    <row r="1694" spans="2:3" x14ac:dyDescent="0.3">
      <c r="B1694" s="126">
        <v>43620</v>
      </c>
      <c r="C1694" s="129">
        <v>16728.740000000002</v>
      </c>
    </row>
    <row r="1695" spans="2:3" x14ac:dyDescent="0.3">
      <c r="B1695" s="126">
        <v>43619</v>
      </c>
      <c r="C1695" s="129">
        <v>16815.25</v>
      </c>
    </row>
    <row r="1696" spans="2:3" x14ac:dyDescent="0.3">
      <c r="B1696" s="126">
        <v>43616</v>
      </c>
      <c r="C1696" s="129">
        <v>16583.46</v>
      </c>
    </row>
    <row r="1697" spans="2:3" x14ac:dyDescent="0.3">
      <c r="B1697" s="126">
        <v>43615</v>
      </c>
      <c r="C1697" s="129">
        <v>16615.59</v>
      </c>
    </row>
    <row r="1698" spans="2:3" x14ac:dyDescent="0.3">
      <c r="B1698" s="126">
        <v>43614</v>
      </c>
      <c r="C1698" s="129">
        <v>16497.62</v>
      </c>
    </row>
    <row r="1699" spans="2:3" x14ac:dyDescent="0.3">
      <c r="B1699" s="126">
        <v>43613</v>
      </c>
      <c r="C1699" s="129">
        <v>16591.7</v>
      </c>
    </row>
    <row r="1700" spans="2:3" x14ac:dyDescent="0.3">
      <c r="B1700" s="126">
        <v>43612</v>
      </c>
      <c r="C1700" s="129">
        <v>16585.13</v>
      </c>
    </row>
    <row r="1701" spans="2:3" x14ac:dyDescent="0.3">
      <c r="B1701" s="126">
        <v>43609</v>
      </c>
      <c r="C1701" s="129">
        <v>16472.95</v>
      </c>
    </row>
    <row r="1702" spans="2:3" x14ac:dyDescent="0.3">
      <c r="B1702" s="126">
        <v>43608</v>
      </c>
      <c r="C1702" s="129">
        <v>16212.78</v>
      </c>
    </row>
    <row r="1703" spans="2:3" x14ac:dyDescent="0.3">
      <c r="B1703" s="126">
        <v>43607</v>
      </c>
      <c r="C1703" s="129">
        <v>16325.28</v>
      </c>
    </row>
    <row r="1704" spans="2:3" x14ac:dyDescent="0.3">
      <c r="B1704" s="126">
        <v>43606</v>
      </c>
      <c r="C1704" s="129">
        <v>16268.26</v>
      </c>
    </row>
    <row r="1705" spans="2:3" x14ac:dyDescent="0.3">
      <c r="B1705" s="126">
        <v>43605</v>
      </c>
      <c r="C1705" s="129">
        <v>16433.77</v>
      </c>
    </row>
    <row r="1706" spans="2:3" x14ac:dyDescent="0.3">
      <c r="B1706" s="126">
        <v>43602</v>
      </c>
      <c r="C1706" s="129">
        <v>15848.71</v>
      </c>
    </row>
    <row r="1707" spans="2:3" x14ac:dyDescent="0.3">
      <c r="B1707" s="126">
        <v>43601</v>
      </c>
      <c r="C1707" s="129">
        <v>15640.22</v>
      </c>
    </row>
    <row r="1708" spans="2:3" x14ac:dyDescent="0.3">
      <c r="B1708" s="126">
        <v>43600</v>
      </c>
      <c r="C1708" s="129">
        <v>15500.82</v>
      </c>
    </row>
    <row r="1709" spans="2:3" x14ac:dyDescent="0.3">
      <c r="B1709" s="126">
        <v>43599</v>
      </c>
      <c r="C1709" s="129">
        <v>15591.19</v>
      </c>
    </row>
    <row r="1710" spans="2:3" x14ac:dyDescent="0.3">
      <c r="B1710" s="126">
        <v>43598</v>
      </c>
      <c r="C1710" s="129">
        <v>15488.6</v>
      </c>
    </row>
    <row r="1711" spans="2:3" x14ac:dyDescent="0.3">
      <c r="B1711" s="126">
        <v>43595</v>
      </c>
      <c r="C1711" s="129">
        <v>15670.18</v>
      </c>
    </row>
    <row r="1712" spans="2:3" x14ac:dyDescent="0.3">
      <c r="B1712" s="126">
        <v>43594</v>
      </c>
      <c r="C1712" s="129">
        <v>15701.95</v>
      </c>
    </row>
    <row r="1713" spans="2:3" x14ac:dyDescent="0.3">
      <c r="B1713" s="126">
        <v>43593</v>
      </c>
      <c r="C1713" s="129">
        <v>15782.09</v>
      </c>
    </row>
    <row r="1714" spans="2:3" x14ac:dyDescent="0.3">
      <c r="B1714" s="126">
        <v>43592</v>
      </c>
      <c r="C1714" s="129">
        <v>15974.41</v>
      </c>
    </row>
    <row r="1715" spans="2:3" x14ac:dyDescent="0.3">
      <c r="B1715" s="126">
        <v>43591</v>
      </c>
      <c r="C1715" s="129">
        <v>16110.44</v>
      </c>
    </row>
    <row r="1716" spans="2:3" x14ac:dyDescent="0.3">
      <c r="B1716" s="126">
        <v>43588</v>
      </c>
      <c r="C1716" s="129">
        <v>16268.79</v>
      </c>
    </row>
    <row r="1717" spans="2:3" x14ac:dyDescent="0.3">
      <c r="B1717" s="126">
        <v>43587</v>
      </c>
      <c r="C1717" s="129">
        <v>16286.18</v>
      </c>
    </row>
    <row r="1718" spans="2:3" x14ac:dyDescent="0.3">
      <c r="B1718" s="126">
        <v>43585</v>
      </c>
      <c r="C1718" s="129">
        <v>16318.66</v>
      </c>
    </row>
    <row r="1719" spans="2:3" x14ac:dyDescent="0.3">
      <c r="B1719" s="126">
        <v>43581</v>
      </c>
      <c r="C1719" s="129">
        <v>16327.7</v>
      </c>
    </row>
    <row r="1720" spans="2:3" x14ac:dyDescent="0.3">
      <c r="B1720" s="126">
        <v>43580</v>
      </c>
      <c r="C1720" s="129">
        <v>16170.98</v>
      </c>
    </row>
    <row r="1721" spans="2:3" x14ac:dyDescent="0.3">
      <c r="B1721" s="126">
        <v>43579</v>
      </c>
      <c r="C1721" s="129">
        <v>16288.16</v>
      </c>
    </row>
    <row r="1722" spans="2:3" x14ac:dyDescent="0.3">
      <c r="B1722" s="126">
        <v>43578</v>
      </c>
      <c r="C1722" s="129">
        <v>16079.51</v>
      </c>
    </row>
    <row r="1723" spans="2:3" x14ac:dyDescent="0.3">
      <c r="B1723" s="126">
        <v>43577</v>
      </c>
      <c r="C1723" s="129">
        <v>16105.19</v>
      </c>
    </row>
    <row r="1724" spans="2:3" x14ac:dyDescent="0.3">
      <c r="B1724" s="126">
        <v>43573</v>
      </c>
      <c r="C1724" s="129">
        <v>16325.13</v>
      </c>
    </row>
    <row r="1725" spans="2:3" x14ac:dyDescent="0.3">
      <c r="B1725" s="126">
        <v>43571</v>
      </c>
      <c r="C1725" s="129">
        <v>16372.86</v>
      </c>
    </row>
    <row r="1726" spans="2:3" x14ac:dyDescent="0.3">
      <c r="B1726" s="126">
        <v>43570</v>
      </c>
      <c r="C1726" s="129">
        <v>16238.41</v>
      </c>
    </row>
    <row r="1727" spans="2:3" x14ac:dyDescent="0.3">
      <c r="B1727" s="126">
        <v>43567</v>
      </c>
      <c r="C1727" s="129">
        <v>16173.27</v>
      </c>
    </row>
    <row r="1728" spans="2:3" x14ac:dyDescent="0.3">
      <c r="B1728" s="126">
        <v>43566</v>
      </c>
      <c r="C1728" s="129">
        <v>16108.32</v>
      </c>
    </row>
    <row r="1729" spans="2:3" x14ac:dyDescent="0.3">
      <c r="B1729" s="126">
        <v>43565</v>
      </c>
      <c r="C1729" s="129">
        <v>16091.08</v>
      </c>
    </row>
    <row r="1730" spans="2:3" x14ac:dyDescent="0.3">
      <c r="B1730" s="126">
        <v>43564</v>
      </c>
      <c r="C1730" s="129">
        <v>16212.81</v>
      </c>
    </row>
    <row r="1731" spans="2:3" x14ac:dyDescent="0.3">
      <c r="B1731" s="126">
        <v>43563</v>
      </c>
      <c r="C1731" s="129">
        <v>16119.14</v>
      </c>
    </row>
    <row r="1732" spans="2:3" x14ac:dyDescent="0.3">
      <c r="B1732" s="126">
        <v>43560</v>
      </c>
      <c r="C1732" s="129">
        <v>16204.48</v>
      </c>
    </row>
    <row r="1733" spans="2:3" x14ac:dyDescent="0.3">
      <c r="B1733" s="126">
        <v>43559</v>
      </c>
      <c r="C1733" s="129">
        <v>16110.09</v>
      </c>
    </row>
    <row r="1734" spans="2:3" x14ac:dyDescent="0.3">
      <c r="B1734" s="126">
        <v>43558</v>
      </c>
      <c r="C1734" s="129">
        <v>16173.92</v>
      </c>
    </row>
    <row r="1735" spans="2:3" x14ac:dyDescent="0.3">
      <c r="B1735" s="126">
        <v>43557</v>
      </c>
      <c r="C1735" s="129">
        <v>16270.13</v>
      </c>
    </row>
    <row r="1736" spans="2:3" x14ac:dyDescent="0.3">
      <c r="B1736" s="126">
        <v>43556</v>
      </c>
      <c r="C1736" s="129">
        <v>16208.94</v>
      </c>
    </row>
    <row r="1737" spans="2:3" x14ac:dyDescent="0.3">
      <c r="B1737" s="126">
        <v>43553</v>
      </c>
      <c r="C1737" s="129">
        <v>16146.11</v>
      </c>
    </row>
    <row r="1738" spans="2:3" x14ac:dyDescent="0.3">
      <c r="B1738" s="126">
        <v>43552</v>
      </c>
      <c r="C1738" s="129">
        <v>16071.26</v>
      </c>
    </row>
    <row r="1739" spans="2:3" x14ac:dyDescent="0.3">
      <c r="B1739" s="126">
        <v>43551</v>
      </c>
      <c r="C1739" s="129">
        <v>15897.65</v>
      </c>
    </row>
    <row r="1740" spans="2:3" x14ac:dyDescent="0.3">
      <c r="B1740" s="126">
        <v>43550</v>
      </c>
      <c r="C1740" s="129">
        <v>15949.46</v>
      </c>
    </row>
    <row r="1741" spans="2:3" x14ac:dyDescent="0.3">
      <c r="B1741" s="126">
        <v>43549</v>
      </c>
      <c r="C1741" s="129">
        <v>15770.26</v>
      </c>
    </row>
    <row r="1742" spans="2:3" x14ac:dyDescent="0.3">
      <c r="B1742" s="126">
        <v>43546</v>
      </c>
      <c r="C1742" s="129">
        <v>15912.88</v>
      </c>
    </row>
    <row r="1743" spans="2:3" x14ac:dyDescent="0.3">
      <c r="B1743" s="126">
        <v>43544</v>
      </c>
      <c r="C1743" s="129">
        <v>15998.51</v>
      </c>
    </row>
    <row r="1744" spans="2:3" x14ac:dyDescent="0.3">
      <c r="B1744" s="126">
        <v>43543</v>
      </c>
      <c r="C1744" s="129">
        <v>16014.33</v>
      </c>
    </row>
    <row r="1745" spans="2:3" x14ac:dyDescent="0.3">
      <c r="B1745" s="126">
        <v>43542</v>
      </c>
      <c r="C1745" s="129">
        <v>15916.8</v>
      </c>
    </row>
    <row r="1746" spans="2:3" x14ac:dyDescent="0.3">
      <c r="B1746" s="126">
        <v>43539</v>
      </c>
      <c r="C1746" s="129">
        <v>15867.74</v>
      </c>
    </row>
    <row r="1747" spans="2:3" x14ac:dyDescent="0.3">
      <c r="B1747" s="126">
        <v>43538</v>
      </c>
      <c r="C1747" s="129">
        <v>15749.67</v>
      </c>
    </row>
    <row r="1748" spans="2:3" x14ac:dyDescent="0.3">
      <c r="B1748" s="126">
        <v>43537</v>
      </c>
      <c r="C1748" s="129">
        <v>15742.86</v>
      </c>
    </row>
    <row r="1749" spans="2:3" x14ac:dyDescent="0.3">
      <c r="B1749" s="126">
        <v>43536</v>
      </c>
      <c r="C1749" s="129">
        <v>15685.41</v>
      </c>
    </row>
    <row r="1750" spans="2:3" x14ac:dyDescent="0.3">
      <c r="B1750" s="126">
        <v>43535</v>
      </c>
      <c r="C1750" s="129">
        <v>15500.61</v>
      </c>
    </row>
    <row r="1751" spans="2:3" x14ac:dyDescent="0.3">
      <c r="B1751" s="126">
        <v>43532</v>
      </c>
      <c r="C1751" s="129">
        <v>15316.51</v>
      </c>
    </row>
    <row r="1752" spans="2:3" x14ac:dyDescent="0.3">
      <c r="B1752" s="126">
        <v>43531</v>
      </c>
      <c r="C1752" s="129">
        <v>15348.14</v>
      </c>
    </row>
    <row r="1753" spans="2:3" x14ac:dyDescent="0.3">
      <c r="B1753" s="126">
        <v>43530</v>
      </c>
      <c r="C1753" s="129">
        <v>15340.93</v>
      </c>
    </row>
    <row r="1754" spans="2:3" x14ac:dyDescent="0.3">
      <c r="B1754" s="126">
        <v>43529</v>
      </c>
      <c r="C1754" s="129">
        <v>15249.97</v>
      </c>
    </row>
    <row r="1755" spans="2:3" x14ac:dyDescent="0.3">
      <c r="B1755" s="126">
        <v>43525</v>
      </c>
      <c r="C1755" s="129">
        <v>15077.91</v>
      </c>
    </row>
    <row r="1756" spans="2:3" x14ac:dyDescent="0.3">
      <c r="B1756" s="126">
        <v>43524</v>
      </c>
      <c r="C1756" s="129">
        <v>14979.39</v>
      </c>
    </row>
    <row r="1757" spans="2:3" x14ac:dyDescent="0.3">
      <c r="B1757" s="126">
        <v>43523</v>
      </c>
      <c r="C1757" s="129">
        <v>14993.45</v>
      </c>
    </row>
    <row r="1758" spans="2:3" x14ac:dyDescent="0.3">
      <c r="B1758" s="126">
        <v>43522</v>
      </c>
      <c r="C1758" s="129">
        <v>15033.15</v>
      </c>
    </row>
    <row r="1759" spans="2:3" x14ac:dyDescent="0.3">
      <c r="B1759" s="126">
        <v>43521</v>
      </c>
      <c r="C1759" s="129">
        <v>15095.33</v>
      </c>
    </row>
    <row r="1760" spans="2:3" x14ac:dyDescent="0.3">
      <c r="B1760" s="126">
        <v>43518</v>
      </c>
      <c r="C1760" s="129">
        <v>14972.58</v>
      </c>
    </row>
    <row r="1761" spans="2:3" x14ac:dyDescent="0.3">
      <c r="B1761" s="126">
        <v>43517</v>
      </c>
      <c r="C1761" s="129">
        <v>14970.12</v>
      </c>
    </row>
    <row r="1762" spans="2:3" x14ac:dyDescent="0.3">
      <c r="B1762" s="126">
        <v>43516</v>
      </c>
      <c r="C1762" s="129">
        <v>14891.6</v>
      </c>
    </row>
    <row r="1763" spans="2:3" x14ac:dyDescent="0.3">
      <c r="B1763" s="126">
        <v>43515</v>
      </c>
      <c r="C1763" s="129">
        <v>14709.75</v>
      </c>
    </row>
    <row r="1764" spans="2:3" x14ac:dyDescent="0.3">
      <c r="B1764" s="126">
        <v>43514</v>
      </c>
      <c r="C1764" s="129">
        <v>14760.48</v>
      </c>
    </row>
    <row r="1765" spans="2:3" x14ac:dyDescent="0.3">
      <c r="B1765" s="126">
        <v>43511</v>
      </c>
      <c r="C1765" s="129">
        <v>14876.27</v>
      </c>
    </row>
    <row r="1766" spans="2:3" x14ac:dyDescent="0.3">
      <c r="B1766" s="126">
        <v>43510</v>
      </c>
      <c r="C1766" s="129">
        <v>14906.26</v>
      </c>
    </row>
    <row r="1767" spans="2:3" x14ac:dyDescent="0.3">
      <c r="B1767" s="126">
        <v>43509</v>
      </c>
      <c r="C1767" s="129">
        <v>14970.62</v>
      </c>
    </row>
    <row r="1768" spans="2:3" x14ac:dyDescent="0.3">
      <c r="B1768" s="126">
        <v>43508</v>
      </c>
      <c r="C1768" s="129">
        <v>15023.02</v>
      </c>
    </row>
    <row r="1769" spans="2:3" x14ac:dyDescent="0.3">
      <c r="B1769" s="126">
        <v>43507</v>
      </c>
      <c r="C1769" s="129">
        <v>15100.61</v>
      </c>
    </row>
    <row r="1770" spans="2:3" x14ac:dyDescent="0.3">
      <c r="B1770" s="126">
        <v>43504</v>
      </c>
      <c r="C1770" s="129">
        <v>15173.02</v>
      </c>
    </row>
    <row r="1771" spans="2:3" x14ac:dyDescent="0.3">
      <c r="B1771" s="126">
        <v>43503</v>
      </c>
      <c r="C1771" s="129">
        <v>15347.41</v>
      </c>
    </row>
    <row r="1772" spans="2:3" x14ac:dyDescent="0.3">
      <c r="B1772" s="126">
        <v>43502</v>
      </c>
      <c r="C1772" s="129">
        <v>15337.8</v>
      </c>
    </row>
    <row r="1773" spans="2:3" x14ac:dyDescent="0.3">
      <c r="B1773" s="126">
        <v>43501</v>
      </c>
      <c r="C1773" s="129">
        <v>15155.99</v>
      </c>
    </row>
    <row r="1774" spans="2:3" x14ac:dyDescent="0.3">
      <c r="B1774" s="126">
        <v>43500</v>
      </c>
      <c r="C1774" s="129">
        <v>15125.02</v>
      </c>
    </row>
    <row r="1775" spans="2:3" x14ac:dyDescent="0.3">
      <c r="B1775" s="126">
        <v>43497</v>
      </c>
      <c r="C1775" s="129">
        <v>15099.21</v>
      </c>
    </row>
    <row r="1776" spans="2:3" x14ac:dyDescent="0.3">
      <c r="B1776" s="126">
        <v>43496</v>
      </c>
      <c r="C1776" s="129">
        <v>15012.34</v>
      </c>
    </row>
    <row r="1777" spans="2:3" x14ac:dyDescent="0.3">
      <c r="B1777" s="126">
        <v>43495</v>
      </c>
      <c r="C1777" s="129">
        <v>14764.02</v>
      </c>
    </row>
    <row r="1778" spans="2:3" x14ac:dyDescent="0.3">
      <c r="B1778" s="126">
        <v>43494</v>
      </c>
      <c r="C1778" s="129">
        <v>14764.59</v>
      </c>
    </row>
    <row r="1779" spans="2:3" x14ac:dyDescent="0.3">
      <c r="B1779" s="126">
        <v>43493</v>
      </c>
      <c r="C1779" s="129">
        <v>14777.11</v>
      </c>
    </row>
    <row r="1780" spans="2:3" x14ac:dyDescent="0.3">
      <c r="B1780" s="126">
        <v>43490</v>
      </c>
      <c r="C1780" s="129">
        <v>14942.09</v>
      </c>
    </row>
    <row r="1781" spans="2:3" x14ac:dyDescent="0.3">
      <c r="B1781" s="126">
        <v>43489</v>
      </c>
      <c r="C1781" s="129">
        <v>15038.07</v>
      </c>
    </row>
    <row r="1782" spans="2:3" x14ac:dyDescent="0.3">
      <c r="B1782" s="126">
        <v>43488</v>
      </c>
      <c r="C1782" s="129">
        <v>15007.4</v>
      </c>
    </row>
    <row r="1783" spans="2:3" x14ac:dyDescent="0.3">
      <c r="B1783" s="126">
        <v>43487</v>
      </c>
      <c r="C1783" s="129">
        <v>15133.83</v>
      </c>
    </row>
    <row r="1784" spans="2:3" x14ac:dyDescent="0.3">
      <c r="B1784" s="126">
        <v>43486</v>
      </c>
      <c r="C1784" s="129">
        <v>15188</v>
      </c>
    </row>
    <row r="1785" spans="2:3" x14ac:dyDescent="0.3">
      <c r="B1785" s="126">
        <v>43483</v>
      </c>
      <c r="C1785" s="129">
        <v>15111.95</v>
      </c>
    </row>
    <row r="1786" spans="2:3" x14ac:dyDescent="0.3">
      <c r="B1786" s="126">
        <v>43482</v>
      </c>
      <c r="C1786" s="129">
        <v>15109.54</v>
      </c>
    </row>
    <row r="1787" spans="2:3" x14ac:dyDescent="0.3">
      <c r="B1787" s="126">
        <v>43481</v>
      </c>
      <c r="C1787" s="129">
        <v>15087.41</v>
      </c>
    </row>
    <row r="1788" spans="2:3" x14ac:dyDescent="0.3">
      <c r="B1788" s="126">
        <v>43480</v>
      </c>
      <c r="C1788" s="129">
        <v>15082.59</v>
      </c>
    </row>
    <row r="1789" spans="2:3" x14ac:dyDescent="0.3">
      <c r="B1789" s="126">
        <v>43479</v>
      </c>
      <c r="C1789" s="129">
        <v>14875.92</v>
      </c>
    </row>
    <row r="1790" spans="2:3" x14ac:dyDescent="0.3">
      <c r="B1790" s="126">
        <v>43476</v>
      </c>
      <c r="C1790" s="129">
        <v>14955.33</v>
      </c>
    </row>
    <row r="1791" spans="2:3" x14ac:dyDescent="0.3">
      <c r="B1791" s="126">
        <v>43475</v>
      </c>
      <c r="C1791" s="129">
        <v>14992.23</v>
      </c>
    </row>
    <row r="1792" spans="2:3" x14ac:dyDescent="0.3">
      <c r="B1792" s="126">
        <v>43474</v>
      </c>
      <c r="C1792" s="129">
        <v>15038.74</v>
      </c>
    </row>
    <row r="1793" spans="2:3" x14ac:dyDescent="0.3">
      <c r="B1793" s="126">
        <v>43473</v>
      </c>
      <c r="C1793" s="129">
        <v>14965.34</v>
      </c>
    </row>
    <row r="1794" spans="2:3" x14ac:dyDescent="0.3">
      <c r="B1794" s="126">
        <v>43472</v>
      </c>
      <c r="C1794" s="129">
        <v>14923.27</v>
      </c>
    </row>
    <row r="1795" spans="2:3" x14ac:dyDescent="0.3">
      <c r="B1795" s="126">
        <v>43469</v>
      </c>
      <c r="C1795" s="129">
        <v>14861.69</v>
      </c>
    </row>
    <row r="1796" spans="2:3" x14ac:dyDescent="0.3">
      <c r="B1796" s="126">
        <v>43468</v>
      </c>
      <c r="C1796" s="129">
        <v>14785.38</v>
      </c>
    </row>
    <row r="1797" spans="2:3" x14ac:dyDescent="0.3">
      <c r="B1797" s="126">
        <v>43467</v>
      </c>
      <c r="C1797" s="129">
        <v>14951.96</v>
      </c>
    </row>
    <row r="1798" spans="2:3" x14ac:dyDescent="0.3">
      <c r="B1798" s="126">
        <v>43466</v>
      </c>
      <c r="C1798" s="129">
        <v>15114.9</v>
      </c>
    </row>
    <row r="1799" spans="2:3" x14ac:dyDescent="0.3">
      <c r="B1799" s="126">
        <v>43465</v>
      </c>
      <c r="C1799" s="129">
        <v>15048.98</v>
      </c>
    </row>
    <row r="1800" spans="2:3" x14ac:dyDescent="0.3">
      <c r="B1800" s="126">
        <v>43462</v>
      </c>
      <c r="C1800" s="129">
        <v>15045.34</v>
      </c>
    </row>
    <row r="1801" spans="2:3" x14ac:dyDescent="0.3">
      <c r="B1801" s="126">
        <v>43461</v>
      </c>
      <c r="C1801" s="129">
        <v>14930.18</v>
      </c>
    </row>
    <row r="1802" spans="2:3" x14ac:dyDescent="0.3">
      <c r="B1802" s="126">
        <v>43460</v>
      </c>
      <c r="C1802" s="129">
        <v>14860.97</v>
      </c>
    </row>
    <row r="1803" spans="2:3" x14ac:dyDescent="0.3">
      <c r="B1803" s="126">
        <v>43458</v>
      </c>
      <c r="C1803" s="129">
        <v>14769.13</v>
      </c>
    </row>
    <row r="1804" spans="2:3" x14ac:dyDescent="0.3">
      <c r="B1804" s="126">
        <v>43455</v>
      </c>
      <c r="C1804" s="129">
        <v>14894.42</v>
      </c>
    </row>
    <row r="1805" spans="2:3" x14ac:dyDescent="0.3">
      <c r="B1805" s="126">
        <v>43454</v>
      </c>
      <c r="C1805" s="129">
        <v>15163.14</v>
      </c>
    </row>
    <row r="1806" spans="2:3" x14ac:dyDescent="0.3">
      <c r="B1806" s="126">
        <v>43453</v>
      </c>
      <c r="C1806" s="129">
        <v>15184.78</v>
      </c>
    </row>
    <row r="1807" spans="2:3" x14ac:dyDescent="0.3">
      <c r="B1807" s="126">
        <v>43452</v>
      </c>
      <c r="C1807" s="129">
        <v>15103.63</v>
      </c>
    </row>
    <row r="1808" spans="2:3" x14ac:dyDescent="0.3">
      <c r="B1808" s="126">
        <v>43451</v>
      </c>
      <c r="C1808" s="129">
        <v>15075.46</v>
      </c>
    </row>
    <row r="1809" spans="2:3" x14ac:dyDescent="0.3">
      <c r="B1809" s="126">
        <v>43448</v>
      </c>
      <c r="C1809" s="129">
        <v>14960.64</v>
      </c>
    </row>
    <row r="1810" spans="2:3" x14ac:dyDescent="0.3">
      <c r="B1810" s="126">
        <v>43447</v>
      </c>
      <c r="C1810" s="129">
        <v>14941.4</v>
      </c>
    </row>
    <row r="1811" spans="2:3" x14ac:dyDescent="0.3">
      <c r="B1811" s="126">
        <v>43446</v>
      </c>
      <c r="C1811" s="129">
        <v>14866.71</v>
      </c>
    </row>
    <row r="1812" spans="2:3" x14ac:dyDescent="0.3">
      <c r="B1812" s="126">
        <v>43445</v>
      </c>
      <c r="C1812" s="129">
        <v>14605.79</v>
      </c>
    </row>
    <row r="1813" spans="2:3" x14ac:dyDescent="0.3">
      <c r="B1813" s="126">
        <v>43444</v>
      </c>
      <c r="C1813" s="129">
        <v>14521.73</v>
      </c>
    </row>
    <row r="1814" spans="2:3" x14ac:dyDescent="0.3">
      <c r="B1814" s="126">
        <v>43441</v>
      </c>
      <c r="C1814" s="129">
        <v>14805.93</v>
      </c>
    </row>
    <row r="1815" spans="2:3" x14ac:dyDescent="0.3">
      <c r="B1815" s="126">
        <v>43440</v>
      </c>
      <c r="C1815" s="129">
        <v>14677.79</v>
      </c>
    </row>
    <row r="1816" spans="2:3" x14ac:dyDescent="0.3">
      <c r="B1816" s="126">
        <v>43439</v>
      </c>
      <c r="C1816" s="129">
        <v>14929.43</v>
      </c>
    </row>
    <row r="1817" spans="2:3" x14ac:dyDescent="0.3">
      <c r="B1817" s="126">
        <v>43438</v>
      </c>
      <c r="C1817" s="129">
        <v>15049.32</v>
      </c>
    </row>
    <row r="1818" spans="2:3" x14ac:dyDescent="0.3">
      <c r="B1818" s="126">
        <v>43437</v>
      </c>
      <c r="C1818" s="129">
        <v>15069.07</v>
      </c>
    </row>
    <row r="1819" spans="2:3" x14ac:dyDescent="0.3">
      <c r="B1819" s="126">
        <v>43434</v>
      </c>
      <c r="C1819" s="129">
        <v>15059.37</v>
      </c>
    </row>
    <row r="1820" spans="2:3" x14ac:dyDescent="0.3">
      <c r="B1820" s="126">
        <v>43433</v>
      </c>
      <c r="C1820" s="129">
        <v>15034.36</v>
      </c>
    </row>
    <row r="1821" spans="2:3" x14ac:dyDescent="0.3">
      <c r="B1821" s="126">
        <v>43432</v>
      </c>
      <c r="C1821" s="129">
        <v>14854.61</v>
      </c>
    </row>
    <row r="1822" spans="2:3" x14ac:dyDescent="0.3">
      <c r="B1822" s="126">
        <v>43431</v>
      </c>
      <c r="C1822" s="129">
        <v>14794.7</v>
      </c>
    </row>
    <row r="1823" spans="2:3" x14ac:dyDescent="0.3">
      <c r="B1823" s="126">
        <v>43430</v>
      </c>
      <c r="C1823" s="129">
        <v>14715.81</v>
      </c>
    </row>
    <row r="1824" spans="2:3" x14ac:dyDescent="0.3">
      <c r="B1824" s="126">
        <v>43426</v>
      </c>
      <c r="C1824" s="129">
        <v>14574.82</v>
      </c>
    </row>
    <row r="1825" spans="2:3" x14ac:dyDescent="0.3">
      <c r="B1825" s="126">
        <v>43425</v>
      </c>
      <c r="C1825" s="129">
        <v>14676.29</v>
      </c>
    </row>
    <row r="1826" spans="2:3" x14ac:dyDescent="0.3">
      <c r="B1826" s="126">
        <v>43424</v>
      </c>
      <c r="C1826" s="129">
        <v>14754.03</v>
      </c>
    </row>
    <row r="1827" spans="2:3" x14ac:dyDescent="0.3">
      <c r="B1827" s="126">
        <v>43423</v>
      </c>
      <c r="C1827" s="129">
        <v>14902.44</v>
      </c>
    </row>
    <row r="1828" spans="2:3" x14ac:dyDescent="0.3">
      <c r="B1828" s="126">
        <v>43420</v>
      </c>
      <c r="C1828" s="129">
        <v>14790.05</v>
      </c>
    </row>
    <row r="1829" spans="2:3" x14ac:dyDescent="0.3">
      <c r="B1829" s="126">
        <v>43419</v>
      </c>
      <c r="C1829" s="129">
        <v>14699.33</v>
      </c>
    </row>
    <row r="1830" spans="2:3" x14ac:dyDescent="0.3">
      <c r="B1830" s="126">
        <v>43418</v>
      </c>
      <c r="C1830" s="129">
        <v>14643.42</v>
      </c>
    </row>
    <row r="1831" spans="2:3" x14ac:dyDescent="0.3">
      <c r="B1831" s="126">
        <v>43417</v>
      </c>
      <c r="C1831" s="129">
        <v>14651.98</v>
      </c>
    </row>
    <row r="1832" spans="2:3" x14ac:dyDescent="0.3">
      <c r="B1832" s="126">
        <v>43416</v>
      </c>
      <c r="C1832" s="129">
        <v>14513.12</v>
      </c>
    </row>
    <row r="1833" spans="2:3" x14ac:dyDescent="0.3">
      <c r="B1833" s="126">
        <v>43413</v>
      </c>
      <c r="C1833" s="129">
        <v>14655.69</v>
      </c>
    </row>
    <row r="1834" spans="2:3" x14ac:dyDescent="0.3">
      <c r="B1834" s="126">
        <v>43411</v>
      </c>
      <c r="C1834" s="129">
        <v>14673.98</v>
      </c>
    </row>
    <row r="1835" spans="2:3" x14ac:dyDescent="0.3">
      <c r="B1835" s="126">
        <v>43410</v>
      </c>
      <c r="C1835" s="129">
        <v>14579.28</v>
      </c>
    </row>
    <row r="1836" spans="2:3" x14ac:dyDescent="0.3">
      <c r="B1836" s="126">
        <v>43409</v>
      </c>
      <c r="C1836" s="129">
        <v>14570.98</v>
      </c>
    </row>
    <row r="1837" spans="2:3" x14ac:dyDescent="0.3">
      <c r="B1837" s="126">
        <v>43406</v>
      </c>
      <c r="C1837" s="129">
        <v>14609.96</v>
      </c>
    </row>
    <row r="1838" spans="2:3" x14ac:dyDescent="0.3">
      <c r="B1838" s="126">
        <v>43405</v>
      </c>
      <c r="C1838" s="129">
        <v>14371.1</v>
      </c>
    </row>
    <row r="1839" spans="2:3" x14ac:dyDescent="0.3">
      <c r="B1839" s="126">
        <v>43404</v>
      </c>
      <c r="C1839" s="129">
        <v>14377.38</v>
      </c>
    </row>
    <row r="1840" spans="2:3" x14ac:dyDescent="0.3">
      <c r="B1840" s="126">
        <v>43403</v>
      </c>
      <c r="C1840" s="129">
        <v>14116.91</v>
      </c>
    </row>
    <row r="1841" spans="2:3" x14ac:dyDescent="0.3">
      <c r="B1841" s="126">
        <v>43402</v>
      </c>
      <c r="C1841" s="129">
        <v>14189.11</v>
      </c>
    </row>
    <row r="1842" spans="2:3" x14ac:dyDescent="0.3">
      <c r="B1842" s="126">
        <v>43399</v>
      </c>
      <c r="C1842" s="129">
        <v>13882.95</v>
      </c>
    </row>
    <row r="1843" spans="2:3" x14ac:dyDescent="0.3">
      <c r="B1843" s="126">
        <v>43398</v>
      </c>
      <c r="C1843" s="129">
        <v>14014.33</v>
      </c>
    </row>
    <row r="1844" spans="2:3" x14ac:dyDescent="0.3">
      <c r="B1844" s="126">
        <v>43397</v>
      </c>
      <c r="C1844" s="129">
        <v>14139.75</v>
      </c>
    </row>
    <row r="1845" spans="2:3" x14ac:dyDescent="0.3">
      <c r="B1845" s="126">
        <v>43396</v>
      </c>
      <c r="C1845" s="129">
        <v>14031.96</v>
      </c>
    </row>
    <row r="1846" spans="2:3" x14ac:dyDescent="0.3">
      <c r="B1846" s="126">
        <v>43395</v>
      </c>
      <c r="C1846" s="129">
        <v>14166.64</v>
      </c>
    </row>
    <row r="1847" spans="2:3" x14ac:dyDescent="0.3">
      <c r="B1847" s="126">
        <v>43392</v>
      </c>
      <c r="C1847" s="129">
        <v>14247.22</v>
      </c>
    </row>
    <row r="1848" spans="2:3" x14ac:dyDescent="0.3">
      <c r="B1848" s="126">
        <v>43390</v>
      </c>
      <c r="C1848" s="129">
        <v>14453.94</v>
      </c>
    </row>
    <row r="1849" spans="2:3" x14ac:dyDescent="0.3">
      <c r="B1849" s="126">
        <v>43389</v>
      </c>
      <c r="C1849" s="129">
        <v>14636.1</v>
      </c>
    </row>
    <row r="1850" spans="2:3" x14ac:dyDescent="0.3">
      <c r="B1850" s="126">
        <v>43388</v>
      </c>
      <c r="C1850" s="129">
        <v>14536.17</v>
      </c>
    </row>
    <row r="1851" spans="2:3" x14ac:dyDescent="0.3">
      <c r="B1851" s="126">
        <v>43385</v>
      </c>
      <c r="C1851" s="129">
        <v>14480.86</v>
      </c>
    </row>
    <row r="1852" spans="2:3" x14ac:dyDescent="0.3">
      <c r="B1852" s="126">
        <v>43384</v>
      </c>
      <c r="C1852" s="129">
        <v>14152</v>
      </c>
    </row>
    <row r="1853" spans="2:3" x14ac:dyDescent="0.3">
      <c r="B1853" s="126">
        <v>43383</v>
      </c>
      <c r="C1853" s="129">
        <v>14463.71</v>
      </c>
    </row>
    <row r="1854" spans="2:3" x14ac:dyDescent="0.3">
      <c r="B1854" s="126">
        <v>43382</v>
      </c>
      <c r="C1854" s="129">
        <v>14243.79</v>
      </c>
    </row>
    <row r="1855" spans="2:3" x14ac:dyDescent="0.3">
      <c r="B1855" s="126">
        <v>43381</v>
      </c>
      <c r="C1855" s="129">
        <v>14308.79</v>
      </c>
    </row>
    <row r="1856" spans="2:3" x14ac:dyDescent="0.3">
      <c r="B1856" s="126">
        <v>43378</v>
      </c>
      <c r="C1856" s="129">
        <v>14265.08</v>
      </c>
    </row>
    <row r="1857" spans="2:3" x14ac:dyDescent="0.3">
      <c r="B1857" s="126">
        <v>43377</v>
      </c>
      <c r="C1857" s="129">
        <v>14656.09</v>
      </c>
    </row>
    <row r="1858" spans="2:3" x14ac:dyDescent="0.3">
      <c r="B1858" s="126">
        <v>43376</v>
      </c>
      <c r="C1858" s="129">
        <v>15014.23</v>
      </c>
    </row>
    <row r="1859" spans="2:3" x14ac:dyDescent="0.3">
      <c r="B1859" s="126">
        <v>43374</v>
      </c>
      <c r="C1859" s="129">
        <v>15221.75</v>
      </c>
    </row>
    <row r="1860" spans="2:3" x14ac:dyDescent="0.3">
      <c r="B1860" s="126">
        <v>43371</v>
      </c>
      <c r="C1860" s="129">
        <v>15114.08</v>
      </c>
    </row>
    <row r="1861" spans="2:3" x14ac:dyDescent="0.3">
      <c r="B1861" s="126">
        <v>43370</v>
      </c>
      <c r="C1861" s="129">
        <v>15179.24</v>
      </c>
    </row>
    <row r="1862" spans="2:3" x14ac:dyDescent="0.3">
      <c r="B1862" s="126">
        <v>43369</v>
      </c>
      <c r="C1862" s="129">
        <v>15284.67</v>
      </c>
    </row>
    <row r="1863" spans="2:3" x14ac:dyDescent="0.3">
      <c r="B1863" s="126">
        <v>43368</v>
      </c>
      <c r="C1863" s="129">
        <v>15303.55</v>
      </c>
    </row>
    <row r="1864" spans="2:3" x14ac:dyDescent="0.3">
      <c r="B1864" s="126">
        <v>43367</v>
      </c>
      <c r="C1864" s="129">
        <v>15165.18</v>
      </c>
    </row>
    <row r="1865" spans="2:3" x14ac:dyDescent="0.3">
      <c r="B1865" s="126">
        <v>43364</v>
      </c>
      <c r="C1865" s="129">
        <v>15408.16</v>
      </c>
    </row>
    <row r="1866" spans="2:3" x14ac:dyDescent="0.3">
      <c r="B1866" s="126">
        <v>43362</v>
      </c>
      <c r="C1866" s="129">
        <v>15534.28</v>
      </c>
    </row>
    <row r="1867" spans="2:3" x14ac:dyDescent="0.3">
      <c r="B1867" s="126">
        <v>43361</v>
      </c>
      <c r="C1867" s="129">
        <v>15594.57</v>
      </c>
    </row>
    <row r="1868" spans="2:3" x14ac:dyDescent="0.3">
      <c r="B1868" s="126">
        <v>43360</v>
      </c>
      <c r="C1868" s="129">
        <v>15731.26</v>
      </c>
    </row>
    <row r="1869" spans="2:3" x14ac:dyDescent="0.3">
      <c r="B1869" s="126">
        <v>43357</v>
      </c>
      <c r="C1869" s="129">
        <v>15920.48</v>
      </c>
    </row>
    <row r="1870" spans="2:3" x14ac:dyDescent="0.3">
      <c r="B1870" s="126">
        <v>43355</v>
      </c>
      <c r="C1870" s="129">
        <v>15719.62</v>
      </c>
    </row>
    <row r="1871" spans="2:3" x14ac:dyDescent="0.3">
      <c r="B1871" s="126">
        <v>43354</v>
      </c>
      <c r="C1871" s="129">
        <v>15605.11</v>
      </c>
    </row>
    <row r="1872" spans="2:3" x14ac:dyDescent="0.3">
      <c r="B1872" s="126">
        <v>43353</v>
      </c>
      <c r="C1872" s="129">
        <v>15813.26</v>
      </c>
    </row>
    <row r="1873" spans="2:3" x14ac:dyDescent="0.3">
      <c r="B1873" s="126">
        <v>43350</v>
      </c>
      <c r="C1873" s="129">
        <v>16019.84</v>
      </c>
    </row>
    <row r="1874" spans="2:3" x14ac:dyDescent="0.3">
      <c r="B1874" s="126">
        <v>43349</v>
      </c>
      <c r="C1874" s="129">
        <v>15947.67</v>
      </c>
    </row>
    <row r="1875" spans="2:3" x14ac:dyDescent="0.3">
      <c r="B1875" s="126">
        <v>43348</v>
      </c>
      <c r="C1875" s="129">
        <v>15862.15</v>
      </c>
    </row>
    <row r="1876" spans="2:3" x14ac:dyDescent="0.3">
      <c r="B1876" s="126">
        <v>43347</v>
      </c>
      <c r="C1876" s="129">
        <v>15922.09</v>
      </c>
    </row>
    <row r="1877" spans="2:3" x14ac:dyDescent="0.3">
      <c r="B1877" s="126">
        <v>43346</v>
      </c>
      <c r="C1877" s="129">
        <v>16007.84</v>
      </c>
    </row>
    <row r="1878" spans="2:3" x14ac:dyDescent="0.3">
      <c r="B1878" s="126">
        <v>43343</v>
      </c>
      <c r="C1878" s="129">
        <v>16143.51</v>
      </c>
    </row>
    <row r="1879" spans="2:3" x14ac:dyDescent="0.3">
      <c r="B1879" s="126">
        <v>43342</v>
      </c>
      <c r="C1879" s="129">
        <v>16135.61</v>
      </c>
    </row>
    <row r="1880" spans="2:3" x14ac:dyDescent="0.3">
      <c r="B1880" s="126">
        <v>43341</v>
      </c>
      <c r="C1880" s="129">
        <v>16156.02</v>
      </c>
    </row>
    <row r="1881" spans="2:3" x14ac:dyDescent="0.3">
      <c r="B1881" s="126">
        <v>43340</v>
      </c>
      <c r="C1881" s="129">
        <v>16220.45</v>
      </c>
    </row>
    <row r="1882" spans="2:3" x14ac:dyDescent="0.3">
      <c r="B1882" s="126">
        <v>43339</v>
      </c>
      <c r="C1882" s="129">
        <v>16156.09</v>
      </c>
    </row>
    <row r="1883" spans="2:3" x14ac:dyDescent="0.3">
      <c r="B1883" s="126">
        <v>43336</v>
      </c>
      <c r="C1883" s="129">
        <v>15969.8</v>
      </c>
    </row>
    <row r="1884" spans="2:3" x14ac:dyDescent="0.3">
      <c r="B1884" s="126">
        <v>43335</v>
      </c>
      <c r="C1884" s="129">
        <v>16001.85</v>
      </c>
    </row>
    <row r="1885" spans="2:3" x14ac:dyDescent="0.3">
      <c r="B1885" s="126">
        <v>43333</v>
      </c>
      <c r="C1885" s="129">
        <v>15985.48</v>
      </c>
    </row>
    <row r="1886" spans="2:3" x14ac:dyDescent="0.3">
      <c r="B1886" s="126">
        <v>43332</v>
      </c>
      <c r="C1886" s="129">
        <v>15959.04</v>
      </c>
    </row>
    <row r="1887" spans="2:3" x14ac:dyDescent="0.3">
      <c r="B1887" s="126">
        <v>43329</v>
      </c>
      <c r="C1887" s="129">
        <v>15845.64</v>
      </c>
    </row>
    <row r="1888" spans="2:3" x14ac:dyDescent="0.3">
      <c r="B1888" s="126">
        <v>43328</v>
      </c>
      <c r="C1888" s="129">
        <v>15727.25</v>
      </c>
    </row>
    <row r="1889" spans="2:3" x14ac:dyDescent="0.3">
      <c r="B1889" s="126">
        <v>43326</v>
      </c>
      <c r="C1889" s="129">
        <v>15796.36</v>
      </c>
    </row>
    <row r="1890" spans="2:3" x14ac:dyDescent="0.3">
      <c r="B1890" s="126">
        <v>43325</v>
      </c>
      <c r="C1890" s="129">
        <v>15676.23</v>
      </c>
    </row>
    <row r="1891" spans="2:3" x14ac:dyDescent="0.3">
      <c r="B1891" s="126">
        <v>43322</v>
      </c>
      <c r="C1891" s="129">
        <v>15776.32</v>
      </c>
    </row>
    <row r="1892" spans="2:3" x14ac:dyDescent="0.3">
      <c r="B1892" s="126">
        <v>43321</v>
      </c>
      <c r="C1892" s="129">
        <v>15833.23</v>
      </c>
    </row>
    <row r="1893" spans="2:3" x14ac:dyDescent="0.3">
      <c r="B1893" s="126">
        <v>43320</v>
      </c>
      <c r="C1893" s="129">
        <v>15803.64</v>
      </c>
    </row>
    <row r="1894" spans="2:3" x14ac:dyDescent="0.3">
      <c r="B1894" s="126">
        <v>43319</v>
      </c>
      <c r="C1894" s="129">
        <v>15720.05</v>
      </c>
    </row>
    <row r="1895" spans="2:3" x14ac:dyDescent="0.3">
      <c r="B1895" s="126">
        <v>43318</v>
      </c>
      <c r="C1895" s="129">
        <v>15716.78</v>
      </c>
    </row>
    <row r="1896" spans="2:3" x14ac:dyDescent="0.3">
      <c r="B1896" s="126">
        <v>43315</v>
      </c>
      <c r="C1896" s="129">
        <v>15680.51</v>
      </c>
    </row>
    <row r="1897" spans="2:3" x14ac:dyDescent="0.3">
      <c r="B1897" s="126">
        <v>43314</v>
      </c>
      <c r="C1897" s="129">
        <v>15520.25</v>
      </c>
    </row>
    <row r="1898" spans="2:3" x14ac:dyDescent="0.3">
      <c r="B1898" s="126">
        <v>43313</v>
      </c>
      <c r="C1898" s="129">
        <v>15658.27</v>
      </c>
    </row>
    <row r="1899" spans="2:3" x14ac:dyDescent="0.3">
      <c r="B1899" s="126">
        <v>43312</v>
      </c>
      <c r="C1899" s="129">
        <v>15672.47</v>
      </c>
    </row>
    <row r="1900" spans="2:3" x14ac:dyDescent="0.3">
      <c r="B1900" s="126">
        <v>43311</v>
      </c>
      <c r="C1900" s="129">
        <v>15621.47</v>
      </c>
    </row>
    <row r="1901" spans="2:3" x14ac:dyDescent="0.3">
      <c r="B1901" s="126">
        <v>43308</v>
      </c>
      <c r="C1901" s="129">
        <v>15564.19</v>
      </c>
    </row>
    <row r="1902" spans="2:3" x14ac:dyDescent="0.3">
      <c r="B1902" s="126">
        <v>43307</v>
      </c>
      <c r="C1902" s="129">
        <v>15410.93</v>
      </c>
    </row>
    <row r="1903" spans="2:3" x14ac:dyDescent="0.3">
      <c r="B1903" s="126">
        <v>43306</v>
      </c>
      <c r="C1903" s="129">
        <v>15358.72</v>
      </c>
    </row>
    <row r="1904" spans="2:3" x14ac:dyDescent="0.3">
      <c r="B1904" s="126">
        <v>43305</v>
      </c>
      <c r="C1904" s="129">
        <v>15361.88</v>
      </c>
    </row>
    <row r="1905" spans="2:3" x14ac:dyDescent="0.3">
      <c r="B1905" s="126">
        <v>43304</v>
      </c>
      <c r="C1905" s="129">
        <v>15293.5</v>
      </c>
    </row>
    <row r="1906" spans="2:3" x14ac:dyDescent="0.3">
      <c r="B1906" s="126">
        <v>43301</v>
      </c>
      <c r="C1906" s="129">
        <v>15190.13</v>
      </c>
    </row>
    <row r="1907" spans="2:3" x14ac:dyDescent="0.3">
      <c r="B1907" s="126">
        <v>43300</v>
      </c>
      <c r="C1907" s="129">
        <v>15116.83</v>
      </c>
    </row>
    <row r="1908" spans="2:3" x14ac:dyDescent="0.3">
      <c r="B1908" s="126">
        <v>43299</v>
      </c>
      <c r="C1908" s="129">
        <v>15135.57</v>
      </c>
    </row>
    <row r="1909" spans="2:3" x14ac:dyDescent="0.3">
      <c r="B1909" s="126">
        <v>43298</v>
      </c>
      <c r="C1909" s="129">
        <v>15172.31</v>
      </c>
    </row>
    <row r="1910" spans="2:3" x14ac:dyDescent="0.3">
      <c r="B1910" s="126">
        <v>43297</v>
      </c>
      <c r="C1910" s="129">
        <v>15072.66</v>
      </c>
    </row>
    <row r="1911" spans="2:3" x14ac:dyDescent="0.3">
      <c r="B1911" s="126">
        <v>43294</v>
      </c>
      <c r="C1911" s="129">
        <v>15184.88</v>
      </c>
    </row>
    <row r="1912" spans="2:3" x14ac:dyDescent="0.3">
      <c r="B1912" s="126">
        <v>43293</v>
      </c>
      <c r="C1912" s="129">
        <v>15190.82</v>
      </c>
    </row>
    <row r="1913" spans="2:3" x14ac:dyDescent="0.3">
      <c r="B1913" s="126">
        <v>43292</v>
      </c>
      <c r="C1913" s="129">
        <v>15085.15</v>
      </c>
    </row>
    <row r="1914" spans="2:3" x14ac:dyDescent="0.3">
      <c r="B1914" s="126">
        <v>43291</v>
      </c>
      <c r="C1914" s="129">
        <v>15081.6</v>
      </c>
    </row>
    <row r="1915" spans="2:3" x14ac:dyDescent="0.3">
      <c r="B1915" s="126">
        <v>43290</v>
      </c>
      <c r="C1915" s="129">
        <v>14951.2</v>
      </c>
    </row>
    <row r="1916" spans="2:3" x14ac:dyDescent="0.3">
      <c r="B1916" s="126">
        <v>43287</v>
      </c>
      <c r="C1916" s="129">
        <v>14840.13</v>
      </c>
    </row>
    <row r="1917" spans="2:3" x14ac:dyDescent="0.3">
      <c r="B1917" s="126">
        <v>43286</v>
      </c>
      <c r="C1917" s="129">
        <v>14808.54</v>
      </c>
    </row>
    <row r="1918" spans="2:3" x14ac:dyDescent="0.3">
      <c r="B1918" s="126">
        <v>43285</v>
      </c>
      <c r="C1918" s="129">
        <v>14830.5</v>
      </c>
    </row>
    <row r="1919" spans="2:3" x14ac:dyDescent="0.3">
      <c r="B1919" s="126">
        <v>43284</v>
      </c>
      <c r="C1919" s="129">
        <v>14734.11</v>
      </c>
    </row>
    <row r="1920" spans="2:3" x14ac:dyDescent="0.3">
      <c r="B1920" s="126">
        <v>43283</v>
      </c>
      <c r="C1920" s="129">
        <v>14675.42</v>
      </c>
    </row>
    <row r="1921" spans="2:3" x14ac:dyDescent="0.3">
      <c r="B1921" s="126">
        <v>43280</v>
      </c>
      <c r="C1921" s="129">
        <v>14753.91</v>
      </c>
    </row>
    <row r="1922" spans="2:3" x14ac:dyDescent="0.3">
      <c r="B1922" s="126">
        <v>43279</v>
      </c>
      <c r="C1922" s="129">
        <v>14581.53</v>
      </c>
    </row>
    <row r="1923" spans="2:3" x14ac:dyDescent="0.3">
      <c r="B1923" s="126">
        <v>43278</v>
      </c>
      <c r="C1923" s="129">
        <v>14694.16</v>
      </c>
    </row>
    <row r="1924" spans="2:3" x14ac:dyDescent="0.3">
      <c r="B1924" s="126">
        <v>43277</v>
      </c>
      <c r="C1924" s="129">
        <v>14821.45</v>
      </c>
    </row>
    <row r="1925" spans="2:3" x14ac:dyDescent="0.3">
      <c r="B1925" s="126">
        <v>43276</v>
      </c>
      <c r="C1925" s="129">
        <v>14812.28</v>
      </c>
    </row>
    <row r="1926" spans="2:3" x14ac:dyDescent="0.3">
      <c r="B1926" s="126">
        <v>43273</v>
      </c>
      <c r="C1926" s="129">
        <v>14894.02</v>
      </c>
    </row>
    <row r="1927" spans="2:3" x14ac:dyDescent="0.3">
      <c r="B1927" s="126">
        <v>43272</v>
      </c>
      <c r="C1927" s="129">
        <v>14782.87</v>
      </c>
    </row>
    <row r="1928" spans="2:3" x14ac:dyDescent="0.3">
      <c r="B1928" s="126">
        <v>43271</v>
      </c>
      <c r="C1928" s="129">
        <v>14822.46</v>
      </c>
    </row>
    <row r="1929" spans="2:3" x14ac:dyDescent="0.3">
      <c r="B1929" s="126">
        <v>43270</v>
      </c>
      <c r="C1929" s="129">
        <v>14737.7</v>
      </c>
    </row>
    <row r="1930" spans="2:3" x14ac:dyDescent="0.3">
      <c r="B1930" s="126">
        <v>43269</v>
      </c>
      <c r="C1930" s="129">
        <v>14860.73</v>
      </c>
    </row>
    <row r="1931" spans="2:3" x14ac:dyDescent="0.3">
      <c r="B1931" s="126">
        <v>43266</v>
      </c>
      <c r="C1931" s="129">
        <v>14885.3</v>
      </c>
    </row>
    <row r="1932" spans="2:3" x14ac:dyDescent="0.3">
      <c r="B1932" s="126">
        <v>43265</v>
      </c>
      <c r="C1932" s="129">
        <v>14871.97</v>
      </c>
    </row>
    <row r="1933" spans="2:3" x14ac:dyDescent="0.3">
      <c r="B1933" s="126">
        <v>43264</v>
      </c>
      <c r="C1933" s="129">
        <v>14917.68</v>
      </c>
    </row>
    <row r="1934" spans="2:3" x14ac:dyDescent="0.3">
      <c r="B1934" s="126">
        <v>43263</v>
      </c>
      <c r="C1934" s="129">
        <v>14898.66</v>
      </c>
    </row>
    <row r="1935" spans="2:3" x14ac:dyDescent="0.3">
      <c r="B1935" s="126">
        <v>43262</v>
      </c>
      <c r="C1935" s="129">
        <v>14821.8</v>
      </c>
    </row>
    <row r="1936" spans="2:3" x14ac:dyDescent="0.3">
      <c r="B1936" s="126">
        <v>43259</v>
      </c>
      <c r="C1936" s="129">
        <v>14795.31</v>
      </c>
    </row>
    <row r="1937" spans="2:3" x14ac:dyDescent="0.3">
      <c r="B1937" s="126">
        <v>43258</v>
      </c>
      <c r="C1937" s="129">
        <v>14796.24</v>
      </c>
    </row>
    <row r="1938" spans="2:3" x14ac:dyDescent="0.3">
      <c r="B1938" s="126">
        <v>43257</v>
      </c>
      <c r="C1938" s="129">
        <v>14681.25</v>
      </c>
    </row>
    <row r="1939" spans="2:3" x14ac:dyDescent="0.3">
      <c r="B1939" s="126">
        <v>43256</v>
      </c>
      <c r="C1939" s="129">
        <v>14555.52</v>
      </c>
    </row>
    <row r="1940" spans="2:3" x14ac:dyDescent="0.3">
      <c r="B1940" s="126">
        <v>43255</v>
      </c>
      <c r="C1940" s="129">
        <v>14604.11</v>
      </c>
    </row>
    <row r="1941" spans="2:3" x14ac:dyDescent="0.3">
      <c r="B1941" s="126">
        <v>43252</v>
      </c>
      <c r="C1941" s="129">
        <v>14695.4</v>
      </c>
    </row>
    <row r="1942" spans="2:3" x14ac:dyDescent="0.3">
      <c r="B1942" s="126">
        <v>43251</v>
      </c>
      <c r="C1942" s="129">
        <v>14750.26</v>
      </c>
    </row>
    <row r="1943" spans="2:3" x14ac:dyDescent="0.3">
      <c r="B1943" s="126">
        <v>43250</v>
      </c>
      <c r="C1943" s="129">
        <v>14568.75</v>
      </c>
    </row>
    <row r="1944" spans="2:3" x14ac:dyDescent="0.3">
      <c r="B1944" s="126">
        <v>43249</v>
      </c>
      <c r="C1944" s="129">
        <v>14594.78</v>
      </c>
    </row>
    <row r="1945" spans="2:3" x14ac:dyDescent="0.3">
      <c r="B1945" s="126">
        <v>43248</v>
      </c>
      <c r="C1945" s="129">
        <v>14670.76</v>
      </c>
    </row>
    <row r="1946" spans="2:3" x14ac:dyDescent="0.3">
      <c r="B1946" s="126">
        <v>43245</v>
      </c>
      <c r="C1946" s="129">
        <v>14556.18</v>
      </c>
    </row>
    <row r="1947" spans="2:3" x14ac:dyDescent="0.3">
      <c r="B1947" s="126">
        <v>43244</v>
      </c>
      <c r="C1947" s="129">
        <v>14415.65</v>
      </c>
    </row>
    <row r="1948" spans="2:3" x14ac:dyDescent="0.3">
      <c r="B1948" s="126">
        <v>43243</v>
      </c>
      <c r="C1948" s="129">
        <v>14301.15</v>
      </c>
    </row>
    <row r="1949" spans="2:3" x14ac:dyDescent="0.3">
      <c r="B1949" s="126">
        <v>43242</v>
      </c>
      <c r="C1949" s="129">
        <v>14446.97</v>
      </c>
    </row>
    <row r="1950" spans="2:3" x14ac:dyDescent="0.3">
      <c r="B1950" s="126">
        <v>43241</v>
      </c>
      <c r="C1950" s="129">
        <v>14419.57</v>
      </c>
    </row>
    <row r="1951" spans="2:3" x14ac:dyDescent="0.3">
      <c r="B1951" s="126">
        <v>43238</v>
      </c>
      <c r="C1951" s="129">
        <v>14528.82</v>
      </c>
    </row>
    <row r="1952" spans="2:3" x14ac:dyDescent="0.3">
      <c r="B1952" s="126">
        <v>43237</v>
      </c>
      <c r="C1952" s="129">
        <v>14647.15</v>
      </c>
    </row>
    <row r="1953" spans="2:3" x14ac:dyDescent="0.3">
      <c r="B1953" s="126">
        <v>43236</v>
      </c>
      <c r="C1953" s="129">
        <v>14727.26</v>
      </c>
    </row>
    <row r="1954" spans="2:3" x14ac:dyDescent="0.3">
      <c r="B1954" s="126">
        <v>43235</v>
      </c>
      <c r="C1954" s="129">
        <v>14810.54</v>
      </c>
    </row>
    <row r="1955" spans="2:3" x14ac:dyDescent="0.3">
      <c r="B1955" s="126">
        <v>43234</v>
      </c>
      <c r="C1955" s="129">
        <v>14817.01</v>
      </c>
    </row>
    <row r="1956" spans="2:3" x14ac:dyDescent="0.3">
      <c r="B1956" s="126">
        <v>43231</v>
      </c>
      <c r="C1956" s="129">
        <v>14816.93</v>
      </c>
    </row>
    <row r="1957" spans="2:3" x14ac:dyDescent="0.3">
      <c r="B1957" s="126">
        <v>43230</v>
      </c>
      <c r="C1957" s="129">
        <v>14693.55</v>
      </c>
    </row>
    <row r="1958" spans="2:3" x14ac:dyDescent="0.3">
      <c r="B1958" s="126">
        <v>43229</v>
      </c>
      <c r="C1958" s="129">
        <v>14728.03</v>
      </c>
    </row>
    <row r="1959" spans="2:3" x14ac:dyDescent="0.3">
      <c r="B1959" s="126">
        <v>43228</v>
      </c>
      <c r="C1959" s="129">
        <v>14694.93</v>
      </c>
    </row>
    <row r="1960" spans="2:3" x14ac:dyDescent="0.3">
      <c r="B1960" s="126">
        <v>43227</v>
      </c>
      <c r="C1960" s="129">
        <v>14691.72</v>
      </c>
    </row>
    <row r="1961" spans="2:3" x14ac:dyDescent="0.3">
      <c r="B1961" s="126">
        <v>43224</v>
      </c>
      <c r="C1961" s="129">
        <v>14558.42</v>
      </c>
    </row>
    <row r="1962" spans="2:3" x14ac:dyDescent="0.3">
      <c r="B1962" s="126">
        <v>43223</v>
      </c>
      <c r="C1962" s="129">
        <v>14642.62</v>
      </c>
    </row>
    <row r="1963" spans="2:3" x14ac:dyDescent="0.3">
      <c r="B1963" s="126">
        <v>43222</v>
      </c>
      <c r="C1963" s="129">
        <v>14695.26</v>
      </c>
    </row>
    <row r="1964" spans="2:3" x14ac:dyDescent="0.3">
      <c r="B1964" s="126">
        <v>43220</v>
      </c>
      <c r="C1964" s="129">
        <v>14723.32</v>
      </c>
    </row>
    <row r="1965" spans="2:3" x14ac:dyDescent="0.3">
      <c r="B1965" s="126">
        <v>43217</v>
      </c>
      <c r="C1965" s="129">
        <v>14658.83</v>
      </c>
    </row>
    <row r="1966" spans="2:3" x14ac:dyDescent="0.3">
      <c r="B1966" s="126">
        <v>43216</v>
      </c>
      <c r="C1966" s="129">
        <v>14556.65</v>
      </c>
    </row>
    <row r="1967" spans="2:3" x14ac:dyDescent="0.3">
      <c r="B1967" s="126">
        <v>43215</v>
      </c>
      <c r="C1967" s="129">
        <v>14491.88</v>
      </c>
    </row>
    <row r="1968" spans="2:3" x14ac:dyDescent="0.3">
      <c r="B1968" s="126">
        <v>43214</v>
      </c>
      <c r="C1968" s="129">
        <v>14551.96</v>
      </c>
    </row>
    <row r="1969" spans="2:3" x14ac:dyDescent="0.3">
      <c r="B1969" s="126">
        <v>43213</v>
      </c>
      <c r="C1969" s="129">
        <v>14511.28</v>
      </c>
    </row>
    <row r="1970" spans="2:3" x14ac:dyDescent="0.3">
      <c r="B1970" s="126">
        <v>43210</v>
      </c>
      <c r="C1970" s="129">
        <v>14482.97</v>
      </c>
    </row>
    <row r="1971" spans="2:3" x14ac:dyDescent="0.3">
      <c r="B1971" s="126">
        <v>43209</v>
      </c>
      <c r="C1971" s="129">
        <v>14484.7</v>
      </c>
    </row>
    <row r="1972" spans="2:3" x14ac:dyDescent="0.3">
      <c r="B1972" s="126">
        <v>43208</v>
      </c>
      <c r="C1972" s="129">
        <v>14431.07</v>
      </c>
    </row>
    <row r="1973" spans="2:3" x14ac:dyDescent="0.3">
      <c r="B1973" s="126">
        <v>43207</v>
      </c>
      <c r="C1973" s="129">
        <v>14461.97</v>
      </c>
    </row>
    <row r="1974" spans="2:3" x14ac:dyDescent="0.3">
      <c r="B1974" s="126">
        <v>43206</v>
      </c>
      <c r="C1974" s="129">
        <v>14434.05</v>
      </c>
    </row>
    <row r="1975" spans="2:3" x14ac:dyDescent="0.3">
      <c r="B1975" s="126">
        <v>43203</v>
      </c>
      <c r="C1975" s="129">
        <v>14368.56</v>
      </c>
    </row>
    <row r="1976" spans="2:3" x14ac:dyDescent="0.3">
      <c r="B1976" s="126">
        <v>43202</v>
      </c>
      <c r="C1976" s="129">
        <v>14338.46</v>
      </c>
    </row>
    <row r="1977" spans="2:3" x14ac:dyDescent="0.3">
      <c r="B1977" s="126">
        <v>43201</v>
      </c>
      <c r="C1977" s="129">
        <v>14281.6</v>
      </c>
    </row>
    <row r="1978" spans="2:3" x14ac:dyDescent="0.3">
      <c r="B1978" s="126">
        <v>43200</v>
      </c>
      <c r="C1978" s="129">
        <v>14261.15</v>
      </c>
    </row>
    <row r="1979" spans="2:3" x14ac:dyDescent="0.3">
      <c r="B1979" s="126">
        <v>43199</v>
      </c>
      <c r="C1979" s="129">
        <v>14229.77</v>
      </c>
    </row>
    <row r="1980" spans="2:3" x14ac:dyDescent="0.3">
      <c r="B1980" s="126">
        <v>43196</v>
      </c>
      <c r="C1980" s="129">
        <v>14164.28</v>
      </c>
    </row>
    <row r="1981" spans="2:3" x14ac:dyDescent="0.3">
      <c r="B1981" s="126">
        <v>43195</v>
      </c>
      <c r="C1981" s="129">
        <v>14155.47</v>
      </c>
    </row>
    <row r="1982" spans="2:3" x14ac:dyDescent="0.3">
      <c r="B1982" s="126">
        <v>43194</v>
      </c>
      <c r="C1982" s="129">
        <v>13885.72</v>
      </c>
    </row>
    <row r="1983" spans="2:3" x14ac:dyDescent="0.3">
      <c r="B1983" s="126">
        <v>43193</v>
      </c>
      <c r="C1983" s="129">
        <v>14045.55</v>
      </c>
    </row>
    <row r="1984" spans="2:3" x14ac:dyDescent="0.3">
      <c r="B1984" s="126">
        <v>43192</v>
      </c>
      <c r="C1984" s="129">
        <v>14000.07</v>
      </c>
    </row>
    <row r="1985" spans="2:3" x14ac:dyDescent="0.3">
      <c r="B1985" s="126">
        <v>43187</v>
      </c>
      <c r="C1985" s="129">
        <v>13865.57</v>
      </c>
    </row>
    <row r="1986" spans="2:3" x14ac:dyDescent="0.3">
      <c r="B1986" s="126">
        <v>43186</v>
      </c>
      <c r="C1986" s="129">
        <v>13962.15</v>
      </c>
    </row>
    <row r="1987" spans="2:3" x14ac:dyDescent="0.3">
      <c r="B1987" s="126">
        <v>43185</v>
      </c>
      <c r="C1987" s="129">
        <v>13888.82</v>
      </c>
    </row>
    <row r="1988" spans="2:3" x14ac:dyDescent="0.3">
      <c r="B1988" s="126">
        <v>43182</v>
      </c>
      <c r="C1988" s="129">
        <v>13706.99</v>
      </c>
    </row>
    <row r="1989" spans="2:3" x14ac:dyDescent="0.3">
      <c r="B1989" s="126">
        <v>43181</v>
      </c>
      <c r="C1989" s="129">
        <v>13867.01</v>
      </c>
    </row>
    <row r="1990" spans="2:3" x14ac:dyDescent="0.3">
      <c r="B1990" s="126">
        <v>43180</v>
      </c>
      <c r="C1990" s="129">
        <v>13920.51</v>
      </c>
    </row>
    <row r="1991" spans="2:3" x14ac:dyDescent="0.3">
      <c r="B1991" s="126">
        <v>43179</v>
      </c>
      <c r="C1991" s="129">
        <v>13878.17</v>
      </c>
    </row>
    <row r="1992" spans="2:3" x14ac:dyDescent="0.3">
      <c r="B1992" s="126">
        <v>43178</v>
      </c>
      <c r="C1992" s="129">
        <v>13822.99</v>
      </c>
    </row>
    <row r="1993" spans="2:3" x14ac:dyDescent="0.3">
      <c r="B1993" s="126">
        <v>43175</v>
      </c>
      <c r="C1993" s="129">
        <v>13961.14</v>
      </c>
    </row>
    <row r="1994" spans="2:3" x14ac:dyDescent="0.3">
      <c r="B1994" s="126">
        <v>43174</v>
      </c>
      <c r="C1994" s="129">
        <v>14179.36</v>
      </c>
    </row>
    <row r="1995" spans="2:3" x14ac:dyDescent="0.3">
      <c r="B1995" s="126">
        <v>43173</v>
      </c>
      <c r="C1995" s="129">
        <v>14248.81</v>
      </c>
    </row>
    <row r="1996" spans="2:3" x14ac:dyDescent="0.3">
      <c r="B1996" s="126">
        <v>43172</v>
      </c>
      <c r="C1996" s="129">
        <v>14270.64</v>
      </c>
    </row>
    <row r="1997" spans="2:3" x14ac:dyDescent="0.3">
      <c r="B1997" s="126">
        <v>43171</v>
      </c>
      <c r="C1997" s="129">
        <v>14260.92</v>
      </c>
    </row>
    <row r="1998" spans="2:3" x14ac:dyDescent="0.3">
      <c r="B1998" s="126">
        <v>43168</v>
      </c>
      <c r="C1998" s="129">
        <v>13994.68</v>
      </c>
    </row>
    <row r="1999" spans="2:3" x14ac:dyDescent="0.3">
      <c r="B1999" s="126">
        <v>43167</v>
      </c>
      <c r="C1999" s="129">
        <v>14016.3</v>
      </c>
    </row>
    <row r="2000" spans="2:3" x14ac:dyDescent="0.3">
      <c r="B2000" s="126">
        <v>43166</v>
      </c>
      <c r="C2000" s="129">
        <v>13895.27</v>
      </c>
    </row>
    <row r="2001" spans="2:3" x14ac:dyDescent="0.3">
      <c r="B2001" s="126">
        <v>43165</v>
      </c>
      <c r="C2001" s="129">
        <v>14025.34</v>
      </c>
    </row>
    <row r="2002" spans="2:3" x14ac:dyDescent="0.3">
      <c r="B2002" s="126">
        <v>43164</v>
      </c>
      <c r="C2002" s="129">
        <v>14175.32</v>
      </c>
    </row>
    <row r="2003" spans="2:3" x14ac:dyDescent="0.3">
      <c r="B2003" s="126">
        <v>43160</v>
      </c>
      <c r="C2003" s="129">
        <v>14311.52</v>
      </c>
    </row>
    <row r="2004" spans="2:3" x14ac:dyDescent="0.3">
      <c r="B2004" s="126">
        <v>43159</v>
      </c>
      <c r="C2004" s="129">
        <v>14358.71</v>
      </c>
    </row>
    <row r="2005" spans="2:3" x14ac:dyDescent="0.3">
      <c r="B2005" s="126">
        <v>43158</v>
      </c>
      <c r="C2005" s="129">
        <v>14438.9</v>
      </c>
    </row>
    <row r="2006" spans="2:3" x14ac:dyDescent="0.3">
      <c r="B2006" s="126">
        <v>43157</v>
      </c>
      <c r="C2006" s="129">
        <v>14477.62</v>
      </c>
    </row>
    <row r="2007" spans="2:3" x14ac:dyDescent="0.3">
      <c r="B2007" s="126">
        <v>43154</v>
      </c>
      <c r="C2007" s="129">
        <v>14352.4</v>
      </c>
    </row>
    <row r="2008" spans="2:3" x14ac:dyDescent="0.3">
      <c r="B2008" s="126">
        <v>43153</v>
      </c>
      <c r="C2008" s="129">
        <v>14204.17</v>
      </c>
    </row>
    <row r="2009" spans="2:3" x14ac:dyDescent="0.3">
      <c r="B2009" s="126">
        <v>43152</v>
      </c>
      <c r="C2009" s="129">
        <v>14220.48</v>
      </c>
    </row>
    <row r="2010" spans="2:3" x14ac:dyDescent="0.3">
      <c r="B2010" s="126">
        <v>43151</v>
      </c>
      <c r="C2010" s="129">
        <v>14169.77</v>
      </c>
    </row>
    <row r="2011" spans="2:3" x14ac:dyDescent="0.3">
      <c r="B2011" s="126">
        <v>43150</v>
      </c>
      <c r="C2011" s="129">
        <v>14194.28</v>
      </c>
    </row>
    <row r="2012" spans="2:3" x14ac:dyDescent="0.3">
      <c r="B2012" s="126">
        <v>43147</v>
      </c>
      <c r="C2012" s="129">
        <v>14295.41</v>
      </c>
    </row>
    <row r="2013" spans="2:3" x14ac:dyDescent="0.3">
      <c r="B2013" s="126">
        <v>43146</v>
      </c>
      <c r="C2013" s="129">
        <v>14422.85</v>
      </c>
    </row>
    <row r="2014" spans="2:3" x14ac:dyDescent="0.3">
      <c r="B2014" s="126">
        <v>43145</v>
      </c>
      <c r="C2014" s="129">
        <v>14359.35</v>
      </c>
    </row>
    <row r="2015" spans="2:3" x14ac:dyDescent="0.3">
      <c r="B2015" s="126">
        <v>43143</v>
      </c>
      <c r="C2015" s="129">
        <v>14412.46</v>
      </c>
    </row>
    <row r="2016" spans="2:3" x14ac:dyDescent="0.3">
      <c r="B2016" s="126">
        <v>43140</v>
      </c>
      <c r="C2016" s="129">
        <v>14296.5</v>
      </c>
    </row>
    <row r="2017" spans="2:3" x14ac:dyDescent="0.3">
      <c r="B2017" s="126">
        <v>43139</v>
      </c>
      <c r="C2017" s="129">
        <v>14463.16</v>
      </c>
    </row>
    <row r="2018" spans="2:3" x14ac:dyDescent="0.3">
      <c r="B2018" s="126">
        <v>43138</v>
      </c>
      <c r="C2018" s="129">
        <v>14317.57</v>
      </c>
    </row>
    <row r="2019" spans="2:3" x14ac:dyDescent="0.3">
      <c r="B2019" s="126">
        <v>43137</v>
      </c>
      <c r="C2019" s="129">
        <v>14344.02</v>
      </c>
    </row>
    <row r="2020" spans="2:3" x14ac:dyDescent="0.3">
      <c r="B2020" s="126">
        <v>43136</v>
      </c>
      <c r="C2020" s="129">
        <v>14574</v>
      </c>
    </row>
    <row r="2021" spans="2:3" x14ac:dyDescent="0.3">
      <c r="B2021" s="126">
        <v>43133</v>
      </c>
      <c r="C2021" s="129">
        <v>14702.49</v>
      </c>
    </row>
    <row r="2022" spans="2:3" x14ac:dyDescent="0.3">
      <c r="B2022" s="126">
        <v>43132</v>
      </c>
      <c r="C2022" s="129">
        <v>15052.72</v>
      </c>
    </row>
    <row r="2023" spans="2:3" x14ac:dyDescent="0.3">
      <c r="B2023" s="126">
        <v>43131</v>
      </c>
      <c r="C2023" s="129">
        <v>15065.82</v>
      </c>
    </row>
    <row r="2024" spans="2:3" x14ac:dyDescent="0.3">
      <c r="B2024" s="126">
        <v>43130</v>
      </c>
      <c r="C2024" s="129">
        <v>15095.42</v>
      </c>
    </row>
    <row r="2025" spans="2:3" x14ac:dyDescent="0.3">
      <c r="B2025" s="126">
        <v>43129</v>
      </c>
      <c r="C2025" s="129">
        <v>15204.42</v>
      </c>
    </row>
    <row r="2026" spans="2:3" x14ac:dyDescent="0.3">
      <c r="B2026" s="126">
        <v>43125</v>
      </c>
      <c r="C2026" s="129">
        <v>15121</v>
      </c>
    </row>
    <row r="2027" spans="2:3" x14ac:dyDescent="0.3">
      <c r="B2027" s="126">
        <v>43124</v>
      </c>
      <c r="C2027" s="129">
        <v>15143.35</v>
      </c>
    </row>
    <row r="2028" spans="2:3" x14ac:dyDescent="0.3">
      <c r="B2028" s="126">
        <v>43123</v>
      </c>
      <c r="C2028" s="129">
        <v>15140.24</v>
      </c>
    </row>
    <row r="2029" spans="2:3" x14ac:dyDescent="0.3">
      <c r="B2029" s="126">
        <v>43122</v>
      </c>
      <c r="C2029" s="129">
        <v>14979.72</v>
      </c>
    </row>
    <row r="2030" spans="2:3" x14ac:dyDescent="0.3">
      <c r="B2030" s="126">
        <v>43119</v>
      </c>
      <c r="C2030" s="129">
        <v>14880.8</v>
      </c>
    </row>
    <row r="2031" spans="2:3" x14ac:dyDescent="0.3">
      <c r="B2031" s="126">
        <v>43118</v>
      </c>
      <c r="C2031" s="129">
        <v>14774.67</v>
      </c>
    </row>
    <row r="2032" spans="2:3" x14ac:dyDescent="0.3">
      <c r="B2032" s="126">
        <v>43117</v>
      </c>
      <c r="C2032" s="129">
        <v>14734.07</v>
      </c>
    </row>
    <row r="2033" spans="2:3" x14ac:dyDescent="0.3">
      <c r="B2033" s="126">
        <v>43116</v>
      </c>
      <c r="C2033" s="129">
        <v>14613.79</v>
      </c>
    </row>
    <row r="2034" spans="2:3" x14ac:dyDescent="0.3">
      <c r="B2034" s="126">
        <v>43115</v>
      </c>
      <c r="C2034" s="129">
        <v>14669.9</v>
      </c>
    </row>
    <row r="2035" spans="2:3" x14ac:dyDescent="0.3">
      <c r="B2035" s="126">
        <v>43112</v>
      </c>
      <c r="C2035" s="129">
        <v>14587.54</v>
      </c>
    </row>
    <row r="2036" spans="2:3" x14ac:dyDescent="0.3">
      <c r="B2036" s="126">
        <v>43111</v>
      </c>
      <c r="C2036" s="129">
        <v>14546.49</v>
      </c>
    </row>
    <row r="2037" spans="2:3" x14ac:dyDescent="0.3">
      <c r="B2037" s="126">
        <v>43110</v>
      </c>
      <c r="C2037" s="129">
        <v>14520.56</v>
      </c>
    </row>
    <row r="2038" spans="2:3" x14ac:dyDescent="0.3">
      <c r="B2038" s="126">
        <v>43109</v>
      </c>
      <c r="C2038" s="129">
        <v>14527.15</v>
      </c>
    </row>
    <row r="2039" spans="2:3" x14ac:dyDescent="0.3">
      <c r="B2039" s="126">
        <v>43108</v>
      </c>
      <c r="C2039" s="129">
        <v>14508.81</v>
      </c>
    </row>
    <row r="2040" spans="2:3" x14ac:dyDescent="0.3">
      <c r="B2040" s="126">
        <v>43105</v>
      </c>
      <c r="C2040" s="129">
        <v>14420.42</v>
      </c>
    </row>
    <row r="2041" spans="2:3" x14ac:dyDescent="0.3">
      <c r="B2041" s="126">
        <v>43104</v>
      </c>
      <c r="C2041" s="129">
        <v>14346.59</v>
      </c>
    </row>
    <row r="2042" spans="2:3" x14ac:dyDescent="0.3">
      <c r="B2042" s="126">
        <v>43103</v>
      </c>
      <c r="C2042" s="129">
        <v>14262.48</v>
      </c>
    </row>
    <row r="2043" spans="2:3" x14ac:dyDescent="0.3">
      <c r="B2043" s="126">
        <v>43102</v>
      </c>
      <c r="C2043" s="129">
        <v>14261.1</v>
      </c>
    </row>
    <row r="2044" spans="2:3" x14ac:dyDescent="0.3">
      <c r="B2044" s="126">
        <v>43101</v>
      </c>
      <c r="C2044" s="129">
        <v>14252.02</v>
      </c>
    </row>
    <row r="2045" spans="2:3" x14ac:dyDescent="0.3">
      <c r="B2045" s="126">
        <v>43098</v>
      </c>
      <c r="C2045" s="129">
        <v>14381.92</v>
      </c>
    </row>
    <row r="2046" spans="2:3" x14ac:dyDescent="0.3">
      <c r="B2046" s="126">
        <v>43097</v>
      </c>
      <c r="C2046" s="129">
        <v>14309.85</v>
      </c>
    </row>
    <row r="2047" spans="2:3" x14ac:dyDescent="0.3">
      <c r="B2047" s="126">
        <v>43096</v>
      </c>
      <c r="C2047" s="129">
        <v>14327.42</v>
      </c>
    </row>
    <row r="2048" spans="2:3" x14ac:dyDescent="0.3">
      <c r="B2048" s="126">
        <v>43095</v>
      </c>
      <c r="C2048" s="129">
        <v>14383.04</v>
      </c>
    </row>
    <row r="2049" spans="2:3" x14ac:dyDescent="0.3">
      <c r="B2049" s="126">
        <v>43091</v>
      </c>
      <c r="C2049" s="129">
        <v>14330.49</v>
      </c>
    </row>
    <row r="2050" spans="2:3" x14ac:dyDescent="0.3">
      <c r="B2050" s="126">
        <v>43090</v>
      </c>
      <c r="C2050" s="129">
        <v>14258.49</v>
      </c>
    </row>
    <row r="2051" spans="2:3" x14ac:dyDescent="0.3">
      <c r="B2051" s="126">
        <v>43089</v>
      </c>
      <c r="C2051" s="129">
        <v>14263.81</v>
      </c>
    </row>
    <row r="2052" spans="2:3" x14ac:dyDescent="0.3">
      <c r="B2052" s="126">
        <v>43088</v>
      </c>
      <c r="C2052" s="129">
        <v>14289.76</v>
      </c>
    </row>
    <row r="2053" spans="2:3" x14ac:dyDescent="0.3">
      <c r="B2053" s="126">
        <v>43087</v>
      </c>
      <c r="C2053" s="129">
        <v>14188.11</v>
      </c>
    </row>
    <row r="2054" spans="2:3" x14ac:dyDescent="0.3">
      <c r="B2054" s="126">
        <v>43084</v>
      </c>
      <c r="C2054" s="129">
        <v>14112.3</v>
      </c>
    </row>
    <row r="2055" spans="2:3" x14ac:dyDescent="0.3">
      <c r="B2055" s="126">
        <v>43083</v>
      </c>
      <c r="C2055" s="129">
        <v>14001.49</v>
      </c>
    </row>
    <row r="2056" spans="2:3" x14ac:dyDescent="0.3">
      <c r="B2056" s="126">
        <v>43082</v>
      </c>
      <c r="C2056" s="129">
        <v>13920.69</v>
      </c>
    </row>
    <row r="2057" spans="2:3" x14ac:dyDescent="0.3">
      <c r="B2057" s="126">
        <v>43081</v>
      </c>
      <c r="C2057" s="129">
        <v>13985.11</v>
      </c>
    </row>
    <row r="2058" spans="2:3" x14ac:dyDescent="0.3">
      <c r="B2058" s="126">
        <v>43080</v>
      </c>
      <c r="C2058" s="129">
        <v>14097.29</v>
      </c>
    </row>
    <row r="2059" spans="2:3" x14ac:dyDescent="0.3">
      <c r="B2059" s="126">
        <v>43077</v>
      </c>
      <c r="C2059" s="129">
        <v>14019.95</v>
      </c>
    </row>
    <row r="2060" spans="2:3" x14ac:dyDescent="0.3">
      <c r="B2060" s="126">
        <v>43076</v>
      </c>
      <c r="C2060" s="129">
        <v>13884.82</v>
      </c>
    </row>
    <row r="2061" spans="2:3" x14ac:dyDescent="0.3">
      <c r="B2061" s="126">
        <v>43075</v>
      </c>
      <c r="C2061" s="129">
        <v>13717.36</v>
      </c>
    </row>
    <row r="2062" spans="2:3" x14ac:dyDescent="0.3">
      <c r="B2062" s="126">
        <v>43074</v>
      </c>
      <c r="C2062" s="129">
        <v>13818.67</v>
      </c>
    </row>
    <row r="2063" spans="2:3" x14ac:dyDescent="0.3">
      <c r="B2063" s="126">
        <v>43073</v>
      </c>
      <c r="C2063" s="129">
        <v>13831.66</v>
      </c>
    </row>
    <row r="2064" spans="2:3" x14ac:dyDescent="0.3">
      <c r="B2064" s="126">
        <v>43070</v>
      </c>
      <c r="C2064" s="129">
        <v>13823.52</v>
      </c>
    </row>
    <row r="2065" spans="2:3" x14ac:dyDescent="0.3">
      <c r="B2065" s="126">
        <v>43069</v>
      </c>
      <c r="C2065" s="129">
        <v>13966.58</v>
      </c>
    </row>
    <row r="2066" spans="2:3" x14ac:dyDescent="0.3">
      <c r="B2066" s="126">
        <v>43068</v>
      </c>
      <c r="C2066" s="129">
        <v>14150.6</v>
      </c>
    </row>
    <row r="2067" spans="2:3" x14ac:dyDescent="0.3">
      <c r="B2067" s="126">
        <v>43067</v>
      </c>
      <c r="C2067" s="129">
        <v>14162.79</v>
      </c>
    </row>
    <row r="2068" spans="2:3" x14ac:dyDescent="0.3">
      <c r="B2068" s="126">
        <v>43066</v>
      </c>
      <c r="C2068" s="129">
        <v>14202.82</v>
      </c>
    </row>
    <row r="2069" spans="2:3" x14ac:dyDescent="0.3">
      <c r="B2069" s="126">
        <v>43063</v>
      </c>
      <c r="C2069" s="129">
        <v>14189.41</v>
      </c>
    </row>
    <row r="2070" spans="2:3" x14ac:dyDescent="0.3">
      <c r="B2070" s="126">
        <v>43062</v>
      </c>
      <c r="C2070" s="129">
        <v>14133.47</v>
      </c>
    </row>
    <row r="2071" spans="2:3" x14ac:dyDescent="0.3">
      <c r="B2071" s="126">
        <v>43061</v>
      </c>
      <c r="C2071" s="129">
        <v>14124.68</v>
      </c>
    </row>
    <row r="2072" spans="2:3" x14ac:dyDescent="0.3">
      <c r="B2072" s="126">
        <v>43060</v>
      </c>
      <c r="C2072" s="129">
        <v>14103.64</v>
      </c>
    </row>
    <row r="2073" spans="2:3" x14ac:dyDescent="0.3">
      <c r="B2073" s="126">
        <v>43059</v>
      </c>
      <c r="C2073" s="129">
        <v>14065.05</v>
      </c>
    </row>
    <row r="2074" spans="2:3" x14ac:dyDescent="0.3">
      <c r="B2074" s="126">
        <v>43056</v>
      </c>
      <c r="C2074" s="129">
        <v>14044.32</v>
      </c>
    </row>
    <row r="2075" spans="2:3" x14ac:dyDescent="0.3">
      <c r="B2075" s="126">
        <v>43055</v>
      </c>
      <c r="C2075" s="129">
        <v>13950.33</v>
      </c>
    </row>
    <row r="2076" spans="2:3" x14ac:dyDescent="0.3">
      <c r="B2076" s="126">
        <v>43054</v>
      </c>
      <c r="C2076" s="129">
        <v>13818.25</v>
      </c>
    </row>
    <row r="2077" spans="2:3" x14ac:dyDescent="0.3">
      <c r="B2077" s="126">
        <v>43053</v>
      </c>
      <c r="C2077" s="129">
        <v>13911.87</v>
      </c>
    </row>
    <row r="2078" spans="2:3" x14ac:dyDescent="0.3">
      <c r="B2078" s="126">
        <v>43052</v>
      </c>
      <c r="C2078" s="129">
        <v>13964.26</v>
      </c>
    </row>
    <row r="2079" spans="2:3" x14ac:dyDescent="0.3">
      <c r="B2079" s="126">
        <v>43049</v>
      </c>
      <c r="C2079" s="129">
        <v>14096.45</v>
      </c>
    </row>
    <row r="2080" spans="2:3" x14ac:dyDescent="0.3">
      <c r="B2080" s="126">
        <v>43048</v>
      </c>
      <c r="C2080" s="129">
        <v>14078.98</v>
      </c>
    </row>
    <row r="2081" spans="2:3" x14ac:dyDescent="0.3">
      <c r="B2081" s="126">
        <v>43047</v>
      </c>
      <c r="C2081" s="129">
        <v>14071.02</v>
      </c>
    </row>
    <row r="2082" spans="2:3" x14ac:dyDescent="0.3">
      <c r="B2082" s="126">
        <v>43046</v>
      </c>
      <c r="C2082" s="129">
        <v>14135.23</v>
      </c>
    </row>
    <row r="2083" spans="2:3" x14ac:dyDescent="0.3">
      <c r="B2083" s="126">
        <v>43045</v>
      </c>
      <c r="C2083" s="129">
        <v>14274.03</v>
      </c>
    </row>
    <row r="2084" spans="2:3" x14ac:dyDescent="0.3">
      <c r="B2084" s="126">
        <v>43042</v>
      </c>
      <c r="C2084" s="129">
        <v>14274.97</v>
      </c>
    </row>
    <row r="2085" spans="2:3" x14ac:dyDescent="0.3">
      <c r="B2085" s="126">
        <v>43041</v>
      </c>
      <c r="C2085" s="129">
        <v>14232.79</v>
      </c>
    </row>
    <row r="2086" spans="2:3" x14ac:dyDescent="0.3">
      <c r="B2086" s="126">
        <v>43040</v>
      </c>
      <c r="C2086" s="129">
        <v>14255.58</v>
      </c>
    </row>
    <row r="2087" spans="2:3" x14ac:dyDescent="0.3">
      <c r="B2087" s="126">
        <v>43039</v>
      </c>
      <c r="C2087" s="129">
        <v>14108.55</v>
      </c>
    </row>
    <row r="2088" spans="2:3" x14ac:dyDescent="0.3">
      <c r="B2088" s="126">
        <v>43038</v>
      </c>
      <c r="C2088" s="129">
        <v>14137.62</v>
      </c>
    </row>
    <row r="2089" spans="2:3" x14ac:dyDescent="0.3">
      <c r="B2089" s="126">
        <v>43035</v>
      </c>
      <c r="C2089" s="129">
        <v>14082.21</v>
      </c>
    </row>
    <row r="2090" spans="2:3" x14ac:dyDescent="0.3">
      <c r="B2090" s="126">
        <v>43034</v>
      </c>
      <c r="C2090" s="129">
        <v>14110.5</v>
      </c>
    </row>
    <row r="2091" spans="2:3" x14ac:dyDescent="0.3">
      <c r="B2091" s="126">
        <v>43033</v>
      </c>
      <c r="C2091" s="129">
        <v>14044.44</v>
      </c>
    </row>
    <row r="2092" spans="2:3" x14ac:dyDescent="0.3">
      <c r="B2092" s="126">
        <v>43032</v>
      </c>
      <c r="C2092" s="129">
        <v>13923.61</v>
      </c>
    </row>
    <row r="2093" spans="2:3" x14ac:dyDescent="0.3">
      <c r="B2093" s="126">
        <v>43031</v>
      </c>
      <c r="C2093" s="129">
        <v>13892.48</v>
      </c>
    </row>
    <row r="2094" spans="2:3" x14ac:dyDescent="0.3">
      <c r="B2094" s="126">
        <v>43027</v>
      </c>
      <c r="C2094" s="129">
        <v>13840.24</v>
      </c>
    </row>
    <row r="2095" spans="2:3" x14ac:dyDescent="0.3">
      <c r="B2095" s="126">
        <v>43026</v>
      </c>
      <c r="C2095" s="129">
        <v>13927.92</v>
      </c>
    </row>
    <row r="2096" spans="2:3" x14ac:dyDescent="0.3">
      <c r="B2096" s="126">
        <v>43025</v>
      </c>
      <c r="C2096" s="129">
        <v>13960.09</v>
      </c>
    </row>
    <row r="2097" spans="2:3" x14ac:dyDescent="0.3">
      <c r="B2097" s="126">
        <v>43024</v>
      </c>
      <c r="C2097" s="129">
        <v>13955.22</v>
      </c>
    </row>
    <row r="2098" spans="2:3" x14ac:dyDescent="0.3">
      <c r="B2098" s="126">
        <v>43021</v>
      </c>
      <c r="C2098" s="129">
        <v>13868.7</v>
      </c>
    </row>
    <row r="2099" spans="2:3" x14ac:dyDescent="0.3">
      <c r="B2099" s="126">
        <v>43020</v>
      </c>
      <c r="C2099" s="129">
        <v>13771.84</v>
      </c>
    </row>
    <row r="2100" spans="2:3" x14ac:dyDescent="0.3">
      <c r="B2100" s="126">
        <v>43019</v>
      </c>
      <c r="C2100" s="129">
        <v>13619.62</v>
      </c>
    </row>
    <row r="2101" spans="2:3" x14ac:dyDescent="0.3">
      <c r="B2101" s="126">
        <v>43018</v>
      </c>
      <c r="C2101" s="129">
        <v>13663.44</v>
      </c>
    </row>
    <row r="2102" spans="2:3" x14ac:dyDescent="0.3">
      <c r="B2102" s="126">
        <v>43017</v>
      </c>
      <c r="C2102" s="129">
        <v>13625</v>
      </c>
    </row>
    <row r="2103" spans="2:3" x14ac:dyDescent="0.3">
      <c r="B2103" s="126">
        <v>43014</v>
      </c>
      <c r="C2103" s="129">
        <v>13612.63</v>
      </c>
    </row>
    <row r="2104" spans="2:3" x14ac:dyDescent="0.3">
      <c r="B2104" s="126">
        <v>43013</v>
      </c>
      <c r="C2104" s="129">
        <v>13488.48</v>
      </c>
    </row>
    <row r="2105" spans="2:3" x14ac:dyDescent="0.3">
      <c r="B2105" s="126">
        <v>43012</v>
      </c>
      <c r="C2105" s="129">
        <v>13524.27</v>
      </c>
    </row>
    <row r="2106" spans="2:3" x14ac:dyDescent="0.3">
      <c r="B2106" s="126">
        <v>43011</v>
      </c>
      <c r="C2106" s="129">
        <v>13448.66</v>
      </c>
    </row>
    <row r="2107" spans="2:3" x14ac:dyDescent="0.3">
      <c r="B2107" s="126">
        <v>43007</v>
      </c>
      <c r="C2107" s="129">
        <v>13351.99</v>
      </c>
    </row>
    <row r="2108" spans="2:3" x14ac:dyDescent="0.3">
      <c r="B2108" s="126">
        <v>43006</v>
      </c>
      <c r="C2108" s="129">
        <v>13325.16</v>
      </c>
    </row>
    <row r="2109" spans="2:3" x14ac:dyDescent="0.3">
      <c r="B2109" s="126">
        <v>43005</v>
      </c>
      <c r="C2109" s="129">
        <v>13279.85</v>
      </c>
    </row>
    <row r="2110" spans="2:3" x14ac:dyDescent="0.3">
      <c r="B2110" s="126">
        <v>43004</v>
      </c>
      <c r="C2110" s="129">
        <v>13465.07</v>
      </c>
    </row>
    <row r="2111" spans="2:3" x14ac:dyDescent="0.3">
      <c r="B2111" s="126">
        <v>43003</v>
      </c>
      <c r="C2111" s="129">
        <v>13466.53</v>
      </c>
    </row>
    <row r="2112" spans="2:3" x14ac:dyDescent="0.3">
      <c r="B2112" s="126">
        <v>43000</v>
      </c>
      <c r="C2112" s="129">
        <v>13591.79</v>
      </c>
    </row>
    <row r="2113" spans="2:3" x14ac:dyDescent="0.3">
      <c r="B2113" s="126">
        <v>42999</v>
      </c>
      <c r="C2113" s="129">
        <v>13806.6</v>
      </c>
    </row>
    <row r="2114" spans="2:3" x14ac:dyDescent="0.3">
      <c r="B2114" s="126">
        <v>42998</v>
      </c>
      <c r="C2114" s="129">
        <v>13832.04</v>
      </c>
    </row>
    <row r="2115" spans="2:3" x14ac:dyDescent="0.3">
      <c r="B2115" s="126">
        <v>42997</v>
      </c>
      <c r="C2115" s="129">
        <v>13840.78</v>
      </c>
    </row>
    <row r="2116" spans="2:3" x14ac:dyDescent="0.3">
      <c r="B2116" s="126">
        <v>42996</v>
      </c>
      <c r="C2116" s="129">
        <v>13848.34</v>
      </c>
    </row>
    <row r="2117" spans="2:3" x14ac:dyDescent="0.3">
      <c r="B2117" s="126">
        <v>42993</v>
      </c>
      <c r="C2117" s="129">
        <v>13754.62</v>
      </c>
    </row>
    <row r="2118" spans="2:3" x14ac:dyDescent="0.3">
      <c r="B2118" s="126">
        <v>42992</v>
      </c>
      <c r="C2118" s="129">
        <v>13756.28</v>
      </c>
    </row>
    <row r="2119" spans="2:3" x14ac:dyDescent="0.3">
      <c r="B2119" s="126">
        <v>42991</v>
      </c>
      <c r="C2119" s="129">
        <v>13746.3</v>
      </c>
    </row>
    <row r="2120" spans="2:3" x14ac:dyDescent="0.3">
      <c r="B2120" s="126">
        <v>42990</v>
      </c>
      <c r="C2120" s="129">
        <v>13765.03</v>
      </c>
    </row>
    <row r="2121" spans="2:3" x14ac:dyDescent="0.3">
      <c r="B2121" s="126">
        <v>42989</v>
      </c>
      <c r="C2121" s="129">
        <v>13646.37</v>
      </c>
    </row>
    <row r="2122" spans="2:3" x14ac:dyDescent="0.3">
      <c r="B2122" s="126">
        <v>42986</v>
      </c>
      <c r="C2122" s="129">
        <v>13546.57</v>
      </c>
    </row>
    <row r="2123" spans="2:3" x14ac:dyDescent="0.3">
      <c r="B2123" s="126">
        <v>42985</v>
      </c>
      <c r="C2123" s="129">
        <v>13539.91</v>
      </c>
    </row>
    <row r="2124" spans="2:3" x14ac:dyDescent="0.3">
      <c r="B2124" s="126">
        <v>42984</v>
      </c>
      <c r="C2124" s="129">
        <v>13519.3</v>
      </c>
    </row>
    <row r="2125" spans="2:3" x14ac:dyDescent="0.3">
      <c r="B2125" s="126">
        <v>42983</v>
      </c>
      <c r="C2125" s="129">
        <v>13568.38</v>
      </c>
    </row>
    <row r="2126" spans="2:3" x14ac:dyDescent="0.3">
      <c r="B2126" s="126">
        <v>42982</v>
      </c>
      <c r="C2126" s="129">
        <v>13514.16</v>
      </c>
    </row>
    <row r="2127" spans="2:3" x14ac:dyDescent="0.3">
      <c r="B2127" s="126">
        <v>42979</v>
      </c>
      <c r="C2127" s="129">
        <v>13598.09</v>
      </c>
    </row>
    <row r="2128" spans="2:3" x14ac:dyDescent="0.3">
      <c r="B2128" s="126">
        <v>42978</v>
      </c>
      <c r="C2128" s="129">
        <v>13521.03</v>
      </c>
    </row>
    <row r="2129" spans="2:3" x14ac:dyDescent="0.3">
      <c r="B2129" s="126">
        <v>42977</v>
      </c>
      <c r="C2129" s="129">
        <v>13474.73</v>
      </c>
    </row>
    <row r="2130" spans="2:3" x14ac:dyDescent="0.3">
      <c r="B2130" s="126">
        <v>42976</v>
      </c>
      <c r="C2130" s="129">
        <v>13354.29</v>
      </c>
    </row>
    <row r="2131" spans="2:3" x14ac:dyDescent="0.3">
      <c r="B2131" s="126">
        <v>42975</v>
      </c>
      <c r="C2131" s="129">
        <v>13513.48</v>
      </c>
    </row>
    <row r="2132" spans="2:3" x14ac:dyDescent="0.3">
      <c r="B2132" s="126">
        <v>42971</v>
      </c>
      <c r="C2132" s="129">
        <v>13437.45</v>
      </c>
    </row>
    <row r="2133" spans="2:3" x14ac:dyDescent="0.3">
      <c r="B2133" s="126">
        <v>42970</v>
      </c>
      <c r="C2133" s="129">
        <v>13427.67</v>
      </c>
    </row>
    <row r="2134" spans="2:3" x14ac:dyDescent="0.3">
      <c r="B2134" s="126">
        <v>42969</v>
      </c>
      <c r="C2134" s="129">
        <v>13309.14</v>
      </c>
    </row>
    <row r="2135" spans="2:3" x14ac:dyDescent="0.3">
      <c r="B2135" s="126">
        <v>42968</v>
      </c>
      <c r="C2135" s="129">
        <v>13293.88</v>
      </c>
    </row>
    <row r="2136" spans="2:3" x14ac:dyDescent="0.3">
      <c r="B2136" s="126">
        <v>42965</v>
      </c>
      <c r="C2136" s="129">
        <v>13407.07</v>
      </c>
    </row>
    <row r="2137" spans="2:3" x14ac:dyDescent="0.3">
      <c r="B2137" s="126">
        <v>42964</v>
      </c>
      <c r="C2137" s="129">
        <v>13497.69</v>
      </c>
    </row>
    <row r="2138" spans="2:3" x14ac:dyDescent="0.3">
      <c r="B2138" s="126">
        <v>42963</v>
      </c>
      <c r="C2138" s="129">
        <v>13488.33</v>
      </c>
    </row>
    <row r="2139" spans="2:3" x14ac:dyDescent="0.3">
      <c r="B2139" s="126">
        <v>42961</v>
      </c>
      <c r="C2139" s="129">
        <v>13347.75</v>
      </c>
    </row>
    <row r="2140" spans="2:3" x14ac:dyDescent="0.3">
      <c r="B2140" s="126">
        <v>42958</v>
      </c>
      <c r="C2140" s="129">
        <v>13234.2</v>
      </c>
    </row>
    <row r="2141" spans="2:3" x14ac:dyDescent="0.3">
      <c r="B2141" s="126">
        <v>42957</v>
      </c>
      <c r="C2141" s="129">
        <v>13377.05</v>
      </c>
    </row>
    <row r="2142" spans="2:3" x14ac:dyDescent="0.3">
      <c r="B2142" s="126">
        <v>42956</v>
      </c>
      <c r="C2142" s="129">
        <v>13495.81</v>
      </c>
    </row>
    <row r="2143" spans="2:3" x14ac:dyDescent="0.3">
      <c r="B2143" s="126">
        <v>42955</v>
      </c>
      <c r="C2143" s="129">
        <v>13591.81</v>
      </c>
    </row>
    <row r="2144" spans="2:3" x14ac:dyDescent="0.3">
      <c r="B2144" s="126">
        <v>42954</v>
      </c>
      <c r="C2144" s="129">
        <v>13699.21</v>
      </c>
    </row>
    <row r="2145" spans="2:3" x14ac:dyDescent="0.3">
      <c r="B2145" s="126">
        <v>42951</v>
      </c>
      <c r="C2145" s="129">
        <v>13711.47</v>
      </c>
    </row>
    <row r="2146" spans="2:3" x14ac:dyDescent="0.3">
      <c r="B2146" s="126">
        <v>42950</v>
      </c>
      <c r="C2146" s="129">
        <v>13639.66</v>
      </c>
    </row>
    <row r="2147" spans="2:3" x14ac:dyDescent="0.3">
      <c r="B2147" s="126">
        <v>42949</v>
      </c>
      <c r="C2147" s="129">
        <v>13731.63</v>
      </c>
    </row>
    <row r="2148" spans="2:3" x14ac:dyDescent="0.3">
      <c r="B2148" s="126">
        <v>42948</v>
      </c>
      <c r="C2148" s="129">
        <v>13775.33</v>
      </c>
    </row>
    <row r="2149" spans="2:3" x14ac:dyDescent="0.3">
      <c r="B2149" s="126">
        <v>42947</v>
      </c>
      <c r="C2149" s="129">
        <v>13724.19</v>
      </c>
    </row>
    <row r="2150" spans="2:3" x14ac:dyDescent="0.3">
      <c r="B2150" s="126">
        <v>42944</v>
      </c>
      <c r="C2150" s="129">
        <v>13638.1</v>
      </c>
    </row>
    <row r="2151" spans="2:3" x14ac:dyDescent="0.3">
      <c r="B2151" s="126">
        <v>42943</v>
      </c>
      <c r="C2151" s="129">
        <v>13646.34</v>
      </c>
    </row>
    <row r="2152" spans="2:3" x14ac:dyDescent="0.3">
      <c r="B2152" s="126">
        <v>42942</v>
      </c>
      <c r="C2152" s="129">
        <v>13644.46</v>
      </c>
    </row>
    <row r="2153" spans="2:3" x14ac:dyDescent="0.3">
      <c r="B2153" s="126">
        <v>42941</v>
      </c>
      <c r="C2153" s="129">
        <v>13567.66</v>
      </c>
    </row>
    <row r="2154" spans="2:3" x14ac:dyDescent="0.3">
      <c r="B2154" s="126">
        <v>42940</v>
      </c>
      <c r="C2154" s="129">
        <v>13569.88</v>
      </c>
    </row>
    <row r="2155" spans="2:3" x14ac:dyDescent="0.3">
      <c r="B2155" s="126">
        <v>42937</v>
      </c>
      <c r="C2155" s="129">
        <v>13498.25</v>
      </c>
    </row>
    <row r="2156" spans="2:3" x14ac:dyDescent="0.3">
      <c r="B2156" s="126">
        <v>42936</v>
      </c>
      <c r="C2156" s="129">
        <v>13441.11</v>
      </c>
    </row>
    <row r="2157" spans="2:3" x14ac:dyDescent="0.3">
      <c r="B2157" s="126">
        <v>42935</v>
      </c>
      <c r="C2157" s="129">
        <v>13473.52</v>
      </c>
    </row>
    <row r="2158" spans="2:3" x14ac:dyDescent="0.3">
      <c r="B2158" s="126">
        <v>42934</v>
      </c>
      <c r="C2158" s="129">
        <v>13374.92</v>
      </c>
    </row>
    <row r="2159" spans="2:3" x14ac:dyDescent="0.3">
      <c r="B2159" s="126">
        <v>42933</v>
      </c>
      <c r="C2159" s="129">
        <v>13494.64</v>
      </c>
    </row>
    <row r="2160" spans="2:3" x14ac:dyDescent="0.3">
      <c r="B2160" s="126">
        <v>42930</v>
      </c>
      <c r="C2160" s="129">
        <v>13453.49</v>
      </c>
    </row>
    <row r="2161" spans="2:3" x14ac:dyDescent="0.3">
      <c r="B2161" s="126">
        <v>42929</v>
      </c>
      <c r="C2161" s="129">
        <v>13452.22</v>
      </c>
    </row>
    <row r="2162" spans="2:3" x14ac:dyDescent="0.3">
      <c r="B2162" s="126">
        <v>42928</v>
      </c>
      <c r="C2162" s="129">
        <v>13340.24</v>
      </c>
    </row>
    <row r="2163" spans="2:3" x14ac:dyDescent="0.3">
      <c r="B2163" s="126">
        <v>42927</v>
      </c>
      <c r="C2163" s="129">
        <v>13299.17</v>
      </c>
    </row>
    <row r="2164" spans="2:3" x14ac:dyDescent="0.3">
      <c r="B2164" s="126">
        <v>42926</v>
      </c>
      <c r="C2164" s="129">
        <v>13278.81</v>
      </c>
    </row>
    <row r="2165" spans="2:3" x14ac:dyDescent="0.3">
      <c r="B2165" s="126">
        <v>42923</v>
      </c>
      <c r="C2165" s="129">
        <v>13135.35</v>
      </c>
    </row>
    <row r="2166" spans="2:3" x14ac:dyDescent="0.3">
      <c r="B2166" s="126">
        <v>42922</v>
      </c>
      <c r="C2166" s="129">
        <v>13147.27</v>
      </c>
    </row>
    <row r="2167" spans="2:3" x14ac:dyDescent="0.3">
      <c r="B2167" s="126">
        <v>42921</v>
      </c>
      <c r="C2167" s="129">
        <v>13091.36</v>
      </c>
    </row>
    <row r="2168" spans="2:3" x14ac:dyDescent="0.3">
      <c r="B2168" s="126">
        <v>42920</v>
      </c>
      <c r="C2168" s="129">
        <v>13057.86</v>
      </c>
    </row>
    <row r="2169" spans="2:3" x14ac:dyDescent="0.3">
      <c r="B2169" s="126">
        <v>42919</v>
      </c>
      <c r="C2169" s="129">
        <v>13060.15</v>
      </c>
    </row>
    <row r="2170" spans="2:3" x14ac:dyDescent="0.3">
      <c r="B2170" s="126">
        <v>42916</v>
      </c>
      <c r="C2170" s="129">
        <v>12932.33</v>
      </c>
    </row>
    <row r="2171" spans="2:3" x14ac:dyDescent="0.3">
      <c r="B2171" s="126">
        <v>42915</v>
      </c>
      <c r="C2171" s="129">
        <v>12908.13</v>
      </c>
    </row>
    <row r="2172" spans="2:3" x14ac:dyDescent="0.3">
      <c r="B2172" s="126">
        <v>42914</v>
      </c>
      <c r="C2172" s="129">
        <v>12882.7</v>
      </c>
    </row>
    <row r="2173" spans="2:3" x14ac:dyDescent="0.3">
      <c r="B2173" s="126">
        <v>42913</v>
      </c>
      <c r="C2173" s="129">
        <v>12910.01</v>
      </c>
    </row>
    <row r="2174" spans="2:3" x14ac:dyDescent="0.3">
      <c r="B2174" s="126">
        <v>42909</v>
      </c>
      <c r="C2174" s="129">
        <v>12996.3</v>
      </c>
    </row>
    <row r="2175" spans="2:3" x14ac:dyDescent="0.3">
      <c r="B2175" s="126">
        <v>42908</v>
      </c>
      <c r="C2175" s="129">
        <v>13070.98</v>
      </c>
    </row>
    <row r="2176" spans="2:3" x14ac:dyDescent="0.3">
      <c r="B2176" s="126">
        <v>42907</v>
      </c>
      <c r="C2176" s="129">
        <v>13072.91</v>
      </c>
    </row>
    <row r="2177" spans="2:3" x14ac:dyDescent="0.3">
      <c r="B2177" s="126">
        <v>42906</v>
      </c>
      <c r="C2177" s="129">
        <v>13072.98</v>
      </c>
    </row>
    <row r="2178" spans="2:3" x14ac:dyDescent="0.3">
      <c r="B2178" s="126">
        <v>42905</v>
      </c>
      <c r="C2178" s="129">
        <v>13100.15</v>
      </c>
    </row>
    <row r="2179" spans="2:3" x14ac:dyDescent="0.3">
      <c r="B2179" s="126">
        <v>42902</v>
      </c>
      <c r="C2179" s="129">
        <v>13005.86</v>
      </c>
    </row>
    <row r="2180" spans="2:3" x14ac:dyDescent="0.3">
      <c r="B2180" s="126">
        <v>42901</v>
      </c>
      <c r="C2180" s="129">
        <v>12992.34</v>
      </c>
    </row>
    <row r="2181" spans="2:3" x14ac:dyDescent="0.3">
      <c r="B2181" s="126">
        <v>42900</v>
      </c>
      <c r="C2181" s="129">
        <v>13045.44</v>
      </c>
    </row>
    <row r="2182" spans="2:3" x14ac:dyDescent="0.3">
      <c r="B2182" s="126">
        <v>42899</v>
      </c>
      <c r="C2182" s="129">
        <v>13030.22</v>
      </c>
    </row>
    <row r="2183" spans="2:3" x14ac:dyDescent="0.3">
      <c r="B2183" s="126">
        <v>42898</v>
      </c>
      <c r="C2183" s="129">
        <v>13037.83</v>
      </c>
    </row>
    <row r="2184" spans="2:3" x14ac:dyDescent="0.3">
      <c r="B2184" s="126">
        <v>42895</v>
      </c>
      <c r="C2184" s="129">
        <v>13108.12</v>
      </c>
    </row>
    <row r="2185" spans="2:3" x14ac:dyDescent="0.3">
      <c r="B2185" s="126">
        <v>42894</v>
      </c>
      <c r="C2185" s="129">
        <v>13079.63</v>
      </c>
    </row>
    <row r="2186" spans="2:3" x14ac:dyDescent="0.3">
      <c r="B2186" s="126">
        <v>42893</v>
      </c>
      <c r="C2186" s="129">
        <v>13101.62</v>
      </c>
    </row>
    <row r="2187" spans="2:3" x14ac:dyDescent="0.3">
      <c r="B2187" s="126">
        <v>42892</v>
      </c>
      <c r="C2187" s="129">
        <v>13065.33</v>
      </c>
    </row>
    <row r="2188" spans="2:3" x14ac:dyDescent="0.3">
      <c r="B2188" s="126">
        <v>42891</v>
      </c>
      <c r="C2188" s="129">
        <v>13116.78</v>
      </c>
    </row>
    <row r="2189" spans="2:3" x14ac:dyDescent="0.3">
      <c r="B2189" s="126">
        <v>42888</v>
      </c>
      <c r="C2189" s="129">
        <v>13072.98</v>
      </c>
    </row>
    <row r="2190" spans="2:3" x14ac:dyDescent="0.3">
      <c r="B2190" s="126">
        <v>42887</v>
      </c>
      <c r="C2190" s="129">
        <v>13022.35</v>
      </c>
    </row>
    <row r="2191" spans="2:3" x14ac:dyDescent="0.3">
      <c r="B2191" s="126">
        <v>42886</v>
      </c>
      <c r="C2191" s="129">
        <v>13018.69</v>
      </c>
    </row>
    <row r="2192" spans="2:3" x14ac:dyDescent="0.3">
      <c r="B2192" s="126">
        <v>42885</v>
      </c>
      <c r="C2192" s="129">
        <v>13023.19</v>
      </c>
    </row>
    <row r="2193" spans="2:3" x14ac:dyDescent="0.3">
      <c r="B2193" s="126">
        <v>42884</v>
      </c>
      <c r="C2193" s="129">
        <v>12996.61</v>
      </c>
    </row>
    <row r="2194" spans="2:3" x14ac:dyDescent="0.3">
      <c r="B2194" s="126">
        <v>42881</v>
      </c>
      <c r="C2194" s="129">
        <v>12981.79</v>
      </c>
    </row>
    <row r="2195" spans="2:3" x14ac:dyDescent="0.3">
      <c r="B2195" s="126">
        <v>42880</v>
      </c>
      <c r="C2195" s="129">
        <v>12863.38</v>
      </c>
    </row>
    <row r="2196" spans="2:3" x14ac:dyDescent="0.3">
      <c r="B2196" s="126">
        <v>42879</v>
      </c>
      <c r="C2196" s="129">
        <v>12661.62</v>
      </c>
    </row>
    <row r="2197" spans="2:3" x14ac:dyDescent="0.3">
      <c r="B2197" s="126">
        <v>42878</v>
      </c>
      <c r="C2197" s="129">
        <v>12695.02</v>
      </c>
    </row>
    <row r="2198" spans="2:3" x14ac:dyDescent="0.3">
      <c r="B2198" s="126">
        <v>42877</v>
      </c>
      <c r="C2198" s="129">
        <v>12765.48</v>
      </c>
    </row>
    <row r="2199" spans="2:3" x14ac:dyDescent="0.3">
      <c r="B2199" s="126">
        <v>42874</v>
      </c>
      <c r="C2199" s="129">
        <v>12751.43</v>
      </c>
    </row>
    <row r="2200" spans="2:3" x14ac:dyDescent="0.3">
      <c r="B2200" s="126">
        <v>42873</v>
      </c>
      <c r="C2200" s="129">
        <v>12753.55</v>
      </c>
    </row>
    <row r="2201" spans="2:3" x14ac:dyDescent="0.3">
      <c r="B2201" s="126">
        <v>42872</v>
      </c>
      <c r="C2201" s="129">
        <v>12883.83</v>
      </c>
    </row>
    <row r="2202" spans="2:3" x14ac:dyDescent="0.3">
      <c r="B2202" s="126">
        <v>42871</v>
      </c>
      <c r="C2202" s="129">
        <v>12865.56</v>
      </c>
    </row>
    <row r="2203" spans="2:3" x14ac:dyDescent="0.3">
      <c r="B2203" s="126">
        <v>42870</v>
      </c>
      <c r="C2203" s="129">
        <v>12775.11</v>
      </c>
    </row>
    <row r="2204" spans="2:3" x14ac:dyDescent="0.3">
      <c r="B2204" s="126">
        <v>42867</v>
      </c>
      <c r="C2204" s="129">
        <v>12714.97</v>
      </c>
    </row>
    <row r="2205" spans="2:3" x14ac:dyDescent="0.3">
      <c r="B2205" s="126">
        <v>42866</v>
      </c>
      <c r="C2205" s="129">
        <v>12743.99</v>
      </c>
    </row>
    <row r="2206" spans="2:3" x14ac:dyDescent="0.3">
      <c r="B2206" s="126">
        <v>42865</v>
      </c>
      <c r="C2206" s="129">
        <v>12723.6</v>
      </c>
    </row>
    <row r="2207" spans="2:3" x14ac:dyDescent="0.3">
      <c r="B2207" s="126">
        <v>42864</v>
      </c>
      <c r="C2207" s="129">
        <v>12601.23</v>
      </c>
    </row>
    <row r="2208" spans="2:3" x14ac:dyDescent="0.3">
      <c r="B2208" s="126">
        <v>42863</v>
      </c>
      <c r="C2208" s="129">
        <v>12597.5</v>
      </c>
    </row>
    <row r="2209" spans="2:3" x14ac:dyDescent="0.3">
      <c r="B2209" s="126">
        <v>42860</v>
      </c>
      <c r="C2209" s="129">
        <v>12558.6</v>
      </c>
    </row>
    <row r="2210" spans="2:3" x14ac:dyDescent="0.3">
      <c r="B2210" s="126">
        <v>42859</v>
      </c>
      <c r="C2210" s="129">
        <v>12659.51</v>
      </c>
    </row>
    <row r="2211" spans="2:3" x14ac:dyDescent="0.3">
      <c r="B2211" s="126">
        <v>42858</v>
      </c>
      <c r="C2211" s="129">
        <v>12593.58</v>
      </c>
    </row>
    <row r="2212" spans="2:3" x14ac:dyDescent="0.3">
      <c r="B2212" s="126">
        <v>42857</v>
      </c>
      <c r="C2212" s="129">
        <v>12596.08</v>
      </c>
    </row>
    <row r="2213" spans="2:3" x14ac:dyDescent="0.3">
      <c r="B2213" s="126">
        <v>42853</v>
      </c>
      <c r="C2213" s="129">
        <v>12582.88</v>
      </c>
    </row>
    <row r="2214" spans="2:3" x14ac:dyDescent="0.3">
      <c r="B2214" s="126">
        <v>42852</v>
      </c>
      <c r="C2214" s="129">
        <v>12634.41</v>
      </c>
    </row>
    <row r="2215" spans="2:3" x14ac:dyDescent="0.3">
      <c r="B2215" s="126">
        <v>42851</v>
      </c>
      <c r="C2215" s="129">
        <v>12647.53</v>
      </c>
    </row>
    <row r="2216" spans="2:3" x14ac:dyDescent="0.3">
      <c r="B2216" s="126">
        <v>42850</v>
      </c>
      <c r="C2216" s="129">
        <v>12586.34</v>
      </c>
    </row>
    <row r="2217" spans="2:3" x14ac:dyDescent="0.3">
      <c r="B2217" s="126">
        <v>42849</v>
      </c>
      <c r="C2217" s="129">
        <v>12466.46</v>
      </c>
    </row>
    <row r="2218" spans="2:3" x14ac:dyDescent="0.3">
      <c r="B2218" s="126">
        <v>42846</v>
      </c>
      <c r="C2218" s="129">
        <v>12333.17</v>
      </c>
    </row>
    <row r="2219" spans="2:3" x14ac:dyDescent="0.3">
      <c r="B2219" s="126">
        <v>42845</v>
      </c>
      <c r="C2219" s="129">
        <v>12356.2</v>
      </c>
    </row>
    <row r="2220" spans="2:3" x14ac:dyDescent="0.3">
      <c r="B2220" s="126">
        <v>42844</v>
      </c>
      <c r="C2220" s="129">
        <v>12311.67</v>
      </c>
    </row>
    <row r="2221" spans="2:3" x14ac:dyDescent="0.3">
      <c r="B2221" s="126">
        <v>42843</v>
      </c>
      <c r="C2221" s="129">
        <v>12313.9</v>
      </c>
    </row>
    <row r="2222" spans="2:3" x14ac:dyDescent="0.3">
      <c r="B2222" s="126">
        <v>42842</v>
      </c>
      <c r="C2222" s="129">
        <v>12360.11</v>
      </c>
    </row>
    <row r="2223" spans="2:3" x14ac:dyDescent="0.3">
      <c r="B2223" s="126">
        <v>42838</v>
      </c>
      <c r="C2223" s="129">
        <v>12375.68</v>
      </c>
    </row>
    <row r="2224" spans="2:3" x14ac:dyDescent="0.3">
      <c r="B2224" s="126">
        <v>42837</v>
      </c>
      <c r="C2224" s="129">
        <v>12446.84</v>
      </c>
    </row>
    <row r="2225" spans="2:3" x14ac:dyDescent="0.3">
      <c r="B2225" s="126">
        <v>42836</v>
      </c>
      <c r="C2225" s="129">
        <v>12492.24</v>
      </c>
    </row>
    <row r="2226" spans="2:3" x14ac:dyDescent="0.3">
      <c r="B2226" s="126">
        <v>42835</v>
      </c>
      <c r="C2226" s="129">
        <v>12417.07</v>
      </c>
    </row>
    <row r="2227" spans="2:3" x14ac:dyDescent="0.3">
      <c r="B2227" s="126">
        <v>42832</v>
      </c>
      <c r="C2227" s="129">
        <v>12439.9</v>
      </c>
    </row>
    <row r="2228" spans="2:3" x14ac:dyDescent="0.3">
      <c r="B2228" s="126">
        <v>42831</v>
      </c>
      <c r="C2228" s="129">
        <v>12525.97</v>
      </c>
    </row>
    <row r="2229" spans="2:3" x14ac:dyDescent="0.3">
      <c r="B2229" s="126">
        <v>42830</v>
      </c>
      <c r="C2229" s="129">
        <v>12530.31</v>
      </c>
    </row>
    <row r="2230" spans="2:3" x14ac:dyDescent="0.3">
      <c r="B2230" s="126">
        <v>42828</v>
      </c>
      <c r="C2230" s="129">
        <v>12493.39</v>
      </c>
    </row>
    <row r="2231" spans="2:3" x14ac:dyDescent="0.3">
      <c r="B2231" s="126">
        <v>42825</v>
      </c>
      <c r="C2231" s="129">
        <v>12406.69</v>
      </c>
    </row>
    <row r="2232" spans="2:3" x14ac:dyDescent="0.3">
      <c r="B2232" s="126">
        <v>42824</v>
      </c>
      <c r="C2232" s="129">
        <v>12404.41</v>
      </c>
    </row>
    <row r="2233" spans="2:3" x14ac:dyDescent="0.3">
      <c r="B2233" s="126">
        <v>42823</v>
      </c>
      <c r="C2233" s="129">
        <v>12363.95</v>
      </c>
    </row>
    <row r="2234" spans="2:3" x14ac:dyDescent="0.3">
      <c r="B2234" s="126">
        <v>42822</v>
      </c>
      <c r="C2234" s="129">
        <v>12305.77</v>
      </c>
    </row>
    <row r="2235" spans="2:3" x14ac:dyDescent="0.3">
      <c r="B2235" s="126">
        <v>42821</v>
      </c>
      <c r="C2235" s="129">
        <v>12230.63</v>
      </c>
    </row>
    <row r="2236" spans="2:3" x14ac:dyDescent="0.3">
      <c r="B2236" s="126">
        <v>42818</v>
      </c>
      <c r="C2236" s="129">
        <v>12314.98</v>
      </c>
    </row>
    <row r="2237" spans="2:3" x14ac:dyDescent="0.3">
      <c r="B2237" s="126">
        <v>42817</v>
      </c>
      <c r="C2237" s="129">
        <v>12283.35</v>
      </c>
    </row>
    <row r="2238" spans="2:3" x14ac:dyDescent="0.3">
      <c r="B2238" s="126">
        <v>42816</v>
      </c>
      <c r="C2238" s="129">
        <v>12207.85</v>
      </c>
    </row>
    <row r="2239" spans="2:3" x14ac:dyDescent="0.3">
      <c r="B2239" s="126">
        <v>42815</v>
      </c>
      <c r="C2239" s="129">
        <v>12330.92</v>
      </c>
    </row>
    <row r="2240" spans="2:3" x14ac:dyDescent="0.3">
      <c r="B2240" s="126">
        <v>42814</v>
      </c>
      <c r="C2240" s="129">
        <v>12338.14</v>
      </c>
    </row>
    <row r="2241" spans="2:3" x14ac:dyDescent="0.3">
      <c r="B2241" s="126">
        <v>42811</v>
      </c>
      <c r="C2241" s="129">
        <v>12383.04</v>
      </c>
    </row>
    <row r="2242" spans="2:3" x14ac:dyDescent="0.3">
      <c r="B2242" s="126">
        <v>42810</v>
      </c>
      <c r="C2242" s="129">
        <v>12374.48</v>
      </c>
    </row>
    <row r="2243" spans="2:3" x14ac:dyDescent="0.3">
      <c r="B2243" s="126">
        <v>42809</v>
      </c>
      <c r="C2243" s="129">
        <v>12278.23</v>
      </c>
    </row>
    <row r="2244" spans="2:3" x14ac:dyDescent="0.3">
      <c r="B2244" s="126">
        <v>42808</v>
      </c>
      <c r="C2244" s="129">
        <v>12281.22</v>
      </c>
    </row>
    <row r="2245" spans="2:3" x14ac:dyDescent="0.3">
      <c r="B2245" s="126">
        <v>42804</v>
      </c>
      <c r="C2245" s="129">
        <v>12066.4</v>
      </c>
    </row>
    <row r="2246" spans="2:3" x14ac:dyDescent="0.3">
      <c r="B2246" s="126">
        <v>42803</v>
      </c>
      <c r="C2246" s="129">
        <v>12056.17</v>
      </c>
    </row>
    <row r="2247" spans="2:3" x14ac:dyDescent="0.3">
      <c r="B2247" s="126">
        <v>42802</v>
      </c>
      <c r="C2247" s="129">
        <v>12050.77</v>
      </c>
    </row>
    <row r="2248" spans="2:3" x14ac:dyDescent="0.3">
      <c r="B2248" s="126">
        <v>42801</v>
      </c>
      <c r="C2248" s="129">
        <v>12081.34</v>
      </c>
    </row>
    <row r="2249" spans="2:3" x14ac:dyDescent="0.3">
      <c r="B2249" s="126">
        <v>42800</v>
      </c>
      <c r="C2249" s="129">
        <v>12103.68</v>
      </c>
    </row>
    <row r="2250" spans="2:3" x14ac:dyDescent="0.3">
      <c r="B2250" s="126">
        <v>42797</v>
      </c>
      <c r="C2250" s="129">
        <v>12014.7</v>
      </c>
    </row>
    <row r="2251" spans="2:3" x14ac:dyDescent="0.3">
      <c r="B2251" s="126">
        <v>42796</v>
      </c>
      <c r="C2251" s="129">
        <v>12017.63</v>
      </c>
    </row>
    <row r="2252" spans="2:3" x14ac:dyDescent="0.3">
      <c r="B2252" s="126">
        <v>42795</v>
      </c>
      <c r="C2252" s="129">
        <v>12079.8</v>
      </c>
    </row>
    <row r="2253" spans="2:3" x14ac:dyDescent="0.3">
      <c r="B2253" s="126">
        <v>42794</v>
      </c>
      <c r="C2253" s="129">
        <v>11990.44</v>
      </c>
    </row>
    <row r="2254" spans="2:3" x14ac:dyDescent="0.3">
      <c r="B2254" s="126">
        <v>42793</v>
      </c>
      <c r="C2254" s="129">
        <v>12009.8</v>
      </c>
    </row>
    <row r="2255" spans="2:3" x14ac:dyDescent="0.3">
      <c r="B2255" s="126">
        <v>42789</v>
      </c>
      <c r="C2255" s="129">
        <v>12067.61</v>
      </c>
    </row>
    <row r="2256" spans="2:3" x14ac:dyDescent="0.3">
      <c r="B2256" s="126">
        <v>42788</v>
      </c>
      <c r="C2256" s="129">
        <v>12050.54</v>
      </c>
    </row>
    <row r="2257" spans="2:3" x14ac:dyDescent="0.3">
      <c r="B2257" s="126">
        <v>42787</v>
      </c>
      <c r="C2257" s="129">
        <v>12024.88</v>
      </c>
    </row>
    <row r="2258" spans="2:3" x14ac:dyDescent="0.3">
      <c r="B2258" s="126">
        <v>42786</v>
      </c>
      <c r="C2258" s="129">
        <v>11986.21</v>
      </c>
    </row>
    <row r="2259" spans="2:3" x14ac:dyDescent="0.3">
      <c r="B2259" s="126">
        <v>42783</v>
      </c>
      <c r="C2259" s="129">
        <v>11908.56</v>
      </c>
    </row>
    <row r="2260" spans="2:3" x14ac:dyDescent="0.3">
      <c r="B2260" s="126">
        <v>42782</v>
      </c>
      <c r="C2260" s="129">
        <v>11849.55</v>
      </c>
    </row>
    <row r="2261" spans="2:3" x14ac:dyDescent="0.3">
      <c r="B2261" s="126">
        <v>42781</v>
      </c>
      <c r="C2261" s="129">
        <v>11776.57</v>
      </c>
    </row>
    <row r="2262" spans="2:3" x14ac:dyDescent="0.3">
      <c r="B2262" s="126">
        <v>42780</v>
      </c>
      <c r="C2262" s="129">
        <v>11865.43</v>
      </c>
    </row>
    <row r="2263" spans="2:3" x14ac:dyDescent="0.3">
      <c r="B2263" s="126">
        <v>42779</v>
      </c>
      <c r="C2263" s="129">
        <v>11882.38</v>
      </c>
    </row>
    <row r="2264" spans="2:3" x14ac:dyDescent="0.3">
      <c r="B2264" s="126">
        <v>42776</v>
      </c>
      <c r="C2264" s="129">
        <v>11866.82</v>
      </c>
    </row>
    <row r="2265" spans="2:3" x14ac:dyDescent="0.3">
      <c r="B2265" s="126">
        <v>42775</v>
      </c>
      <c r="C2265" s="129">
        <v>11846.42</v>
      </c>
    </row>
    <row r="2266" spans="2:3" x14ac:dyDescent="0.3">
      <c r="B2266" s="126">
        <v>42774</v>
      </c>
      <c r="C2266" s="129">
        <v>11833.8</v>
      </c>
    </row>
    <row r="2267" spans="2:3" x14ac:dyDescent="0.3">
      <c r="B2267" s="126">
        <v>42773</v>
      </c>
      <c r="C2267" s="129">
        <v>11832.78</v>
      </c>
    </row>
    <row r="2268" spans="2:3" x14ac:dyDescent="0.3">
      <c r="B2268" s="126">
        <v>42772</v>
      </c>
      <c r="C2268" s="129">
        <v>11874.73</v>
      </c>
    </row>
    <row r="2269" spans="2:3" x14ac:dyDescent="0.3">
      <c r="B2269" s="126">
        <v>42769</v>
      </c>
      <c r="C2269" s="129">
        <v>11793.62</v>
      </c>
    </row>
    <row r="2270" spans="2:3" x14ac:dyDescent="0.3">
      <c r="B2270" s="126">
        <v>42768</v>
      </c>
      <c r="C2270" s="129">
        <v>11784.61</v>
      </c>
    </row>
    <row r="2271" spans="2:3" x14ac:dyDescent="0.3">
      <c r="B2271" s="126">
        <v>42767</v>
      </c>
      <c r="C2271" s="129">
        <v>11758.63</v>
      </c>
    </row>
    <row r="2272" spans="2:3" x14ac:dyDescent="0.3">
      <c r="B2272" s="126">
        <v>42766</v>
      </c>
      <c r="C2272" s="129">
        <v>11548.15</v>
      </c>
    </row>
    <row r="2273" spans="2:3" x14ac:dyDescent="0.3">
      <c r="B2273" s="126">
        <v>42765</v>
      </c>
      <c r="C2273" s="129">
        <v>11644.53</v>
      </c>
    </row>
    <row r="2274" spans="2:3" x14ac:dyDescent="0.3">
      <c r="B2274" s="126">
        <v>42762</v>
      </c>
      <c r="C2274" s="129">
        <v>11656</v>
      </c>
    </row>
    <row r="2275" spans="2:3" x14ac:dyDescent="0.3">
      <c r="B2275" s="126">
        <v>42760</v>
      </c>
      <c r="C2275" s="129">
        <v>11604.09</v>
      </c>
    </row>
    <row r="2276" spans="2:3" x14ac:dyDescent="0.3">
      <c r="B2276" s="126">
        <v>42759</v>
      </c>
      <c r="C2276" s="129">
        <v>11432.83</v>
      </c>
    </row>
    <row r="2277" spans="2:3" x14ac:dyDescent="0.3">
      <c r="B2277" s="126">
        <v>42758</v>
      </c>
      <c r="C2277" s="129">
        <v>11319.09</v>
      </c>
    </row>
    <row r="2278" spans="2:3" x14ac:dyDescent="0.3">
      <c r="B2278" s="126">
        <v>42755</v>
      </c>
      <c r="C2278" s="129">
        <v>11260.99</v>
      </c>
    </row>
    <row r="2279" spans="2:3" x14ac:dyDescent="0.3">
      <c r="B2279" s="126">
        <v>42754</v>
      </c>
      <c r="C2279" s="129">
        <v>11376.62</v>
      </c>
    </row>
    <row r="2280" spans="2:3" x14ac:dyDescent="0.3">
      <c r="B2280" s="126">
        <v>42753</v>
      </c>
      <c r="C2280" s="129">
        <v>11352.22</v>
      </c>
    </row>
    <row r="2281" spans="2:3" x14ac:dyDescent="0.3">
      <c r="B2281" s="126">
        <v>42752</v>
      </c>
      <c r="C2281" s="129">
        <v>11326.62</v>
      </c>
    </row>
    <row r="2282" spans="2:3" x14ac:dyDescent="0.3">
      <c r="B2282" s="126">
        <v>42751</v>
      </c>
      <c r="C2282" s="129">
        <v>11346.57</v>
      </c>
    </row>
    <row r="2283" spans="2:3" x14ac:dyDescent="0.3">
      <c r="B2283" s="126">
        <v>42748</v>
      </c>
      <c r="C2283" s="129">
        <v>11329.78</v>
      </c>
    </row>
    <row r="2284" spans="2:3" x14ac:dyDescent="0.3">
      <c r="B2284" s="126">
        <v>42747</v>
      </c>
      <c r="C2284" s="129">
        <v>11339.04</v>
      </c>
    </row>
    <row r="2285" spans="2:3" x14ac:dyDescent="0.3">
      <c r="B2285" s="126">
        <v>42746</v>
      </c>
      <c r="C2285" s="129">
        <v>11303.19</v>
      </c>
    </row>
    <row r="2286" spans="2:3" x14ac:dyDescent="0.3">
      <c r="B2286" s="126">
        <v>42745</v>
      </c>
      <c r="C2286" s="129">
        <v>11179.04</v>
      </c>
    </row>
    <row r="2287" spans="2:3" x14ac:dyDescent="0.3">
      <c r="B2287" s="126">
        <v>42744</v>
      </c>
      <c r="C2287" s="129">
        <v>11108.2</v>
      </c>
    </row>
    <row r="2288" spans="2:3" x14ac:dyDescent="0.3">
      <c r="B2288" s="126">
        <v>42741</v>
      </c>
      <c r="C2288" s="129">
        <v>11118.62</v>
      </c>
    </row>
    <row r="2289" spans="2:3" x14ac:dyDescent="0.3">
      <c r="B2289" s="126">
        <v>42740</v>
      </c>
      <c r="C2289" s="129">
        <v>11159.12</v>
      </c>
    </row>
    <row r="2290" spans="2:3" x14ac:dyDescent="0.3">
      <c r="B2290" s="126">
        <v>42739</v>
      </c>
      <c r="C2290" s="129">
        <v>11046.76</v>
      </c>
    </row>
    <row r="2291" spans="2:3" x14ac:dyDescent="0.3">
      <c r="B2291" s="126">
        <v>42738</v>
      </c>
      <c r="C2291" s="129">
        <v>11049.08</v>
      </c>
    </row>
    <row r="2292" spans="2:3" x14ac:dyDescent="0.3">
      <c r="B2292" s="126">
        <v>42737</v>
      </c>
      <c r="C2292" s="129">
        <v>11031.91</v>
      </c>
    </row>
    <row r="2293" spans="2:3" x14ac:dyDescent="0.3">
      <c r="B2293" s="126">
        <v>42734</v>
      </c>
      <c r="C2293" s="129">
        <v>11040.41</v>
      </c>
    </row>
    <row r="2294" spans="2:3" x14ac:dyDescent="0.3">
      <c r="B2294" s="126">
        <v>42733</v>
      </c>
      <c r="C2294" s="129">
        <v>10929.53</v>
      </c>
    </row>
    <row r="2295" spans="2:3" x14ac:dyDescent="0.3">
      <c r="B2295" s="126">
        <v>42732</v>
      </c>
      <c r="C2295" s="129">
        <v>10836.85</v>
      </c>
    </row>
    <row r="2296" spans="2:3" x14ac:dyDescent="0.3">
      <c r="B2296" s="126">
        <v>42731</v>
      </c>
      <c r="C2296" s="129">
        <v>10834.12</v>
      </c>
    </row>
    <row r="2297" spans="2:3" x14ac:dyDescent="0.3">
      <c r="B2297" s="126">
        <v>42730</v>
      </c>
      <c r="C2297" s="129">
        <v>10666.06</v>
      </c>
    </row>
    <row r="2298" spans="2:3" x14ac:dyDescent="0.3">
      <c r="B2298" s="126">
        <v>42727</v>
      </c>
      <c r="C2298" s="129">
        <v>10770.6</v>
      </c>
    </row>
    <row r="2299" spans="2:3" x14ac:dyDescent="0.3">
      <c r="B2299" s="126">
        <v>42726</v>
      </c>
      <c r="C2299" s="129">
        <v>10761.65</v>
      </c>
    </row>
    <row r="2300" spans="2:3" x14ac:dyDescent="0.3">
      <c r="B2300" s="126">
        <v>42725</v>
      </c>
      <c r="C2300" s="129">
        <v>10872.49</v>
      </c>
    </row>
    <row r="2301" spans="2:3" x14ac:dyDescent="0.3">
      <c r="B2301" s="126">
        <v>42724</v>
      </c>
      <c r="C2301" s="129">
        <v>10900.96</v>
      </c>
    </row>
    <row r="2302" spans="2:3" x14ac:dyDescent="0.3">
      <c r="B2302" s="126">
        <v>42723</v>
      </c>
      <c r="C2302" s="129">
        <v>10930.55</v>
      </c>
    </row>
    <row r="2303" spans="2:3" x14ac:dyDescent="0.3">
      <c r="B2303" s="126">
        <v>42720</v>
      </c>
      <c r="C2303" s="129">
        <v>10977.91</v>
      </c>
    </row>
    <row r="2304" spans="2:3" x14ac:dyDescent="0.3">
      <c r="B2304" s="126">
        <v>42719</v>
      </c>
      <c r="C2304" s="129">
        <v>10997.01</v>
      </c>
    </row>
    <row r="2305" spans="2:3" x14ac:dyDescent="0.3">
      <c r="B2305" s="126">
        <v>42718</v>
      </c>
      <c r="C2305" s="129">
        <v>11035.88</v>
      </c>
    </row>
    <row r="2306" spans="2:3" x14ac:dyDescent="0.3">
      <c r="B2306" s="126">
        <v>42717</v>
      </c>
      <c r="C2306" s="129">
        <v>11088.99</v>
      </c>
    </row>
    <row r="2307" spans="2:3" x14ac:dyDescent="0.3">
      <c r="B2307" s="126">
        <v>42716</v>
      </c>
      <c r="C2307" s="129">
        <v>11020.15</v>
      </c>
    </row>
    <row r="2308" spans="2:3" x14ac:dyDescent="0.3">
      <c r="B2308" s="126">
        <v>42713</v>
      </c>
      <c r="C2308" s="129">
        <v>11142.82</v>
      </c>
    </row>
    <row r="2309" spans="2:3" x14ac:dyDescent="0.3">
      <c r="B2309" s="126">
        <v>42712</v>
      </c>
      <c r="C2309" s="129">
        <v>11122.75</v>
      </c>
    </row>
    <row r="2310" spans="2:3" x14ac:dyDescent="0.3">
      <c r="B2310" s="126">
        <v>42711</v>
      </c>
      <c r="C2310" s="129">
        <v>10927.43</v>
      </c>
    </row>
    <row r="2311" spans="2:3" x14ac:dyDescent="0.3">
      <c r="B2311" s="126">
        <v>42710</v>
      </c>
      <c r="C2311" s="129">
        <v>10982.89</v>
      </c>
    </row>
    <row r="2312" spans="2:3" x14ac:dyDescent="0.3">
      <c r="B2312" s="126">
        <v>42709</v>
      </c>
      <c r="C2312" s="129">
        <v>10963.49</v>
      </c>
    </row>
    <row r="2313" spans="2:3" x14ac:dyDescent="0.3">
      <c r="B2313" s="126">
        <v>42706</v>
      </c>
      <c r="C2313" s="129">
        <v>10906.86</v>
      </c>
    </row>
    <row r="2314" spans="2:3" x14ac:dyDescent="0.3">
      <c r="B2314" s="126">
        <v>42705</v>
      </c>
      <c r="C2314" s="129">
        <v>11050</v>
      </c>
    </row>
    <row r="2315" spans="2:3" x14ac:dyDescent="0.3">
      <c r="B2315" s="126">
        <v>42704</v>
      </c>
      <c r="C2315" s="129">
        <v>11092.59</v>
      </c>
    </row>
    <row r="2316" spans="2:3" x14ac:dyDescent="0.3">
      <c r="B2316" s="126">
        <v>42703</v>
      </c>
      <c r="C2316" s="129">
        <v>10981.54</v>
      </c>
    </row>
    <row r="2317" spans="2:3" x14ac:dyDescent="0.3">
      <c r="B2317" s="126">
        <v>42702</v>
      </c>
      <c r="C2317" s="129">
        <v>10960.97</v>
      </c>
    </row>
    <row r="2318" spans="2:3" x14ac:dyDescent="0.3">
      <c r="B2318" s="126">
        <v>42699</v>
      </c>
      <c r="C2318" s="129">
        <v>10943.99</v>
      </c>
    </row>
    <row r="2319" spans="2:3" x14ac:dyDescent="0.3">
      <c r="B2319" s="126">
        <v>42698</v>
      </c>
      <c r="C2319" s="129">
        <v>10743.28</v>
      </c>
    </row>
    <row r="2320" spans="2:3" x14ac:dyDescent="0.3">
      <c r="B2320" s="126">
        <v>42697</v>
      </c>
      <c r="C2320" s="129">
        <v>10834.59</v>
      </c>
    </row>
    <row r="2321" spans="2:3" x14ac:dyDescent="0.3">
      <c r="B2321" s="126">
        <v>42696</v>
      </c>
      <c r="C2321" s="129">
        <v>10792.82</v>
      </c>
    </row>
    <row r="2322" spans="2:3" x14ac:dyDescent="0.3">
      <c r="B2322" s="126">
        <v>42695</v>
      </c>
      <c r="C2322" s="129">
        <v>10694.09</v>
      </c>
    </row>
    <row r="2323" spans="2:3" x14ac:dyDescent="0.3">
      <c r="B2323" s="126">
        <v>42692</v>
      </c>
      <c r="C2323" s="129">
        <v>10889.64</v>
      </c>
    </row>
    <row r="2324" spans="2:3" x14ac:dyDescent="0.3">
      <c r="B2324" s="126">
        <v>42691</v>
      </c>
      <c r="C2324" s="129">
        <v>10897.55</v>
      </c>
    </row>
    <row r="2325" spans="2:3" x14ac:dyDescent="0.3">
      <c r="B2325" s="126">
        <v>42690</v>
      </c>
      <c r="C2325" s="129">
        <v>10940.23</v>
      </c>
    </row>
    <row r="2326" spans="2:3" x14ac:dyDescent="0.3">
      <c r="B2326" s="126">
        <v>42689</v>
      </c>
      <c r="C2326" s="129">
        <v>10935.99</v>
      </c>
    </row>
    <row r="2327" spans="2:3" x14ac:dyDescent="0.3">
      <c r="B2327" s="126">
        <v>42685</v>
      </c>
      <c r="C2327" s="129">
        <v>11189.3</v>
      </c>
    </row>
    <row r="2328" spans="2:3" x14ac:dyDescent="0.3">
      <c r="B2328" s="126">
        <v>42684</v>
      </c>
      <c r="C2328" s="129">
        <v>11498.79</v>
      </c>
    </row>
    <row r="2329" spans="2:3" x14ac:dyDescent="0.3">
      <c r="B2329" s="126">
        <v>42683</v>
      </c>
      <c r="C2329" s="129">
        <v>11372.35</v>
      </c>
    </row>
    <row r="2330" spans="2:3" x14ac:dyDescent="0.3">
      <c r="B2330" s="126">
        <v>42682</v>
      </c>
      <c r="C2330" s="129">
        <v>11522.76</v>
      </c>
    </row>
    <row r="2331" spans="2:3" x14ac:dyDescent="0.3">
      <c r="B2331" s="126">
        <v>42681</v>
      </c>
      <c r="C2331" s="129">
        <v>11460.08</v>
      </c>
    </row>
    <row r="2332" spans="2:3" x14ac:dyDescent="0.3">
      <c r="B2332" s="126">
        <v>42678</v>
      </c>
      <c r="C2332" s="129">
        <v>11374.71</v>
      </c>
    </row>
    <row r="2333" spans="2:3" x14ac:dyDescent="0.3">
      <c r="B2333" s="126">
        <v>42677</v>
      </c>
      <c r="C2333" s="129">
        <v>11443.72</v>
      </c>
    </row>
    <row r="2334" spans="2:3" x14ac:dyDescent="0.3">
      <c r="B2334" s="126">
        <v>42676</v>
      </c>
      <c r="C2334" s="129">
        <v>11479.94</v>
      </c>
    </row>
    <row r="2335" spans="2:3" x14ac:dyDescent="0.3">
      <c r="B2335" s="126">
        <v>42675</v>
      </c>
      <c r="C2335" s="129">
        <v>11631.33</v>
      </c>
    </row>
    <row r="2336" spans="2:3" x14ac:dyDescent="0.3">
      <c r="B2336" s="126">
        <v>42673</v>
      </c>
      <c r="C2336" s="129">
        <v>11628.32</v>
      </c>
    </row>
    <row r="2337" spans="2:3" x14ac:dyDescent="0.3">
      <c r="B2337" s="126">
        <v>42671</v>
      </c>
      <c r="C2337" s="129">
        <v>11644.89</v>
      </c>
    </row>
    <row r="2338" spans="2:3" x14ac:dyDescent="0.3">
      <c r="B2338" s="126">
        <v>42670</v>
      </c>
      <c r="C2338" s="129">
        <v>11614.18</v>
      </c>
    </row>
    <row r="2339" spans="2:3" x14ac:dyDescent="0.3">
      <c r="B2339" s="126">
        <v>42669</v>
      </c>
      <c r="C2339" s="129">
        <v>11612.99</v>
      </c>
    </row>
    <row r="2340" spans="2:3" x14ac:dyDescent="0.3">
      <c r="B2340" s="126">
        <v>42668</v>
      </c>
      <c r="C2340" s="129">
        <v>11715.45</v>
      </c>
    </row>
    <row r="2341" spans="2:3" x14ac:dyDescent="0.3">
      <c r="B2341" s="126">
        <v>42667</v>
      </c>
      <c r="C2341" s="129">
        <v>11739.24</v>
      </c>
    </row>
    <row r="2342" spans="2:3" x14ac:dyDescent="0.3">
      <c r="B2342" s="126">
        <v>42664</v>
      </c>
      <c r="C2342" s="129">
        <v>11716.57</v>
      </c>
    </row>
    <row r="2343" spans="2:3" x14ac:dyDescent="0.3">
      <c r="B2343" s="126">
        <v>42663</v>
      </c>
      <c r="C2343" s="129">
        <v>11717.04</v>
      </c>
    </row>
    <row r="2344" spans="2:3" x14ac:dyDescent="0.3">
      <c r="B2344" s="126">
        <v>42662</v>
      </c>
      <c r="C2344" s="129">
        <v>11662.81</v>
      </c>
    </row>
    <row r="2345" spans="2:3" x14ac:dyDescent="0.3">
      <c r="B2345" s="126">
        <v>42661</v>
      </c>
      <c r="C2345" s="129">
        <v>11688.13</v>
      </c>
    </row>
    <row r="2346" spans="2:3" x14ac:dyDescent="0.3">
      <c r="B2346" s="126">
        <v>42660</v>
      </c>
      <c r="C2346" s="129">
        <v>11475.97</v>
      </c>
    </row>
    <row r="2347" spans="2:3" x14ac:dyDescent="0.3">
      <c r="B2347" s="126">
        <v>42657</v>
      </c>
      <c r="C2347" s="129">
        <v>11560.81</v>
      </c>
    </row>
    <row r="2348" spans="2:3" x14ac:dyDescent="0.3">
      <c r="B2348" s="126">
        <v>42656</v>
      </c>
      <c r="C2348" s="129">
        <v>11547.3</v>
      </c>
    </row>
    <row r="2349" spans="2:3" x14ac:dyDescent="0.3">
      <c r="B2349" s="126">
        <v>42653</v>
      </c>
      <c r="C2349" s="129">
        <v>11729.75</v>
      </c>
    </row>
    <row r="2350" spans="2:3" x14ac:dyDescent="0.3">
      <c r="B2350" s="126">
        <v>42650</v>
      </c>
      <c r="C2350" s="129">
        <v>11714.65</v>
      </c>
    </row>
    <row r="2351" spans="2:3" x14ac:dyDescent="0.3">
      <c r="B2351" s="126">
        <v>42649</v>
      </c>
      <c r="C2351" s="129">
        <v>11730.75</v>
      </c>
    </row>
    <row r="2352" spans="2:3" x14ac:dyDescent="0.3">
      <c r="B2352" s="126">
        <v>42648</v>
      </c>
      <c r="C2352" s="129">
        <v>11777.1</v>
      </c>
    </row>
    <row r="2353" spans="2:3" x14ac:dyDescent="0.3">
      <c r="B2353" s="126">
        <v>42647</v>
      </c>
      <c r="C2353" s="129">
        <v>11811.04</v>
      </c>
    </row>
    <row r="2354" spans="2:3" x14ac:dyDescent="0.3">
      <c r="B2354" s="126">
        <v>42646</v>
      </c>
      <c r="C2354" s="129">
        <v>11769.16</v>
      </c>
    </row>
    <row r="2355" spans="2:3" x14ac:dyDescent="0.3">
      <c r="B2355" s="126">
        <v>42643</v>
      </c>
      <c r="C2355" s="129">
        <v>11598.22</v>
      </c>
    </row>
    <row r="2356" spans="2:3" x14ac:dyDescent="0.3">
      <c r="B2356" s="126">
        <v>42642</v>
      </c>
      <c r="C2356" s="129">
        <v>11571.4</v>
      </c>
    </row>
    <row r="2357" spans="2:3" x14ac:dyDescent="0.3">
      <c r="B2357" s="126">
        <v>42641</v>
      </c>
      <c r="C2357" s="129">
        <v>11778.71</v>
      </c>
    </row>
    <row r="2358" spans="2:3" x14ac:dyDescent="0.3">
      <c r="B2358" s="126">
        <v>42640</v>
      </c>
      <c r="C2358" s="129">
        <v>11726.49</v>
      </c>
    </row>
    <row r="2359" spans="2:3" x14ac:dyDescent="0.3">
      <c r="B2359" s="126">
        <v>42639</v>
      </c>
      <c r="C2359" s="129">
        <v>11748.91</v>
      </c>
    </row>
    <row r="2360" spans="2:3" x14ac:dyDescent="0.3">
      <c r="B2360" s="126">
        <v>42636</v>
      </c>
      <c r="C2360" s="129">
        <v>11895.07</v>
      </c>
    </row>
    <row r="2361" spans="2:3" x14ac:dyDescent="0.3">
      <c r="B2361" s="126">
        <v>42635</v>
      </c>
      <c r="C2361" s="129">
        <v>11943.44</v>
      </c>
    </row>
    <row r="2362" spans="2:3" x14ac:dyDescent="0.3">
      <c r="B2362" s="126">
        <v>42634</v>
      </c>
      <c r="C2362" s="129">
        <v>11821.52</v>
      </c>
    </row>
    <row r="2363" spans="2:3" x14ac:dyDescent="0.3">
      <c r="B2363" s="126">
        <v>42633</v>
      </c>
      <c r="C2363" s="129">
        <v>11819.83</v>
      </c>
    </row>
    <row r="2364" spans="2:3" x14ac:dyDescent="0.3">
      <c r="B2364" s="126">
        <v>42632</v>
      </c>
      <c r="C2364" s="129">
        <v>11863.61</v>
      </c>
    </row>
    <row r="2365" spans="2:3" x14ac:dyDescent="0.3">
      <c r="B2365" s="126">
        <v>42629</v>
      </c>
      <c r="C2365" s="129">
        <v>11825.12</v>
      </c>
    </row>
    <row r="2366" spans="2:3" x14ac:dyDescent="0.3">
      <c r="B2366" s="126">
        <v>42628</v>
      </c>
      <c r="C2366" s="129">
        <v>11774.9</v>
      </c>
    </row>
    <row r="2367" spans="2:3" x14ac:dyDescent="0.3">
      <c r="B2367" s="126">
        <v>42627</v>
      </c>
      <c r="C2367" s="129">
        <v>11751.93</v>
      </c>
    </row>
    <row r="2368" spans="2:3" x14ac:dyDescent="0.3">
      <c r="B2368" s="126">
        <v>42625</v>
      </c>
      <c r="C2368" s="129">
        <v>11737</v>
      </c>
    </row>
    <row r="2369" spans="2:3" x14ac:dyDescent="0.3">
      <c r="B2369" s="126">
        <v>42622</v>
      </c>
      <c r="C2369" s="129">
        <v>11940.12</v>
      </c>
    </row>
    <row r="2370" spans="2:3" x14ac:dyDescent="0.3">
      <c r="B2370" s="126">
        <v>42621</v>
      </c>
      <c r="C2370" s="129">
        <v>12055.6</v>
      </c>
    </row>
    <row r="2371" spans="2:3" x14ac:dyDescent="0.3">
      <c r="B2371" s="126">
        <v>42620</v>
      </c>
      <c r="C2371" s="129">
        <v>12005.43</v>
      </c>
    </row>
    <row r="2372" spans="2:3" x14ac:dyDescent="0.3">
      <c r="B2372" s="126">
        <v>42619</v>
      </c>
      <c r="C2372" s="129">
        <v>12037.72</v>
      </c>
    </row>
    <row r="2373" spans="2:3" x14ac:dyDescent="0.3">
      <c r="B2373" s="126">
        <v>42615</v>
      </c>
      <c r="C2373" s="129">
        <v>11857.76</v>
      </c>
    </row>
    <row r="2374" spans="2:3" x14ac:dyDescent="0.3">
      <c r="B2374" s="126">
        <v>42614</v>
      </c>
      <c r="C2374" s="129">
        <v>11810.69</v>
      </c>
    </row>
    <row r="2375" spans="2:3" x14ac:dyDescent="0.3">
      <c r="B2375" s="126">
        <v>42613</v>
      </c>
      <c r="C2375" s="129">
        <v>11826.19</v>
      </c>
    </row>
    <row r="2376" spans="2:3" x14ac:dyDescent="0.3">
      <c r="B2376" s="126">
        <v>42612</v>
      </c>
      <c r="C2376" s="129">
        <v>11766.04</v>
      </c>
    </row>
    <row r="2377" spans="2:3" x14ac:dyDescent="0.3">
      <c r="B2377" s="126">
        <v>42611</v>
      </c>
      <c r="C2377" s="129">
        <v>11581.83</v>
      </c>
    </row>
    <row r="2378" spans="2:3" x14ac:dyDescent="0.3">
      <c r="B2378" s="126">
        <v>42608</v>
      </c>
      <c r="C2378" s="129">
        <v>11534.92</v>
      </c>
    </row>
    <row r="2379" spans="2:3" x14ac:dyDescent="0.3">
      <c r="B2379" s="126">
        <v>42607</v>
      </c>
      <c r="C2379" s="129">
        <v>11561.34</v>
      </c>
    </row>
    <row r="2380" spans="2:3" x14ac:dyDescent="0.3">
      <c r="B2380" s="126">
        <v>42606</v>
      </c>
      <c r="C2380" s="129">
        <v>11639.48</v>
      </c>
    </row>
    <row r="2381" spans="2:3" x14ac:dyDescent="0.3">
      <c r="B2381" s="126">
        <v>42605</v>
      </c>
      <c r="C2381" s="129">
        <v>11615.7</v>
      </c>
    </row>
    <row r="2382" spans="2:3" x14ac:dyDescent="0.3">
      <c r="B2382" s="126">
        <v>42604</v>
      </c>
      <c r="C2382" s="129">
        <v>11611.02</v>
      </c>
    </row>
    <row r="2383" spans="2:3" x14ac:dyDescent="0.3">
      <c r="B2383" s="126">
        <v>42601</v>
      </c>
      <c r="C2383" s="129">
        <v>11661.82</v>
      </c>
    </row>
    <row r="2384" spans="2:3" x14ac:dyDescent="0.3">
      <c r="B2384" s="126">
        <v>42600</v>
      </c>
      <c r="C2384" s="129">
        <v>11670.37</v>
      </c>
    </row>
    <row r="2385" spans="2:3" x14ac:dyDescent="0.3">
      <c r="B2385" s="126">
        <v>42599</v>
      </c>
      <c r="C2385" s="129">
        <v>11598.72</v>
      </c>
    </row>
    <row r="2386" spans="2:3" x14ac:dyDescent="0.3">
      <c r="B2386" s="126">
        <v>42598</v>
      </c>
      <c r="C2386" s="129">
        <v>11623.61</v>
      </c>
    </row>
    <row r="2387" spans="2:3" x14ac:dyDescent="0.3">
      <c r="B2387" s="126">
        <v>42594</v>
      </c>
      <c r="C2387" s="129">
        <v>11663.43</v>
      </c>
    </row>
    <row r="2388" spans="2:3" x14ac:dyDescent="0.3">
      <c r="B2388" s="126">
        <v>42593</v>
      </c>
      <c r="C2388" s="129">
        <v>11555.84</v>
      </c>
    </row>
    <row r="2389" spans="2:3" x14ac:dyDescent="0.3">
      <c r="B2389" s="126">
        <v>42592</v>
      </c>
      <c r="C2389" s="129">
        <v>11532.49</v>
      </c>
    </row>
    <row r="2390" spans="2:3" x14ac:dyDescent="0.3">
      <c r="B2390" s="126">
        <v>42591</v>
      </c>
      <c r="C2390" s="129">
        <v>11669.7</v>
      </c>
    </row>
    <row r="2391" spans="2:3" x14ac:dyDescent="0.3">
      <c r="B2391" s="126">
        <v>42590</v>
      </c>
      <c r="C2391" s="129">
        <v>11713.58</v>
      </c>
    </row>
    <row r="2392" spans="2:3" x14ac:dyDescent="0.3">
      <c r="B2392" s="126">
        <v>42587</v>
      </c>
      <c r="C2392" s="129">
        <v>11675.68</v>
      </c>
    </row>
    <row r="2393" spans="2:3" x14ac:dyDescent="0.3">
      <c r="B2393" s="126">
        <v>42586</v>
      </c>
      <c r="C2393" s="129">
        <v>11498.13</v>
      </c>
    </row>
    <row r="2394" spans="2:3" x14ac:dyDescent="0.3">
      <c r="B2394" s="126">
        <v>42585</v>
      </c>
      <c r="C2394" s="129">
        <v>11489.74</v>
      </c>
    </row>
    <row r="2395" spans="2:3" x14ac:dyDescent="0.3">
      <c r="B2395" s="126">
        <v>42584</v>
      </c>
      <c r="C2395" s="129">
        <v>11594.65</v>
      </c>
    </row>
    <row r="2396" spans="2:3" x14ac:dyDescent="0.3">
      <c r="B2396" s="126">
        <v>42583</v>
      </c>
      <c r="C2396" s="129">
        <v>11612.19</v>
      </c>
    </row>
    <row r="2397" spans="2:3" x14ac:dyDescent="0.3">
      <c r="B2397" s="126">
        <v>42580</v>
      </c>
      <c r="C2397" s="129">
        <v>11614.8</v>
      </c>
    </row>
    <row r="2398" spans="2:3" x14ac:dyDescent="0.3">
      <c r="B2398" s="126">
        <v>42579</v>
      </c>
      <c r="C2398" s="129">
        <v>11652.18</v>
      </c>
    </row>
    <row r="2399" spans="2:3" x14ac:dyDescent="0.3">
      <c r="B2399" s="126">
        <v>42578</v>
      </c>
      <c r="C2399" s="129">
        <v>11579.64</v>
      </c>
    </row>
    <row r="2400" spans="2:3" x14ac:dyDescent="0.3">
      <c r="B2400" s="126">
        <v>42577</v>
      </c>
      <c r="C2400" s="129">
        <v>11545.78</v>
      </c>
    </row>
    <row r="2401" spans="2:3" x14ac:dyDescent="0.3">
      <c r="B2401" s="126">
        <v>42576</v>
      </c>
      <c r="C2401" s="129">
        <v>11606.29</v>
      </c>
    </row>
    <row r="2402" spans="2:3" x14ac:dyDescent="0.3">
      <c r="B2402" s="126">
        <v>42573</v>
      </c>
      <c r="C2402" s="129">
        <v>11477.47</v>
      </c>
    </row>
    <row r="2403" spans="2:3" x14ac:dyDescent="0.3">
      <c r="B2403" s="126">
        <v>42572</v>
      </c>
      <c r="C2403" s="129">
        <v>11435.64</v>
      </c>
    </row>
    <row r="2404" spans="2:3" x14ac:dyDescent="0.3">
      <c r="B2404" s="126">
        <v>42571</v>
      </c>
      <c r="C2404" s="129">
        <v>11508.07</v>
      </c>
    </row>
    <row r="2405" spans="2:3" x14ac:dyDescent="0.3">
      <c r="B2405" s="126">
        <v>42570</v>
      </c>
      <c r="C2405" s="129">
        <v>11457.95</v>
      </c>
    </row>
    <row r="2406" spans="2:3" x14ac:dyDescent="0.3">
      <c r="B2406" s="126">
        <v>42569</v>
      </c>
      <c r="C2406" s="129">
        <v>11431.25</v>
      </c>
    </row>
    <row r="2407" spans="2:3" x14ac:dyDescent="0.3">
      <c r="B2407" s="126">
        <v>42566</v>
      </c>
      <c r="C2407" s="129">
        <v>11474.04</v>
      </c>
    </row>
    <row r="2408" spans="2:3" x14ac:dyDescent="0.3">
      <c r="B2408" s="126">
        <v>42565</v>
      </c>
      <c r="C2408" s="129">
        <v>11497.65</v>
      </c>
    </row>
    <row r="2409" spans="2:3" x14ac:dyDescent="0.3">
      <c r="B2409" s="126">
        <v>42564</v>
      </c>
      <c r="C2409" s="129">
        <v>11436.09</v>
      </c>
    </row>
    <row r="2410" spans="2:3" x14ac:dyDescent="0.3">
      <c r="B2410" s="126">
        <v>42563</v>
      </c>
      <c r="C2410" s="129">
        <v>11438.19</v>
      </c>
    </row>
    <row r="2411" spans="2:3" x14ac:dyDescent="0.3">
      <c r="B2411" s="126">
        <v>42562</v>
      </c>
      <c r="C2411" s="129">
        <v>11366.82</v>
      </c>
    </row>
    <row r="2412" spans="2:3" x14ac:dyDescent="0.3">
      <c r="B2412" s="126">
        <v>42559</v>
      </c>
      <c r="C2412" s="129">
        <v>11172.39</v>
      </c>
    </row>
    <row r="2413" spans="2:3" x14ac:dyDescent="0.3">
      <c r="B2413" s="126">
        <v>42558</v>
      </c>
      <c r="C2413" s="129">
        <v>11192.11</v>
      </c>
    </row>
    <row r="2414" spans="2:3" x14ac:dyDescent="0.3">
      <c r="B2414" s="126">
        <v>42556</v>
      </c>
      <c r="C2414" s="129">
        <v>11186.41</v>
      </c>
    </row>
    <row r="2415" spans="2:3" x14ac:dyDescent="0.3">
      <c r="B2415" s="126">
        <v>42555</v>
      </c>
      <c r="C2415" s="129">
        <v>11233.09</v>
      </c>
    </row>
    <row r="2416" spans="2:3" x14ac:dyDescent="0.3">
      <c r="B2416" s="126">
        <v>42552</v>
      </c>
      <c r="C2416" s="129">
        <v>11175.85</v>
      </c>
    </row>
    <row r="2417" spans="2:3" x14ac:dyDescent="0.3">
      <c r="B2417" s="126">
        <v>42551</v>
      </c>
      <c r="C2417" s="129">
        <v>11121.39</v>
      </c>
    </row>
    <row r="2418" spans="2:3" x14ac:dyDescent="0.3">
      <c r="B2418" s="126">
        <v>42550</v>
      </c>
      <c r="C2418" s="129">
        <v>11009.02</v>
      </c>
    </row>
    <row r="2419" spans="2:3" x14ac:dyDescent="0.3">
      <c r="B2419" s="126">
        <v>42549</v>
      </c>
      <c r="C2419" s="129">
        <v>10899.91</v>
      </c>
    </row>
    <row r="2420" spans="2:3" x14ac:dyDescent="0.3">
      <c r="B2420" s="126">
        <v>42548</v>
      </c>
      <c r="C2420" s="129">
        <v>10855.5</v>
      </c>
    </row>
    <row r="2421" spans="2:3" x14ac:dyDescent="0.3">
      <c r="B2421" s="126">
        <v>42545</v>
      </c>
      <c r="C2421" s="129">
        <v>10847.29</v>
      </c>
    </row>
    <row r="2422" spans="2:3" x14ac:dyDescent="0.3">
      <c r="B2422" s="126">
        <v>42544</v>
      </c>
      <c r="C2422" s="129">
        <v>11091.16</v>
      </c>
    </row>
    <row r="2423" spans="2:3" x14ac:dyDescent="0.3">
      <c r="B2423" s="126">
        <v>42543</v>
      </c>
      <c r="C2423" s="129">
        <v>11000.82</v>
      </c>
    </row>
    <row r="2424" spans="2:3" x14ac:dyDescent="0.3">
      <c r="B2424" s="126">
        <v>42542</v>
      </c>
      <c r="C2424" s="129">
        <v>11020.11</v>
      </c>
    </row>
    <row r="2425" spans="2:3" x14ac:dyDescent="0.3">
      <c r="B2425" s="126">
        <v>42541</v>
      </c>
      <c r="C2425" s="129">
        <v>11045.03</v>
      </c>
    </row>
    <row r="2426" spans="2:3" x14ac:dyDescent="0.3">
      <c r="B2426" s="126">
        <v>42538</v>
      </c>
      <c r="C2426" s="129">
        <v>10953.44</v>
      </c>
    </row>
    <row r="2427" spans="2:3" x14ac:dyDescent="0.3">
      <c r="B2427" s="126">
        <v>42537</v>
      </c>
      <c r="C2427" s="129">
        <v>10913.97</v>
      </c>
    </row>
    <row r="2428" spans="2:3" x14ac:dyDescent="0.3">
      <c r="B2428" s="126">
        <v>42536</v>
      </c>
      <c r="C2428" s="129">
        <v>10990.64</v>
      </c>
    </row>
    <row r="2429" spans="2:3" x14ac:dyDescent="0.3">
      <c r="B2429" s="126">
        <v>42535</v>
      </c>
      <c r="C2429" s="129">
        <v>10859.76</v>
      </c>
    </row>
    <row r="2430" spans="2:3" x14ac:dyDescent="0.3">
      <c r="B2430" s="126">
        <v>42534</v>
      </c>
      <c r="C2430" s="129">
        <v>10862.06</v>
      </c>
    </row>
    <row r="2431" spans="2:3" x14ac:dyDescent="0.3">
      <c r="B2431" s="126">
        <v>42531</v>
      </c>
      <c r="C2431" s="129">
        <v>10941.7</v>
      </c>
    </row>
    <row r="2432" spans="2:3" x14ac:dyDescent="0.3">
      <c r="B2432" s="126">
        <v>42530</v>
      </c>
      <c r="C2432" s="129">
        <v>10986.64</v>
      </c>
    </row>
    <row r="2433" spans="2:3" x14ac:dyDescent="0.3">
      <c r="B2433" s="126">
        <v>42529</v>
      </c>
      <c r="C2433" s="129">
        <v>11068.75</v>
      </c>
    </row>
    <row r="2434" spans="2:3" x14ac:dyDescent="0.3">
      <c r="B2434" s="126">
        <v>42528</v>
      </c>
      <c r="C2434" s="129">
        <v>11059.93</v>
      </c>
    </row>
    <row r="2435" spans="2:3" x14ac:dyDescent="0.3">
      <c r="B2435" s="126">
        <v>42527</v>
      </c>
      <c r="C2435" s="129">
        <v>10972.45</v>
      </c>
    </row>
    <row r="2436" spans="2:3" x14ac:dyDescent="0.3">
      <c r="B2436" s="126">
        <v>42524</v>
      </c>
      <c r="C2436" s="129">
        <v>10992.21</v>
      </c>
    </row>
    <row r="2437" spans="2:3" x14ac:dyDescent="0.3">
      <c r="B2437" s="126">
        <v>42523</v>
      </c>
      <c r="C2437" s="129">
        <v>10986.77</v>
      </c>
    </row>
    <row r="2438" spans="2:3" x14ac:dyDescent="0.3">
      <c r="B2438" s="126">
        <v>42522</v>
      </c>
      <c r="C2438" s="129">
        <v>10934.62</v>
      </c>
    </row>
    <row r="2439" spans="2:3" x14ac:dyDescent="0.3">
      <c r="B2439" s="126">
        <v>42521</v>
      </c>
      <c r="C2439" s="129">
        <v>10908.07</v>
      </c>
    </row>
    <row r="2440" spans="2:3" x14ac:dyDescent="0.3">
      <c r="B2440" s="126">
        <v>42520</v>
      </c>
      <c r="C2440" s="129">
        <v>10932.7</v>
      </c>
    </row>
    <row r="2441" spans="2:3" x14ac:dyDescent="0.3">
      <c r="B2441" s="126">
        <v>42517</v>
      </c>
      <c r="C2441" s="129">
        <v>10884.88</v>
      </c>
    </row>
    <row r="2442" spans="2:3" x14ac:dyDescent="0.3">
      <c r="B2442" s="126">
        <v>42516</v>
      </c>
      <c r="C2442" s="129">
        <v>10768.78</v>
      </c>
    </row>
    <row r="2443" spans="2:3" x14ac:dyDescent="0.3">
      <c r="B2443" s="126">
        <v>42515</v>
      </c>
      <c r="C2443" s="129">
        <v>10588.92</v>
      </c>
    </row>
    <row r="2444" spans="2:3" x14ac:dyDescent="0.3">
      <c r="B2444" s="126">
        <v>42514</v>
      </c>
      <c r="C2444" s="129">
        <v>10340.65</v>
      </c>
    </row>
    <row r="2445" spans="2:3" x14ac:dyDescent="0.3">
      <c r="B2445" s="126">
        <v>42513</v>
      </c>
      <c r="C2445" s="129">
        <v>10316.91</v>
      </c>
    </row>
    <row r="2446" spans="2:3" x14ac:dyDescent="0.3">
      <c r="B2446" s="126">
        <v>42510</v>
      </c>
      <c r="C2446" s="129">
        <v>10341.790000000001</v>
      </c>
    </row>
    <row r="2447" spans="2:3" x14ac:dyDescent="0.3">
      <c r="B2447" s="126">
        <v>42509</v>
      </c>
      <c r="C2447" s="129">
        <v>10386.75</v>
      </c>
    </row>
    <row r="2448" spans="2:3" x14ac:dyDescent="0.3">
      <c r="B2448" s="126">
        <v>42508</v>
      </c>
      <c r="C2448" s="129">
        <v>10502.51</v>
      </c>
    </row>
    <row r="2449" spans="2:3" x14ac:dyDescent="0.3">
      <c r="B2449" s="126">
        <v>42507</v>
      </c>
      <c r="C2449" s="129">
        <v>10530.03</v>
      </c>
    </row>
    <row r="2450" spans="2:3" x14ac:dyDescent="0.3">
      <c r="B2450" s="126">
        <v>42506</v>
      </c>
      <c r="C2450" s="129">
        <v>10489.97</v>
      </c>
    </row>
    <row r="2451" spans="2:3" x14ac:dyDescent="0.3">
      <c r="B2451" s="126">
        <v>42503</v>
      </c>
      <c r="C2451" s="129">
        <v>10428.780000000001</v>
      </c>
    </row>
    <row r="2452" spans="2:3" x14ac:dyDescent="0.3">
      <c r="B2452" s="126">
        <v>42502</v>
      </c>
      <c r="C2452" s="129">
        <v>10542.93</v>
      </c>
    </row>
    <row r="2453" spans="2:3" x14ac:dyDescent="0.3">
      <c r="B2453" s="126">
        <v>42501</v>
      </c>
      <c r="C2453" s="129">
        <v>10474.1</v>
      </c>
    </row>
    <row r="2454" spans="2:3" x14ac:dyDescent="0.3">
      <c r="B2454" s="126">
        <v>42500</v>
      </c>
      <c r="C2454" s="129">
        <v>10526.11</v>
      </c>
    </row>
    <row r="2455" spans="2:3" x14ac:dyDescent="0.3">
      <c r="B2455" s="126">
        <v>42499</v>
      </c>
      <c r="C2455" s="129">
        <v>10497.09</v>
      </c>
    </row>
    <row r="2456" spans="2:3" x14ac:dyDescent="0.3">
      <c r="B2456" s="126">
        <v>42496</v>
      </c>
      <c r="C2456" s="129">
        <v>10320.120000000001</v>
      </c>
    </row>
    <row r="2457" spans="2:3" x14ac:dyDescent="0.3">
      <c r="B2457" s="126">
        <v>42495</v>
      </c>
      <c r="C2457" s="129">
        <v>10322.82</v>
      </c>
    </row>
    <row r="2458" spans="2:3" x14ac:dyDescent="0.3">
      <c r="B2458" s="126">
        <v>42494</v>
      </c>
      <c r="C2458" s="129">
        <v>10283.01</v>
      </c>
    </row>
    <row r="2459" spans="2:3" x14ac:dyDescent="0.3">
      <c r="B2459" s="126">
        <v>42493</v>
      </c>
      <c r="C2459" s="129">
        <v>10336.969999999999</v>
      </c>
    </row>
    <row r="2460" spans="2:3" x14ac:dyDescent="0.3">
      <c r="B2460" s="126">
        <v>42492</v>
      </c>
      <c r="C2460" s="129">
        <v>10415.52</v>
      </c>
    </row>
    <row r="2461" spans="2:3" x14ac:dyDescent="0.3">
      <c r="B2461" s="126">
        <v>42489</v>
      </c>
      <c r="C2461" s="129">
        <v>10474.15</v>
      </c>
    </row>
    <row r="2462" spans="2:3" x14ac:dyDescent="0.3">
      <c r="B2462" s="126">
        <v>42488</v>
      </c>
      <c r="C2462" s="129">
        <v>10470.709999999999</v>
      </c>
    </row>
    <row r="2463" spans="2:3" x14ac:dyDescent="0.3">
      <c r="B2463" s="126">
        <v>42487</v>
      </c>
      <c r="C2463" s="129">
        <v>10647.74</v>
      </c>
    </row>
    <row r="2464" spans="2:3" x14ac:dyDescent="0.3">
      <c r="B2464" s="126">
        <v>42486</v>
      </c>
      <c r="C2464" s="129">
        <v>10624.72</v>
      </c>
    </row>
    <row r="2465" spans="2:3" x14ac:dyDescent="0.3">
      <c r="B2465" s="126">
        <v>42485</v>
      </c>
      <c r="C2465" s="129">
        <v>10481.120000000001</v>
      </c>
    </row>
    <row r="2466" spans="2:3" x14ac:dyDescent="0.3">
      <c r="B2466" s="126">
        <v>42482</v>
      </c>
      <c r="C2466" s="129">
        <v>10540.19</v>
      </c>
    </row>
    <row r="2467" spans="2:3" x14ac:dyDescent="0.3">
      <c r="B2467" s="126">
        <v>42481</v>
      </c>
      <c r="C2467" s="129">
        <v>10557.22</v>
      </c>
    </row>
    <row r="2468" spans="2:3" x14ac:dyDescent="0.3">
      <c r="B2468" s="126">
        <v>42480</v>
      </c>
      <c r="C2468" s="129">
        <v>10560.79</v>
      </c>
    </row>
    <row r="2469" spans="2:3" x14ac:dyDescent="0.3">
      <c r="B2469" s="126">
        <v>42478</v>
      </c>
      <c r="C2469" s="129">
        <v>10560.74</v>
      </c>
    </row>
    <row r="2470" spans="2:3" x14ac:dyDescent="0.3">
      <c r="B2470" s="126">
        <v>42473</v>
      </c>
      <c r="C2470" s="129">
        <v>10475.02</v>
      </c>
    </row>
    <row r="2471" spans="2:3" x14ac:dyDescent="0.3">
      <c r="B2471" s="126">
        <v>42472</v>
      </c>
      <c r="C2471" s="129">
        <v>10286.18</v>
      </c>
    </row>
    <row r="2472" spans="2:3" x14ac:dyDescent="0.3">
      <c r="B2472" s="126">
        <v>42471</v>
      </c>
      <c r="C2472" s="129">
        <v>10236.11</v>
      </c>
    </row>
    <row r="2473" spans="2:3" x14ac:dyDescent="0.3">
      <c r="B2473" s="126">
        <v>42468</v>
      </c>
      <c r="C2473" s="129">
        <v>10081.01</v>
      </c>
    </row>
    <row r="2474" spans="2:3" x14ac:dyDescent="0.3">
      <c r="B2474" s="126">
        <v>42467</v>
      </c>
      <c r="C2474" s="129">
        <v>10069.36</v>
      </c>
    </row>
    <row r="2475" spans="2:3" x14ac:dyDescent="0.3">
      <c r="B2475" s="126">
        <v>42466</v>
      </c>
      <c r="C2475" s="129">
        <v>10159.98</v>
      </c>
    </row>
    <row r="2476" spans="2:3" x14ac:dyDescent="0.3">
      <c r="B2476" s="126">
        <v>42465</v>
      </c>
      <c r="C2476" s="129">
        <v>10145.1</v>
      </c>
    </row>
    <row r="2477" spans="2:3" x14ac:dyDescent="0.3">
      <c r="B2477" s="126"/>
      <c r="C2477" s="129"/>
    </row>
    <row r="2478" spans="2:3" x14ac:dyDescent="0.3">
      <c r="B2478" s="126"/>
      <c r="C2478" s="129"/>
    </row>
    <row r="2479" spans="2:3" x14ac:dyDescent="0.3">
      <c r="B2479" s="126"/>
      <c r="C2479" s="129"/>
    </row>
    <row r="2480" spans="2:3" x14ac:dyDescent="0.3">
      <c r="B2480" s="126"/>
      <c r="C2480" s="129"/>
    </row>
    <row r="2481" spans="2:3" x14ac:dyDescent="0.3">
      <c r="B2481" s="126"/>
      <c r="C2481" s="129"/>
    </row>
    <row r="2482" spans="2:3" x14ac:dyDescent="0.3">
      <c r="B2482" s="126"/>
      <c r="C2482" s="129"/>
    </row>
    <row r="2483" spans="2:3" x14ac:dyDescent="0.3">
      <c r="B2483" s="126"/>
      <c r="C2483" s="129"/>
    </row>
    <row r="2484" spans="2:3" x14ac:dyDescent="0.3">
      <c r="B2484" s="126"/>
      <c r="C2484" s="129"/>
    </row>
    <row r="2485" spans="2:3" x14ac:dyDescent="0.3">
      <c r="B2485" s="126"/>
      <c r="C2485" s="129"/>
    </row>
    <row r="2486" spans="2:3" x14ac:dyDescent="0.3">
      <c r="B2486" s="126"/>
      <c r="C2486" s="129"/>
    </row>
    <row r="2487" spans="2:3" x14ac:dyDescent="0.3">
      <c r="B2487" s="126"/>
      <c r="C2487" s="129"/>
    </row>
    <row r="2488" spans="2:3" x14ac:dyDescent="0.3">
      <c r="B2488" s="126"/>
      <c r="C2488" s="129"/>
    </row>
    <row r="2489" spans="2:3" x14ac:dyDescent="0.3">
      <c r="B2489" s="126"/>
      <c r="C2489" s="129"/>
    </row>
    <row r="2490" spans="2:3" x14ac:dyDescent="0.3">
      <c r="B2490" s="126"/>
      <c r="C2490" s="129"/>
    </row>
    <row r="2491" spans="2:3" x14ac:dyDescent="0.3">
      <c r="B2491" s="126"/>
      <c r="C2491" s="129"/>
    </row>
    <row r="2492" spans="2:3" x14ac:dyDescent="0.3">
      <c r="B2492" s="126"/>
      <c r="C2492" s="129"/>
    </row>
    <row r="2493" spans="2:3" x14ac:dyDescent="0.3">
      <c r="B2493" s="126"/>
      <c r="C2493" s="129"/>
    </row>
    <row r="2494" spans="2:3" x14ac:dyDescent="0.3">
      <c r="B2494" s="126"/>
      <c r="C2494" s="129"/>
    </row>
    <row r="2495" spans="2:3" x14ac:dyDescent="0.3">
      <c r="B2495" s="126"/>
      <c r="C2495" s="129"/>
    </row>
    <row r="2496" spans="2:3" x14ac:dyDescent="0.3">
      <c r="B2496" s="126"/>
      <c r="C2496" s="129"/>
    </row>
    <row r="2497" spans="2:3" x14ac:dyDescent="0.3">
      <c r="B2497" s="126"/>
      <c r="C2497" s="129"/>
    </row>
    <row r="2498" spans="2:3" x14ac:dyDescent="0.3">
      <c r="B2498" s="126"/>
      <c r="C2498" s="129"/>
    </row>
    <row r="2499" spans="2:3" x14ac:dyDescent="0.3">
      <c r="B2499" s="126"/>
      <c r="C2499" s="129"/>
    </row>
    <row r="2500" spans="2:3" x14ac:dyDescent="0.3">
      <c r="B2500" s="126"/>
      <c r="C2500" s="129"/>
    </row>
    <row r="2501" spans="2:3" x14ac:dyDescent="0.3">
      <c r="B2501" s="126"/>
      <c r="C2501" s="168"/>
    </row>
    <row r="2502" spans="2:3" x14ac:dyDescent="0.3">
      <c r="B2502" s="126"/>
      <c r="C2502" s="168"/>
    </row>
    <row r="2503" spans="2:3" x14ac:dyDescent="0.3">
      <c r="B2503" s="126"/>
      <c r="C2503" s="168"/>
    </row>
    <row r="2504" spans="2:3" x14ac:dyDescent="0.3">
      <c r="B2504" s="126"/>
      <c r="C2504" s="168"/>
    </row>
    <row r="2505" spans="2:3" x14ac:dyDescent="0.3">
      <c r="B2505" s="126"/>
      <c r="C2505" s="168"/>
    </row>
    <row r="2506" spans="2:3" x14ac:dyDescent="0.3">
      <c r="B2506" s="126"/>
      <c r="C2506" s="168"/>
    </row>
    <row r="2507" spans="2:3" x14ac:dyDescent="0.3">
      <c r="B2507" s="126"/>
      <c r="C2507" s="168"/>
    </row>
    <row r="2508" spans="2:3" x14ac:dyDescent="0.3">
      <c r="B2508" s="126"/>
      <c r="C2508" s="168"/>
    </row>
    <row r="2509" spans="2:3" x14ac:dyDescent="0.3">
      <c r="B2509" s="126"/>
      <c r="C2509" s="168"/>
    </row>
    <row r="2510" spans="2:3" x14ac:dyDescent="0.3">
      <c r="B2510" s="126"/>
      <c r="C2510" s="168"/>
    </row>
  </sheetData>
  <mergeCells count="2">
    <mergeCell ref="B2:B3"/>
    <mergeCell ref="C2:C3"/>
  </mergeCells>
  <hyperlinks>
    <hyperlink ref="E10" location="'Cover page'!A1" display="Back to Cover" xr:uid="{DFB2EA76-235E-4BC3-8133-CA500EBFFF2E}"/>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07572-3E0F-4C9E-96CA-F45FAFAD8D41}">
  <sheetPr>
    <tabColor theme="9" tint="0.39997558519241921"/>
  </sheetPr>
  <dimension ref="A1:Q46"/>
  <sheetViews>
    <sheetView topLeftCell="A15" workbookViewId="0">
      <selection activeCell="N32" sqref="N32"/>
    </sheetView>
  </sheetViews>
  <sheetFormatPr defaultColWidth="11.77734375" defaultRowHeight="14.4" x14ac:dyDescent="0.3"/>
  <cols>
    <col min="1" max="3" width="1.33203125" customWidth="1"/>
    <col min="4" max="4" width="40.77734375" customWidth="1"/>
    <col min="5" max="6" width="12.77734375" customWidth="1"/>
    <col min="7" max="7" width="2.77734375" customWidth="1"/>
    <col min="8" max="8" width="12.109375" customWidth="1"/>
  </cols>
  <sheetData>
    <row r="1" spans="1:17" ht="32.4" x14ac:dyDescent="0.6">
      <c r="A1" s="1" t="s">
        <v>1</v>
      </c>
      <c r="B1" s="2"/>
      <c r="C1" s="2"/>
      <c r="D1" s="2"/>
      <c r="E1" s="3"/>
      <c r="F1" s="3"/>
      <c r="G1" s="3"/>
      <c r="H1" s="205"/>
      <c r="I1" s="205"/>
      <c r="J1" s="205"/>
      <c r="K1" s="205"/>
      <c r="L1" s="205"/>
      <c r="M1" s="205"/>
      <c r="N1" s="205"/>
      <c r="O1" s="205"/>
      <c r="P1" s="205"/>
      <c r="Q1" s="205"/>
    </row>
    <row r="2" spans="1:17" ht="15.6" x14ac:dyDescent="0.3">
      <c r="A2" s="4" t="s">
        <v>279</v>
      </c>
      <c r="B2" s="4"/>
      <c r="C2" s="4"/>
      <c r="D2" s="4"/>
      <c r="E2" s="5"/>
      <c r="F2" s="5"/>
      <c r="G2" s="5"/>
      <c r="H2" s="6"/>
      <c r="I2" s="6"/>
      <c r="J2" s="6"/>
      <c r="K2" s="6"/>
      <c r="L2" s="6"/>
      <c r="M2" s="7"/>
      <c r="N2" s="7"/>
      <c r="O2" s="7"/>
      <c r="P2" s="7"/>
      <c r="Q2" s="7"/>
    </row>
    <row r="4" spans="1:17" s="65" customFormat="1" x14ac:dyDescent="0.3">
      <c r="A4" s="2" t="s">
        <v>280</v>
      </c>
      <c r="B4" s="2"/>
      <c r="C4" s="2"/>
      <c r="D4" s="2"/>
      <c r="E4" s="2"/>
      <c r="F4" s="2"/>
      <c r="G4" s="2"/>
      <c r="H4" s="2"/>
      <c r="I4" s="69"/>
      <c r="J4" s="61"/>
      <c r="K4" s="69"/>
      <c r="L4" s="69"/>
      <c r="M4" s="2"/>
      <c r="N4" s="2"/>
      <c r="O4" s="2"/>
      <c r="P4" s="2"/>
      <c r="Q4" s="2"/>
    </row>
    <row r="5" spans="1:17" x14ac:dyDescent="0.3">
      <c r="A5" s="9"/>
      <c r="B5" s="9"/>
      <c r="C5" s="9"/>
      <c r="D5" s="9"/>
      <c r="E5" s="9"/>
      <c r="F5" s="9"/>
      <c r="G5" s="9"/>
      <c r="H5" s="12"/>
      <c r="I5" s="12"/>
      <c r="J5" s="9"/>
      <c r="K5" s="12"/>
      <c r="L5" s="12"/>
    </row>
    <row r="6" spans="1:17" s="72" customFormat="1" ht="28.8" x14ac:dyDescent="0.3">
      <c r="D6" s="176" t="s">
        <v>281</v>
      </c>
      <c r="E6" s="176"/>
      <c r="F6" s="177"/>
      <c r="G6" s="176"/>
      <c r="H6" s="178" t="s">
        <v>268</v>
      </c>
      <c r="I6" s="178" t="s">
        <v>237</v>
      </c>
      <c r="J6" s="177" t="s">
        <v>284</v>
      </c>
      <c r="K6" s="178" t="s">
        <v>285</v>
      </c>
      <c r="L6" s="178" t="s">
        <v>286</v>
      </c>
      <c r="M6" s="176" t="s">
        <v>283</v>
      </c>
      <c r="N6" s="176" t="s">
        <v>287</v>
      </c>
      <c r="O6"/>
      <c r="P6"/>
      <c r="Q6"/>
    </row>
    <row r="7" spans="1:17" x14ac:dyDescent="0.3">
      <c r="A7" s="9"/>
      <c r="B7" s="9"/>
      <c r="C7" s="10"/>
      <c r="D7" s="9" t="str">
        <f>'Comps Valuation'!D8</f>
        <v>Mawana Sugars Limited</v>
      </c>
      <c r="E7" s="9"/>
      <c r="F7" s="9" t="str">
        <f>'Financial Statements'!F10</f>
        <v>₹ in Lakhs</v>
      </c>
      <c r="G7" s="9"/>
      <c r="H7" s="171">
        <f>'Comps Valuation'!J8</f>
        <v>31097.906880000002</v>
      </c>
      <c r="I7" s="171">
        <f>'Comps Valuation'!K8</f>
        <v>19559.407971264001</v>
      </c>
      <c r="J7" s="70">
        <f>I7/H7</f>
        <v>0.62896220143495396</v>
      </c>
      <c r="K7" s="70">
        <f>I7/(H7+I7)</f>
        <v>0.38611221358046288</v>
      </c>
      <c r="L7" s="173">
        <f>'Comps Valuation'!Q8</f>
        <v>0.16493400000000003</v>
      </c>
      <c r="M7" s="123">
        <v>7.0000000000000007E-2</v>
      </c>
      <c r="N7" s="12">
        <f>M7/(1+J7*(1-L7))</f>
        <v>4.5894869483749719E-2</v>
      </c>
    </row>
    <row r="8" spans="1:17" x14ac:dyDescent="0.3">
      <c r="A8" s="9"/>
      <c r="B8" s="9"/>
      <c r="C8" s="9"/>
      <c r="D8" s="9" t="str">
        <f>'Comps Valuation'!D9</f>
        <v>DCM Shriram Industries Limited</v>
      </c>
      <c r="E8" s="9"/>
      <c r="F8" s="11"/>
      <c r="G8" s="9"/>
      <c r="H8" s="171">
        <f>'Comps Valuation'!J9</f>
        <v>32700.36234</v>
      </c>
      <c r="I8" s="171">
        <f>'Comps Valuation'!K9</f>
        <v>57177.205847635996</v>
      </c>
      <c r="J8" s="70">
        <f t="shared" ref="J8:J14" si="0">I8/H8</f>
        <v>1.7485190302523113</v>
      </c>
      <c r="K8" s="70">
        <f t="shared" ref="K8:K14" si="1">I8/(H8+I8)</f>
        <v>0.63616770013478818</v>
      </c>
      <c r="L8" s="173">
        <f>'Comps Valuation'!Q9</f>
        <v>0.35449599999999998</v>
      </c>
      <c r="M8" s="123">
        <v>0.08</v>
      </c>
      <c r="N8" s="12">
        <f t="shared" ref="N8:N14" si="2">M8/(1+J8*(1-L8))</f>
        <v>3.7582045808659766E-2</v>
      </c>
    </row>
    <row r="9" spans="1:17" x14ac:dyDescent="0.3">
      <c r="A9" s="9"/>
      <c r="B9" s="9"/>
      <c r="C9" s="9"/>
      <c r="D9" s="9" t="str">
        <f>'Comps Valuation'!D10</f>
        <v>Magadh Sugar &amp; Energy Limited</v>
      </c>
      <c r="E9" s="9"/>
      <c r="F9" s="11"/>
      <c r="G9" s="9"/>
      <c r="H9" s="171">
        <f>'Comps Valuation'!J10</f>
        <v>58874.830140000005</v>
      </c>
      <c r="I9" s="171">
        <f>'Comps Valuation'!K10</f>
        <v>75737.668443286006</v>
      </c>
      <c r="J9" s="70">
        <f t="shared" si="0"/>
        <v>1.2864184620692309</v>
      </c>
      <c r="K9" s="70">
        <f t="shared" si="1"/>
        <v>0.56263474224443133</v>
      </c>
      <c r="L9" s="173">
        <f>'Comps Valuation'!Q10</f>
        <v>0.25656199999999996</v>
      </c>
      <c r="M9" s="123">
        <v>0.12</v>
      </c>
      <c r="N9" s="12">
        <f t="shared" si="2"/>
        <v>6.1338016180242108E-2</v>
      </c>
    </row>
    <row r="10" spans="1:17" x14ac:dyDescent="0.3">
      <c r="A10" s="9"/>
      <c r="B10" s="9"/>
      <c r="C10" s="9"/>
      <c r="D10" s="9" t="str">
        <f>'Comps Valuation'!D11</f>
        <v>Dwarikesh Sugar Industries Limited</v>
      </c>
      <c r="E10" s="9"/>
      <c r="F10" s="11"/>
      <c r="G10" s="9"/>
      <c r="H10" s="171">
        <f>'Comps Valuation'!J11</f>
        <v>61760.979950000008</v>
      </c>
      <c r="I10" s="171">
        <f>'Comps Valuation'!K11</f>
        <v>54311.715525331994</v>
      </c>
      <c r="J10" s="70">
        <f t="shared" si="0"/>
        <v>0.87938558567725555</v>
      </c>
      <c r="K10" s="70">
        <f t="shared" si="1"/>
        <v>0.46791121118467027</v>
      </c>
      <c r="L10" s="173">
        <f>'Comps Valuation'!Q11</f>
        <v>0.56490899999999999</v>
      </c>
      <c r="M10" s="123">
        <v>0.24</v>
      </c>
      <c r="N10" s="12">
        <f t="shared" si="2"/>
        <v>0.17358439615888707</v>
      </c>
    </row>
    <row r="11" spans="1:17" x14ac:dyDescent="0.3">
      <c r="A11" s="9"/>
      <c r="B11" s="9"/>
      <c r="C11" s="9"/>
      <c r="D11" s="9" t="str">
        <f>'Comps Valuation'!D12</f>
        <v>Avadh Sugar &amp; Energy Limited</v>
      </c>
      <c r="E11" s="9"/>
      <c r="F11" s="11"/>
      <c r="G11" s="9"/>
      <c r="H11" s="171">
        <f>'Comps Valuation'!J12</f>
        <v>64529.376869999993</v>
      </c>
      <c r="I11" s="171">
        <f>'Comps Valuation'!K12</f>
        <v>146798.266547418</v>
      </c>
      <c r="J11" s="70">
        <f t="shared" si="0"/>
        <v>2.274905998908928</v>
      </c>
      <c r="K11" s="70">
        <f t="shared" si="1"/>
        <v>0.69464772413829234</v>
      </c>
      <c r="L11" s="173">
        <f>'Comps Valuation'!Q12</f>
        <v>0.35482999999999998</v>
      </c>
      <c r="M11" s="123">
        <v>0.28999999999999998</v>
      </c>
      <c r="N11" s="12">
        <f t="shared" si="2"/>
        <v>0.11751828437013737</v>
      </c>
    </row>
    <row r="12" spans="1:17" x14ac:dyDescent="0.3">
      <c r="A12" s="9"/>
      <c r="B12" s="9"/>
      <c r="C12" s="9"/>
      <c r="D12" s="9" t="str">
        <f>'Comps Valuation'!D13</f>
        <v>Davangere Sugar Company Limited</v>
      </c>
      <c r="E12" s="9"/>
      <c r="F12" s="11"/>
      <c r="G12" s="9"/>
      <c r="H12" s="171">
        <f>'Comps Valuation'!J13</f>
        <v>46392.03772</v>
      </c>
      <c r="I12" s="171">
        <f>'Comps Valuation'!K13</f>
        <v>38172.127638653998</v>
      </c>
      <c r="J12" s="70">
        <f t="shared" si="0"/>
        <v>0.82281636062297103</v>
      </c>
      <c r="K12" s="70">
        <f t="shared" si="1"/>
        <v>0.45139838460839959</v>
      </c>
      <c r="L12" s="173">
        <f>'Comps Valuation'!Q13</f>
        <v>0.145261</v>
      </c>
      <c r="M12" s="123">
        <v>0.77</v>
      </c>
      <c r="N12" s="12">
        <f t="shared" si="2"/>
        <v>0.45206543709747998</v>
      </c>
    </row>
    <row r="13" spans="1:17" x14ac:dyDescent="0.3">
      <c r="D13" s="9" t="str">
        <f>'Comps Valuation'!D14</f>
        <v>Dhampur Sugar Mills Limited</v>
      </c>
      <c r="H13" s="171">
        <f>'Comps Valuation'!J14</f>
        <v>72794.96819</v>
      </c>
      <c r="I13" s="171">
        <f>'Comps Valuation'!K14</f>
        <v>100215.12134081799</v>
      </c>
      <c r="J13" s="70">
        <f t="shared" si="0"/>
        <v>1.3766764905954689</v>
      </c>
      <c r="K13" s="70">
        <f t="shared" si="1"/>
        <v>0.57924437593546729</v>
      </c>
      <c r="L13" s="173">
        <f>'Comps Valuation'!Q14</f>
        <v>0.30268299999999998</v>
      </c>
      <c r="M13" s="123">
        <v>0.52</v>
      </c>
      <c r="N13" s="12">
        <f t="shared" si="2"/>
        <v>0.26530884045784014</v>
      </c>
    </row>
    <row r="14" spans="1:17" x14ac:dyDescent="0.3">
      <c r="D14" s="71" t="str">
        <f>'Comps Valuation'!D15</f>
        <v>Uttam Sugar Mills Limited</v>
      </c>
      <c r="E14" s="40"/>
      <c r="F14" s="40"/>
      <c r="G14" s="40"/>
      <c r="H14" s="172">
        <f>'Comps Valuation'!J15</f>
        <v>79594.256439999997</v>
      </c>
      <c r="I14" s="172">
        <f>'Comps Valuation'!K15</f>
        <v>28639.376640070001</v>
      </c>
      <c r="J14" s="73">
        <f t="shared" si="0"/>
        <v>0.35981712652418618</v>
      </c>
      <c r="K14" s="73">
        <f t="shared" si="1"/>
        <v>0.26460699715108815</v>
      </c>
      <c r="L14" s="174">
        <f>'Comps Valuation'!Q15</f>
        <v>0.26586399999999999</v>
      </c>
      <c r="M14" s="123">
        <v>0.41</v>
      </c>
      <c r="N14" s="12">
        <f t="shared" si="2"/>
        <v>0.32432739288529899</v>
      </c>
    </row>
    <row r="15" spans="1:17" x14ac:dyDescent="0.3">
      <c r="D15" s="2" t="s">
        <v>262</v>
      </c>
      <c r="E15" s="2"/>
      <c r="F15" s="2"/>
      <c r="G15" s="2"/>
      <c r="H15" s="2"/>
      <c r="I15" s="2"/>
      <c r="J15" s="74">
        <f t="shared" ref="J15:N15" si="3">AVERAGE(J7:J14)</f>
        <v>1.1721876570106631</v>
      </c>
      <c r="K15" s="74">
        <f t="shared" si="3"/>
        <v>0.50534041862220003</v>
      </c>
      <c r="L15" s="74">
        <f t="shared" si="3"/>
        <v>0.30119237500000001</v>
      </c>
      <c r="M15" s="81">
        <f t="shared" si="3"/>
        <v>0.3125</v>
      </c>
      <c r="N15" s="81">
        <f t="shared" si="3"/>
        <v>0.18470241030528689</v>
      </c>
    </row>
    <row r="16" spans="1:17" x14ac:dyDescent="0.3">
      <c r="D16" s="2" t="s">
        <v>263</v>
      </c>
      <c r="E16" s="2"/>
      <c r="F16" s="2"/>
      <c r="G16" s="2"/>
      <c r="H16" s="2"/>
      <c r="I16" s="2"/>
      <c r="J16" s="74">
        <f t="shared" ref="J16:N16" si="4">MEDIAN(J7:J14)</f>
        <v>1.0829020238732432</v>
      </c>
      <c r="K16" s="74">
        <f t="shared" si="4"/>
        <v>0.51527297671455075</v>
      </c>
      <c r="L16" s="74">
        <f t="shared" si="4"/>
        <v>0.28427349999999996</v>
      </c>
      <c r="M16" s="81">
        <f t="shared" si="4"/>
        <v>0.26500000000000001</v>
      </c>
      <c r="N16" s="81">
        <f t="shared" si="4"/>
        <v>0.14555134026451222</v>
      </c>
    </row>
    <row r="18" spans="2:17" x14ac:dyDescent="0.3">
      <c r="D18" s="9" t="str">
        <f>'Comps Valuation'!D20</f>
        <v>The Ugar Sugar Works Limited</v>
      </c>
      <c r="F18" t="str">
        <f>F7</f>
        <v>₹ in Lakhs</v>
      </c>
      <c r="H18" s="171">
        <f>'Comps Valuation'!J20</f>
        <v>44258.298352199999</v>
      </c>
      <c r="I18" s="171">
        <f>'Comps Valuation'!K20</f>
        <v>45440.079361641998</v>
      </c>
      <c r="J18" s="12"/>
      <c r="K18" s="12"/>
      <c r="L18" s="56"/>
    </row>
    <row r="20" spans="2:17" s="30" customFormat="1" ht="15.6" x14ac:dyDescent="0.3">
      <c r="B20" s="137"/>
      <c r="C20" s="57" t="s">
        <v>288</v>
      </c>
      <c r="D20" s="57"/>
      <c r="E20" s="75"/>
      <c r="F20" s="75"/>
      <c r="G20" s="75"/>
      <c r="H20" s="6"/>
      <c r="I20" s="135"/>
      <c r="J20" s="135"/>
      <c r="K20" s="135"/>
      <c r="L20" s="135"/>
      <c r="M20" s="136"/>
      <c r="N20" s="136"/>
      <c r="O20" s="136"/>
      <c r="P20" s="136"/>
      <c r="Q20" s="136"/>
    </row>
    <row r="22" spans="2:17" x14ac:dyDescent="0.3">
      <c r="C22" s="76" t="s">
        <v>289</v>
      </c>
      <c r="D22" s="76"/>
      <c r="E22" s="76"/>
      <c r="F22" s="76"/>
      <c r="G22" s="76"/>
      <c r="H22" s="76"/>
    </row>
    <row r="23" spans="2:17" x14ac:dyDescent="0.3">
      <c r="D23" t="s">
        <v>290</v>
      </c>
      <c r="H23" s="34">
        <f>K16</f>
        <v>0.51527297671455075</v>
      </c>
    </row>
    <row r="24" spans="2:17" x14ac:dyDescent="0.3">
      <c r="D24" t="s">
        <v>291</v>
      </c>
      <c r="H24" s="34">
        <f>1-H23</f>
        <v>0.48472702328544925</v>
      </c>
    </row>
    <row r="26" spans="2:17" x14ac:dyDescent="0.3">
      <c r="C26" s="76" t="s">
        <v>292</v>
      </c>
      <c r="D26" s="76"/>
      <c r="E26" s="76"/>
      <c r="F26" s="76"/>
      <c r="G26" s="76"/>
      <c r="H26" s="76"/>
    </row>
    <row r="27" spans="2:17" x14ac:dyDescent="0.3">
      <c r="D27" t="s">
        <v>218</v>
      </c>
      <c r="H27" s="77">
        <f>H18</f>
        <v>44258.298352199999</v>
      </c>
    </row>
    <row r="28" spans="2:17" x14ac:dyDescent="0.3">
      <c r="D28" t="s">
        <v>237</v>
      </c>
      <c r="H28" s="77">
        <f>I18</f>
        <v>45440.079361641998</v>
      </c>
    </row>
    <row r="29" spans="2:17" x14ac:dyDescent="0.3">
      <c r="D29" t="s">
        <v>282</v>
      </c>
      <c r="H29" s="130">
        <f>I18/H18</f>
        <v>1.0267019079684805</v>
      </c>
    </row>
    <row r="31" spans="2:17" x14ac:dyDescent="0.3">
      <c r="C31" s="76" t="s">
        <v>293</v>
      </c>
      <c r="D31" s="76"/>
      <c r="E31" s="76"/>
      <c r="F31" s="76"/>
      <c r="G31" s="76"/>
      <c r="H31" s="76"/>
    </row>
    <row r="32" spans="2:17" x14ac:dyDescent="0.3">
      <c r="D32" t="s">
        <v>294</v>
      </c>
      <c r="H32" s="80">
        <f>'Ratio Analysis &amp; Interpretation'!M11</f>
        <v>9.4171670544971955E-2</v>
      </c>
    </row>
    <row r="33" spans="3:8" x14ac:dyDescent="0.3">
      <c r="D33" t="s">
        <v>295</v>
      </c>
      <c r="H33" s="78">
        <f>'Comps Valuation'!Q20</f>
        <v>0.27409762065207005</v>
      </c>
    </row>
    <row r="34" spans="3:8" x14ac:dyDescent="0.3">
      <c r="D34" s="20" t="s">
        <v>296</v>
      </c>
      <c r="E34" s="20"/>
      <c r="F34" s="20"/>
      <c r="G34" s="20"/>
      <c r="H34" s="79">
        <f>H32*(1-H33)</f>
        <v>6.8359439715764525E-2</v>
      </c>
    </row>
    <row r="36" spans="3:8" x14ac:dyDescent="0.3">
      <c r="C36" s="76" t="s">
        <v>297</v>
      </c>
      <c r="D36" s="76"/>
      <c r="E36" s="76"/>
      <c r="F36" s="76"/>
      <c r="G36" s="76"/>
      <c r="H36" s="76"/>
    </row>
    <row r="37" spans="3:8" x14ac:dyDescent="0.3">
      <c r="D37" t="s">
        <v>298</v>
      </c>
      <c r="H37" s="78">
        <f>Market_Returns!F7</f>
        <v>6.9610000000000005E-2</v>
      </c>
    </row>
    <row r="38" spans="3:8" x14ac:dyDescent="0.3">
      <c r="D38" t="s">
        <v>300</v>
      </c>
      <c r="H38" s="80">
        <f>Market_Returns!F5</f>
        <v>0.13054079176681599</v>
      </c>
    </row>
    <row r="39" spans="3:8" x14ac:dyDescent="0.3">
      <c r="D39" t="s">
        <v>299</v>
      </c>
      <c r="H39" s="56">
        <f>H38-H37</f>
        <v>6.0930791766815984E-2</v>
      </c>
    </row>
    <row r="40" spans="3:8" x14ac:dyDescent="0.3">
      <c r="D40" t="s">
        <v>301</v>
      </c>
      <c r="H40" s="67">
        <f>N16*(1+H29*(1-H33))</f>
        <v>0.25402862298279033</v>
      </c>
    </row>
    <row r="41" spans="3:8" x14ac:dyDescent="0.3">
      <c r="D41" s="20" t="s">
        <v>297</v>
      </c>
      <c r="E41" s="20"/>
      <c r="F41" s="20"/>
      <c r="G41" s="20"/>
      <c r="H41" s="79">
        <f>H37+(H39*H40)</f>
        <v>8.5088165129775406E-2</v>
      </c>
    </row>
    <row r="43" spans="3:8" x14ac:dyDescent="0.3">
      <c r="D43" s="76" t="s">
        <v>302</v>
      </c>
      <c r="E43" s="76"/>
      <c r="F43" s="76"/>
      <c r="G43" s="76"/>
      <c r="H43" s="82">
        <f>(H34*H23)+H41*H24</f>
        <v>7.6468304989057656E-2</v>
      </c>
    </row>
    <row r="46" spans="3:8" x14ac:dyDescent="0.3">
      <c r="D46" s="179" t="s">
        <v>392</v>
      </c>
    </row>
  </sheetData>
  <mergeCells count="2">
    <mergeCell ref="H1:L1"/>
    <mergeCell ref="M1:Q1"/>
  </mergeCells>
  <hyperlinks>
    <hyperlink ref="D46" location="'Cover page'!A1" display="Back to Cover" xr:uid="{F2788D03-8802-4E8C-B9BE-4232E710BCC8}"/>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E6D8D-2084-4E6A-B86B-1A322C3A74E6}">
  <sheetPr>
    <tabColor theme="9" tint="0.39997558519241921"/>
  </sheetPr>
  <dimension ref="A1:R122"/>
  <sheetViews>
    <sheetView topLeftCell="D11" workbookViewId="0">
      <selection activeCell="K7" sqref="K7:K8"/>
    </sheetView>
  </sheetViews>
  <sheetFormatPr defaultColWidth="11.77734375" defaultRowHeight="14.4" x14ac:dyDescent="0.3"/>
  <cols>
    <col min="1" max="3" width="1.33203125" customWidth="1"/>
    <col min="4" max="6" width="12.77734375"/>
    <col min="7" max="7" width="14.21875" customWidth="1"/>
    <col min="8" max="8" width="13.33203125" customWidth="1"/>
    <col min="10" max="10" width="21.6640625" bestFit="1" customWidth="1"/>
    <col min="11" max="11" width="12" bestFit="1" customWidth="1"/>
  </cols>
  <sheetData>
    <row r="1" spans="1:17" ht="32.4" x14ac:dyDescent="0.6">
      <c r="A1" s="1" t="str">
        <f>'Historical Info'!A1</f>
        <v>Ugar Sugar Works Ltd.</v>
      </c>
      <c r="B1" s="2"/>
      <c r="C1" s="2"/>
      <c r="D1" s="2"/>
      <c r="E1" s="3"/>
      <c r="F1" s="3"/>
      <c r="G1" s="3"/>
      <c r="H1" s="205"/>
      <c r="I1" s="205"/>
      <c r="J1" s="205"/>
      <c r="K1" s="205"/>
      <c r="L1" s="205"/>
      <c r="M1" s="205"/>
      <c r="N1" s="205"/>
      <c r="O1" s="205"/>
      <c r="P1" s="205"/>
      <c r="Q1" s="205"/>
    </row>
    <row r="2" spans="1:17" ht="15.6" x14ac:dyDescent="0.3">
      <c r="A2" s="4" t="s">
        <v>303</v>
      </c>
      <c r="B2" s="4"/>
      <c r="C2" s="4"/>
      <c r="D2" s="4"/>
      <c r="E2" s="5"/>
      <c r="F2" s="5"/>
      <c r="G2" s="5"/>
      <c r="H2" s="6"/>
      <c r="I2" s="6"/>
      <c r="J2" s="6"/>
      <c r="K2" s="6"/>
      <c r="L2" s="6"/>
      <c r="M2" s="7"/>
      <c r="N2" s="7"/>
      <c r="O2" s="7"/>
      <c r="P2" s="7"/>
      <c r="Q2" s="7"/>
    </row>
    <row r="4" spans="1:17" ht="31.2" x14ac:dyDescent="0.3">
      <c r="A4" s="9"/>
      <c r="B4" s="9"/>
      <c r="C4" s="9"/>
      <c r="D4" s="83" t="s">
        <v>272</v>
      </c>
      <c r="E4" s="83" t="s">
        <v>304</v>
      </c>
      <c r="F4" s="83" t="s">
        <v>305</v>
      </c>
      <c r="G4" s="83" t="s">
        <v>306</v>
      </c>
      <c r="H4" s="83" t="s">
        <v>305</v>
      </c>
      <c r="I4" s="12"/>
      <c r="J4" s="11"/>
      <c r="K4" s="12"/>
      <c r="L4" s="12"/>
    </row>
    <row r="5" spans="1:17" x14ac:dyDescent="0.3">
      <c r="A5" s="9"/>
      <c r="B5" s="9"/>
      <c r="C5" s="9"/>
      <c r="D5" s="126">
        <v>44317</v>
      </c>
      <c r="E5" s="129">
        <v>51937.440000000002</v>
      </c>
      <c r="F5" s="84"/>
      <c r="G5" s="123">
        <v>29.05</v>
      </c>
      <c r="H5" s="35"/>
      <c r="I5" s="12"/>
      <c r="J5" s="10" t="s">
        <v>274</v>
      </c>
      <c r="K5" s="12" t="s">
        <v>307</v>
      </c>
      <c r="L5" s="12"/>
    </row>
    <row r="6" spans="1:17" x14ac:dyDescent="0.3">
      <c r="A6" s="10"/>
      <c r="B6" s="10"/>
      <c r="C6" s="10"/>
      <c r="D6" s="126">
        <v>44348</v>
      </c>
      <c r="E6" s="129">
        <v>52482.71</v>
      </c>
      <c r="F6" s="84">
        <f t="shared" ref="F6:F64" si="0">E6/E5-1</f>
        <v>1.0498592152404784E-2</v>
      </c>
      <c r="G6" s="123">
        <v>35.950000000000003</v>
      </c>
      <c r="H6" s="35">
        <f t="shared" ref="H6:H35" si="1">G6/G5-1</f>
        <v>0.23752151462994853</v>
      </c>
      <c r="I6" s="14"/>
      <c r="J6" s="13"/>
      <c r="K6" s="14"/>
      <c r="L6" s="14"/>
    </row>
    <row r="7" spans="1:17" ht="15.6" x14ac:dyDescent="0.3">
      <c r="A7" s="9"/>
      <c r="B7" s="9"/>
      <c r="C7" s="10"/>
      <c r="D7" s="126">
        <v>44378</v>
      </c>
      <c r="E7" s="129">
        <v>52586.84</v>
      </c>
      <c r="F7" s="84">
        <f t="shared" si="0"/>
        <v>1.9840819957657185E-3</v>
      </c>
      <c r="G7" s="123">
        <v>33.65</v>
      </c>
      <c r="H7" s="35">
        <f t="shared" si="1"/>
        <v>-6.3977746870653829E-2</v>
      </c>
      <c r="I7" s="12"/>
      <c r="J7" s="30" t="s">
        <v>308</v>
      </c>
      <c r="K7" s="12">
        <f>MIN(G53:G64)</f>
        <v>35.97</v>
      </c>
      <c r="L7" s="12"/>
    </row>
    <row r="8" spans="1:17" ht="15.6" x14ac:dyDescent="0.3">
      <c r="A8" s="9"/>
      <c r="B8" s="9"/>
      <c r="C8" s="9"/>
      <c r="D8" s="126">
        <v>44409</v>
      </c>
      <c r="E8" s="129">
        <v>57552.39</v>
      </c>
      <c r="F8" s="84">
        <f t="shared" si="0"/>
        <v>9.4425715635318763E-2</v>
      </c>
      <c r="G8" s="123">
        <v>27.6</v>
      </c>
      <c r="H8" s="35">
        <f t="shared" si="1"/>
        <v>-0.1797919762258543</v>
      </c>
      <c r="I8" s="12"/>
      <c r="J8" s="30" t="s">
        <v>309</v>
      </c>
      <c r="K8" s="12">
        <f>MAX(G54:G65)</f>
        <v>50.81</v>
      </c>
      <c r="L8" s="12"/>
    </row>
    <row r="9" spans="1:17" x14ac:dyDescent="0.3">
      <c r="A9" s="9"/>
      <c r="B9" s="9"/>
      <c r="C9" s="9"/>
      <c r="D9" s="126">
        <v>44440</v>
      </c>
      <c r="E9" s="129">
        <v>59126.36</v>
      </c>
      <c r="F9" s="84">
        <f t="shared" si="0"/>
        <v>2.7348473277999386E-2</v>
      </c>
      <c r="G9" s="123">
        <v>28.7</v>
      </c>
      <c r="H9" s="35">
        <f t="shared" si="1"/>
        <v>3.9855072463768071E-2</v>
      </c>
      <c r="I9" s="12"/>
      <c r="J9" s="13"/>
      <c r="K9" s="12"/>
      <c r="L9" s="12"/>
    </row>
    <row r="10" spans="1:17" x14ac:dyDescent="0.3">
      <c r="A10" s="9"/>
      <c r="B10" s="9"/>
      <c r="C10" s="9"/>
      <c r="D10" s="126">
        <v>44470</v>
      </c>
      <c r="E10" s="129">
        <v>59306.93</v>
      </c>
      <c r="F10" s="84">
        <f t="shared" si="0"/>
        <v>3.0539678072520893E-3</v>
      </c>
      <c r="G10" s="123">
        <v>27</v>
      </c>
      <c r="H10" s="35">
        <f t="shared" si="1"/>
        <v>-5.9233449477351874E-2</v>
      </c>
      <c r="I10" s="12"/>
      <c r="J10" s="13" t="s">
        <v>310</v>
      </c>
      <c r="K10" s="12">
        <f>SLOPE(H6:H64,F6:F64)</f>
        <v>0.73715171285433956</v>
      </c>
      <c r="L10" s="12"/>
    </row>
    <row r="11" spans="1:17" x14ac:dyDescent="0.3">
      <c r="A11" s="9"/>
      <c r="B11" s="9"/>
      <c r="C11" s="9"/>
      <c r="D11" s="126">
        <v>44501</v>
      </c>
      <c r="E11" s="129">
        <v>57064.87</v>
      </c>
      <c r="F11" s="84">
        <f t="shared" si="0"/>
        <v>-3.7804351026094252E-2</v>
      </c>
      <c r="G11" s="123">
        <v>25.9</v>
      </c>
      <c r="H11" s="35">
        <f t="shared" si="1"/>
        <v>-4.0740740740740744E-2</v>
      </c>
      <c r="I11" s="12"/>
      <c r="J11" s="11"/>
      <c r="K11" s="12"/>
      <c r="L11" s="12"/>
    </row>
    <row r="12" spans="1:17" x14ac:dyDescent="0.3">
      <c r="A12" s="9"/>
      <c r="B12" s="9"/>
      <c r="C12" s="9"/>
      <c r="D12" s="126">
        <v>44531</v>
      </c>
      <c r="E12" s="129">
        <v>58253.82</v>
      </c>
      <c r="F12" s="84">
        <f t="shared" si="0"/>
        <v>2.0835060169242414E-2</v>
      </c>
      <c r="G12" s="123">
        <v>30.1</v>
      </c>
      <c r="H12" s="35">
        <f t="shared" si="1"/>
        <v>0.16216216216216228</v>
      </c>
      <c r="I12" s="12"/>
      <c r="J12" s="13" t="s">
        <v>311</v>
      </c>
      <c r="K12" s="12">
        <f>K31</f>
        <v>0.73715171285433911</v>
      </c>
      <c r="L12" s="12"/>
    </row>
    <row r="13" spans="1:17" x14ac:dyDescent="0.3">
      <c r="D13" s="126">
        <v>44562</v>
      </c>
      <c r="E13" s="129">
        <v>58014.17</v>
      </c>
      <c r="F13" s="84">
        <f t="shared" si="0"/>
        <v>-4.113893303477778E-3</v>
      </c>
      <c r="G13" s="123">
        <v>33.049999999999997</v>
      </c>
      <c r="H13" s="35">
        <f t="shared" si="1"/>
        <v>9.8006644518272346E-2</v>
      </c>
    </row>
    <row r="14" spans="1:17" x14ac:dyDescent="0.3">
      <c r="D14" s="126">
        <v>44593</v>
      </c>
      <c r="E14" s="129">
        <v>56247.28</v>
      </c>
      <c r="F14" s="84">
        <f t="shared" si="0"/>
        <v>-3.0456179929834404E-2</v>
      </c>
      <c r="G14" s="123">
        <v>45.8</v>
      </c>
      <c r="H14" s="35">
        <f t="shared" si="1"/>
        <v>0.38577912254160363</v>
      </c>
      <c r="J14" t="s">
        <v>312</v>
      </c>
    </row>
    <row r="15" spans="1:17" ht="15" thickBot="1" x14ac:dyDescent="0.35">
      <c r="D15" s="126">
        <v>44621</v>
      </c>
      <c r="E15" s="129">
        <v>58568.51</v>
      </c>
      <c r="F15" s="84">
        <f t="shared" si="0"/>
        <v>4.1268306663006626E-2</v>
      </c>
      <c r="G15" s="123">
        <v>68.5</v>
      </c>
      <c r="H15" s="35">
        <f t="shared" si="1"/>
        <v>0.49563318777292587</v>
      </c>
    </row>
    <row r="16" spans="1:17" x14ac:dyDescent="0.3">
      <c r="D16" s="126">
        <v>44652</v>
      </c>
      <c r="E16" s="129">
        <v>57060.87</v>
      </c>
      <c r="F16" s="84">
        <f t="shared" si="0"/>
        <v>-2.5741477800954815E-2</v>
      </c>
      <c r="G16" s="123">
        <v>69.099999999999994</v>
      </c>
      <c r="H16" s="35">
        <f t="shared" si="1"/>
        <v>8.7591240875910525E-3</v>
      </c>
      <c r="J16" s="201" t="s">
        <v>313</v>
      </c>
      <c r="K16" s="201"/>
    </row>
    <row r="17" spans="4:18" x14ac:dyDescent="0.3">
      <c r="D17" s="126">
        <v>44682</v>
      </c>
      <c r="E17" s="129">
        <v>55566.41</v>
      </c>
      <c r="F17" s="84">
        <f t="shared" si="0"/>
        <v>-2.6190627657797672E-2</v>
      </c>
      <c r="G17" s="123">
        <v>52.7</v>
      </c>
      <c r="H17" s="35">
        <f t="shared" si="1"/>
        <v>-0.23733719247467433</v>
      </c>
      <c r="J17" t="s">
        <v>314</v>
      </c>
      <c r="K17">
        <v>0.21043707855761878</v>
      </c>
    </row>
    <row r="18" spans="4:18" x14ac:dyDescent="0.3">
      <c r="D18" s="126">
        <v>44713</v>
      </c>
      <c r="E18" s="129">
        <v>53018.94</v>
      </c>
      <c r="F18" s="84">
        <f t="shared" si="0"/>
        <v>-4.5845502705681329E-2</v>
      </c>
      <c r="G18" s="123">
        <v>48.6</v>
      </c>
      <c r="H18" s="35">
        <f t="shared" si="1"/>
        <v>-7.7798861480075976E-2</v>
      </c>
      <c r="J18" t="s">
        <v>315</v>
      </c>
      <c r="K18">
        <v>4.4283764031865416E-2</v>
      </c>
    </row>
    <row r="19" spans="4:18" x14ac:dyDescent="0.3">
      <c r="D19" s="126">
        <v>44743</v>
      </c>
      <c r="E19" s="129">
        <v>57570.25</v>
      </c>
      <c r="F19" s="84">
        <f t="shared" si="0"/>
        <v>8.5843096825398479E-2</v>
      </c>
      <c r="G19" s="123">
        <v>58.7</v>
      </c>
      <c r="H19" s="35">
        <f t="shared" si="1"/>
        <v>0.20781893004115237</v>
      </c>
      <c r="J19" t="s">
        <v>316</v>
      </c>
      <c r="K19">
        <v>2.7516812523652529E-2</v>
      </c>
    </row>
    <row r="20" spans="4:18" x14ac:dyDescent="0.3">
      <c r="D20" s="126">
        <v>44774</v>
      </c>
      <c r="E20" s="129">
        <v>59537.07</v>
      </c>
      <c r="F20" s="84">
        <f t="shared" si="0"/>
        <v>3.4163825934401926E-2</v>
      </c>
      <c r="G20" s="123">
        <v>56.85</v>
      </c>
      <c r="H20" s="35">
        <f t="shared" si="1"/>
        <v>-3.1516183986371349E-2</v>
      </c>
      <c r="J20" t="s">
        <v>317</v>
      </c>
      <c r="K20">
        <v>0.13865776182826359</v>
      </c>
    </row>
    <row r="21" spans="4:18" ht="15" thickBot="1" x14ac:dyDescent="0.35">
      <c r="D21" s="126">
        <v>44805</v>
      </c>
      <c r="E21" s="129">
        <v>57426.92</v>
      </c>
      <c r="F21" s="84">
        <f t="shared" si="0"/>
        <v>-3.5442624233943731E-2</v>
      </c>
      <c r="G21" s="123">
        <v>60.75</v>
      </c>
      <c r="H21" s="35">
        <f t="shared" si="1"/>
        <v>6.8601583113456543E-2</v>
      </c>
      <c r="J21" s="199" t="s">
        <v>318</v>
      </c>
      <c r="K21" s="199">
        <v>59</v>
      </c>
    </row>
    <row r="22" spans="4:18" x14ac:dyDescent="0.3">
      <c r="D22" s="126">
        <v>44835</v>
      </c>
      <c r="E22" s="129">
        <v>60746.59</v>
      </c>
      <c r="F22" s="84">
        <f t="shared" si="0"/>
        <v>5.7806861311733293E-2</v>
      </c>
      <c r="G22" s="123">
        <v>76.900000000000006</v>
      </c>
      <c r="H22" s="35">
        <f t="shared" si="1"/>
        <v>0.26584362139917705</v>
      </c>
    </row>
    <row r="23" spans="4:18" ht="15" thickBot="1" x14ac:dyDescent="0.35">
      <c r="D23" s="126">
        <v>44866</v>
      </c>
      <c r="E23" s="129">
        <v>63099.65</v>
      </c>
      <c r="F23" s="84">
        <f t="shared" si="0"/>
        <v>3.8735672241026364E-2</v>
      </c>
      <c r="G23" s="123">
        <v>90.7</v>
      </c>
      <c r="H23" s="35">
        <f t="shared" si="1"/>
        <v>0.17945383615084531</v>
      </c>
      <c r="J23" t="s">
        <v>319</v>
      </c>
    </row>
    <row r="24" spans="4:18" x14ac:dyDescent="0.3">
      <c r="D24" s="126">
        <v>44896</v>
      </c>
      <c r="E24" s="129">
        <v>60840.74</v>
      </c>
      <c r="F24" s="84">
        <f t="shared" si="0"/>
        <v>-3.5799089218403024E-2</v>
      </c>
      <c r="G24" s="123">
        <v>102.65</v>
      </c>
      <c r="H24" s="35">
        <f t="shared" si="1"/>
        <v>0.13175303197353916</v>
      </c>
      <c r="J24" s="200"/>
      <c r="K24" s="200" t="s">
        <v>323</v>
      </c>
      <c r="L24" s="200" t="s">
        <v>324</v>
      </c>
      <c r="M24" s="200" t="s">
        <v>325</v>
      </c>
      <c r="N24" s="200" t="s">
        <v>326</v>
      </c>
      <c r="O24" s="200" t="s">
        <v>327</v>
      </c>
    </row>
    <row r="25" spans="4:18" x14ac:dyDescent="0.3">
      <c r="D25" s="126">
        <v>44927</v>
      </c>
      <c r="E25" s="129">
        <v>59549.9</v>
      </c>
      <c r="F25" s="84">
        <f t="shared" si="0"/>
        <v>-2.1216704464804281E-2</v>
      </c>
      <c r="G25" s="123">
        <v>97.45</v>
      </c>
      <c r="H25" s="35">
        <f t="shared" si="1"/>
        <v>-5.0657574281539275E-2</v>
      </c>
      <c r="J25" t="s">
        <v>320</v>
      </c>
      <c r="K25">
        <v>1</v>
      </c>
      <c r="L25">
        <v>5.0778374113581881E-2</v>
      </c>
      <c r="M25">
        <v>5.0778374113581881E-2</v>
      </c>
      <c r="N25">
        <v>2.6411339002307055</v>
      </c>
      <c r="O25">
        <v>0.10964643689262268</v>
      </c>
    </row>
    <row r="26" spans="4:18" x14ac:dyDescent="0.3">
      <c r="D26" s="126">
        <v>44958</v>
      </c>
      <c r="E26" s="129">
        <v>58962.12</v>
      </c>
      <c r="F26" s="84">
        <f t="shared" si="0"/>
        <v>-9.8703776160833367E-3</v>
      </c>
      <c r="G26" s="123">
        <v>90.1</v>
      </c>
      <c r="H26" s="35">
        <f t="shared" si="1"/>
        <v>-7.5423293996921603E-2</v>
      </c>
      <c r="J26" t="s">
        <v>321</v>
      </c>
      <c r="K26">
        <v>57</v>
      </c>
      <c r="L26">
        <v>1.0958805701677379</v>
      </c>
      <c r="M26">
        <v>1.9225974915223473E-2</v>
      </c>
    </row>
    <row r="27" spans="4:18" ht="15" thickBot="1" x14ac:dyDescent="0.35">
      <c r="D27" s="126">
        <v>44986</v>
      </c>
      <c r="E27" s="129">
        <v>58991.519999999997</v>
      </c>
      <c r="F27" s="84">
        <f t="shared" si="0"/>
        <v>4.9862521903887291E-4</v>
      </c>
      <c r="G27" s="123">
        <v>92.3</v>
      </c>
      <c r="H27" s="35">
        <f t="shared" si="1"/>
        <v>2.441731409544956E-2</v>
      </c>
      <c r="J27" s="199" t="s">
        <v>193</v>
      </c>
      <c r="K27" s="199">
        <v>58</v>
      </c>
      <c r="L27" s="199">
        <v>1.1466589442813198</v>
      </c>
      <c r="M27" s="199"/>
      <c r="N27" s="199"/>
      <c r="O27" s="199"/>
    </row>
    <row r="28" spans="4:18" ht="15" thickBot="1" x14ac:dyDescent="0.35">
      <c r="D28" s="126">
        <v>45017</v>
      </c>
      <c r="E28" s="129">
        <v>61112.44</v>
      </c>
      <c r="F28" s="84">
        <f t="shared" si="0"/>
        <v>3.5952964087041739E-2</v>
      </c>
      <c r="G28" s="123">
        <v>107.14</v>
      </c>
      <c r="H28" s="35">
        <f t="shared" si="1"/>
        <v>0.16078006500541719</v>
      </c>
    </row>
    <row r="29" spans="4:18" x14ac:dyDescent="0.3">
      <c r="D29" s="126">
        <v>45047</v>
      </c>
      <c r="E29" s="129">
        <v>62622.239999999998</v>
      </c>
      <c r="F29" s="84">
        <f t="shared" si="0"/>
        <v>2.4705280954254061E-2</v>
      </c>
      <c r="G29" s="123">
        <v>110.85</v>
      </c>
      <c r="H29" s="35">
        <f t="shared" si="1"/>
        <v>3.4627590069068459E-2</v>
      </c>
      <c r="J29" s="200"/>
      <c r="K29" s="200" t="s">
        <v>328</v>
      </c>
      <c r="L29" s="200" t="s">
        <v>317</v>
      </c>
      <c r="M29" s="200" t="s">
        <v>329</v>
      </c>
      <c r="N29" s="200" t="s">
        <v>330</v>
      </c>
      <c r="O29" s="200" t="s">
        <v>331</v>
      </c>
      <c r="P29" s="200" t="s">
        <v>332</v>
      </c>
      <c r="Q29" s="200" t="s">
        <v>333</v>
      </c>
      <c r="R29" s="200" t="s">
        <v>334</v>
      </c>
    </row>
    <row r="30" spans="4:18" x14ac:dyDescent="0.3">
      <c r="D30" s="126">
        <v>45078</v>
      </c>
      <c r="E30" s="129">
        <v>64718.559999999998</v>
      </c>
      <c r="F30" s="84">
        <f t="shared" si="0"/>
        <v>3.3475646990589913E-2</v>
      </c>
      <c r="G30" s="123">
        <v>124</v>
      </c>
      <c r="H30" s="35">
        <f t="shared" si="1"/>
        <v>0.11862877762742441</v>
      </c>
      <c r="J30" t="s">
        <v>322</v>
      </c>
      <c r="K30">
        <v>8.6043634880936092E-3</v>
      </c>
      <c r="L30">
        <v>1.8377341195759636E-2</v>
      </c>
      <c r="M30">
        <v>0.46820502467892194</v>
      </c>
      <c r="N30">
        <v>0.64142345924282962</v>
      </c>
      <c r="O30">
        <v>-2.819562749002074E-2</v>
      </c>
      <c r="P30">
        <v>4.5404354466207962E-2</v>
      </c>
      <c r="Q30">
        <v>-2.819562749002074E-2</v>
      </c>
      <c r="R30">
        <v>4.5404354466207962E-2</v>
      </c>
    </row>
    <row r="31" spans="4:18" ht="15" thickBot="1" x14ac:dyDescent="0.35">
      <c r="D31" s="126">
        <v>45108</v>
      </c>
      <c r="E31" s="129">
        <v>66527.67</v>
      </c>
      <c r="F31" s="84">
        <f t="shared" si="0"/>
        <v>2.7953495875062684E-2</v>
      </c>
      <c r="G31" s="123">
        <v>134.35</v>
      </c>
      <c r="H31" s="35">
        <f t="shared" si="1"/>
        <v>8.3467741935483897E-2</v>
      </c>
      <c r="J31" s="199" t="s">
        <v>335</v>
      </c>
      <c r="K31" s="202">
        <v>0.73715171285433911</v>
      </c>
      <c r="L31" s="199">
        <v>0.45358811773712843</v>
      </c>
      <c r="M31" s="199">
        <v>1.6251565771428487</v>
      </c>
      <c r="N31" s="199">
        <v>0.10964643689262592</v>
      </c>
      <c r="O31" s="199">
        <v>-0.1711428256590829</v>
      </c>
      <c r="P31" s="199">
        <v>1.645446251367761</v>
      </c>
      <c r="Q31" s="199">
        <v>-0.1711428256590829</v>
      </c>
      <c r="R31" s="199">
        <v>1.645446251367761</v>
      </c>
    </row>
    <row r="32" spans="4:18" x14ac:dyDescent="0.3">
      <c r="D32" s="126">
        <v>45139</v>
      </c>
      <c r="E32" s="129">
        <v>64831.41</v>
      </c>
      <c r="F32" s="84">
        <f t="shared" si="0"/>
        <v>-2.5497060095445945E-2</v>
      </c>
      <c r="G32" s="123">
        <v>106.7</v>
      </c>
      <c r="H32" s="35">
        <f t="shared" si="1"/>
        <v>-0.20580573129884627</v>
      </c>
    </row>
    <row r="33" spans="4:10" x14ac:dyDescent="0.3">
      <c r="D33" s="126">
        <v>45170</v>
      </c>
      <c r="E33" s="129">
        <v>65828.41</v>
      </c>
      <c r="F33" s="84">
        <f t="shared" si="0"/>
        <v>1.5378348242001794E-2</v>
      </c>
      <c r="G33" s="123">
        <v>108.9</v>
      </c>
      <c r="H33" s="35">
        <f t="shared" si="1"/>
        <v>2.0618556701030855E-2</v>
      </c>
    </row>
    <row r="34" spans="4:10" x14ac:dyDescent="0.3">
      <c r="D34" s="126">
        <v>45200</v>
      </c>
      <c r="E34" s="129">
        <v>63874.93</v>
      </c>
      <c r="F34" s="84">
        <f t="shared" si="0"/>
        <v>-2.9675333188208586E-2</v>
      </c>
      <c r="G34" s="123">
        <v>95.25</v>
      </c>
      <c r="H34" s="35">
        <f t="shared" si="1"/>
        <v>-0.12534435261707999</v>
      </c>
      <c r="J34" s="179" t="s">
        <v>392</v>
      </c>
    </row>
    <row r="35" spans="4:10" x14ac:dyDescent="0.3">
      <c r="D35" s="126">
        <v>45231</v>
      </c>
      <c r="E35" s="129">
        <v>66988.44</v>
      </c>
      <c r="F35" s="84">
        <f t="shared" si="0"/>
        <v>4.8743849895412916E-2</v>
      </c>
      <c r="G35" s="123">
        <v>90.06</v>
      </c>
      <c r="H35" s="35">
        <f t="shared" si="1"/>
        <v>-5.4488188976377971E-2</v>
      </c>
    </row>
    <row r="36" spans="4:10" x14ac:dyDescent="0.3">
      <c r="D36" s="126">
        <v>45261</v>
      </c>
      <c r="E36" s="129">
        <v>72240.259999999995</v>
      </c>
      <c r="F36" s="84">
        <f t="shared" si="0"/>
        <v>7.8398899869887906E-2</v>
      </c>
      <c r="G36" s="123">
        <v>81.86</v>
      </c>
      <c r="H36" s="35">
        <f t="shared" ref="H36:H63" si="2">G36/G35-1</f>
        <v>-9.1050410837219653E-2</v>
      </c>
    </row>
    <row r="37" spans="4:10" x14ac:dyDescent="0.3">
      <c r="D37" s="126">
        <v>45292</v>
      </c>
      <c r="E37" s="129">
        <v>71752.11</v>
      </c>
      <c r="F37" s="84">
        <f t="shared" si="0"/>
        <v>-6.7573123352545617E-3</v>
      </c>
      <c r="G37" s="123">
        <v>80.45</v>
      </c>
      <c r="H37" s="35">
        <f t="shared" si="2"/>
        <v>-1.7224529684827683E-2</v>
      </c>
    </row>
    <row r="38" spans="4:10" x14ac:dyDescent="0.3">
      <c r="D38" s="126">
        <v>45323</v>
      </c>
      <c r="E38" s="129">
        <v>72500.3</v>
      </c>
      <c r="F38" s="84">
        <f t="shared" si="0"/>
        <v>1.0427428545306983E-2</v>
      </c>
      <c r="G38" s="123">
        <v>80.349999999999994</v>
      </c>
      <c r="H38" s="35">
        <f t="shared" si="2"/>
        <v>-1.2430080795525766E-3</v>
      </c>
    </row>
    <row r="39" spans="4:10" x14ac:dyDescent="0.3">
      <c r="D39" s="126">
        <v>45352</v>
      </c>
      <c r="E39" s="129">
        <v>73651.350000000006</v>
      </c>
      <c r="F39" s="84">
        <f t="shared" si="0"/>
        <v>1.5876486028333803E-2</v>
      </c>
      <c r="G39" s="123">
        <v>65.83</v>
      </c>
      <c r="H39" s="35">
        <f t="shared" si="2"/>
        <v>-0.18070939639079031</v>
      </c>
    </row>
    <row r="40" spans="4:10" x14ac:dyDescent="0.3">
      <c r="D40" s="126">
        <v>45383</v>
      </c>
      <c r="E40" s="129">
        <v>74482.78</v>
      </c>
      <c r="F40" s="84">
        <f t="shared" si="0"/>
        <v>1.1288727226316908E-2</v>
      </c>
      <c r="G40" s="123">
        <v>79.67</v>
      </c>
      <c r="H40" s="35">
        <f t="shared" si="2"/>
        <v>0.21023849308825771</v>
      </c>
    </row>
    <row r="41" spans="4:10" x14ac:dyDescent="0.3">
      <c r="D41" s="126">
        <v>45413</v>
      </c>
      <c r="E41" s="129">
        <v>73961.31</v>
      </c>
      <c r="F41" s="84">
        <f t="shared" si="0"/>
        <v>-7.0012155829843881E-3</v>
      </c>
      <c r="G41" s="123">
        <v>72</v>
      </c>
      <c r="H41" s="35">
        <f t="shared" si="2"/>
        <v>-9.6272122505334567E-2</v>
      </c>
    </row>
    <row r="42" spans="4:10" x14ac:dyDescent="0.3">
      <c r="D42" s="126">
        <v>45444</v>
      </c>
      <c r="E42" s="129">
        <v>79032.73</v>
      </c>
      <c r="F42" s="84">
        <f t="shared" si="0"/>
        <v>6.8568552936663751E-2</v>
      </c>
      <c r="G42" s="123">
        <v>81.650000000000006</v>
      </c>
      <c r="H42" s="35">
        <f t="shared" si="2"/>
        <v>0.13402777777777786</v>
      </c>
    </row>
    <row r="43" spans="4:10" x14ac:dyDescent="0.3">
      <c r="D43" s="126">
        <v>45474</v>
      </c>
      <c r="E43" s="129">
        <v>81741.34</v>
      </c>
      <c r="F43" s="84">
        <f t="shared" si="0"/>
        <v>3.427200351044446E-2</v>
      </c>
      <c r="G43" s="123">
        <v>84.89</v>
      </c>
      <c r="H43" s="35">
        <f t="shared" si="2"/>
        <v>3.9681567666870698E-2</v>
      </c>
    </row>
    <row r="44" spans="4:10" x14ac:dyDescent="0.3">
      <c r="D44" s="126">
        <v>45505</v>
      </c>
      <c r="E44" s="129">
        <v>82365.77</v>
      </c>
      <c r="F44" s="84">
        <f t="shared" si="0"/>
        <v>7.6390966920778514E-3</v>
      </c>
      <c r="G44" s="123">
        <v>85.41</v>
      </c>
      <c r="H44" s="35">
        <f t="shared" si="2"/>
        <v>6.1255742725880857E-3</v>
      </c>
    </row>
    <row r="45" spans="4:10" x14ac:dyDescent="0.3">
      <c r="D45" s="126">
        <v>45536</v>
      </c>
      <c r="E45" s="129">
        <v>84299.78</v>
      </c>
      <c r="F45" s="84">
        <f t="shared" si="0"/>
        <v>2.3480749345268004E-2</v>
      </c>
      <c r="G45" s="123">
        <v>87.62</v>
      </c>
      <c r="H45" s="35">
        <f t="shared" si="2"/>
        <v>2.5875190258751957E-2</v>
      </c>
    </row>
    <row r="46" spans="4:10" x14ac:dyDescent="0.3">
      <c r="D46" s="126">
        <v>45566</v>
      </c>
      <c r="E46" s="129">
        <v>79389.06</v>
      </c>
      <c r="F46" s="84">
        <f t="shared" si="0"/>
        <v>-5.8253058311658723E-2</v>
      </c>
      <c r="G46" s="123">
        <v>80.05</v>
      </c>
      <c r="H46" s="35">
        <f t="shared" si="2"/>
        <v>-8.6395800045651727E-2</v>
      </c>
    </row>
    <row r="47" spans="4:10" x14ac:dyDescent="0.3">
      <c r="D47" s="126">
        <v>45597</v>
      </c>
      <c r="E47" s="129">
        <v>79802.789999999994</v>
      </c>
      <c r="F47" s="84">
        <f t="shared" si="0"/>
        <v>5.2114233371700625E-3</v>
      </c>
      <c r="G47" s="123">
        <v>76.37</v>
      </c>
      <c r="H47" s="35">
        <f t="shared" si="2"/>
        <v>-4.5971267957526485E-2</v>
      </c>
    </row>
    <row r="48" spans="4:10" x14ac:dyDescent="0.3">
      <c r="D48" s="126">
        <v>45627</v>
      </c>
      <c r="E48" s="129">
        <v>78139.009999999995</v>
      </c>
      <c r="F48" s="84">
        <f t="shared" si="0"/>
        <v>-2.0848644514809611E-2</v>
      </c>
      <c r="G48" s="123">
        <v>68.87</v>
      </c>
      <c r="H48" s="35">
        <f t="shared" si="2"/>
        <v>-9.8206101872463036E-2</v>
      </c>
    </row>
    <row r="49" spans="4:8" x14ac:dyDescent="0.3">
      <c r="D49" s="126">
        <v>45658</v>
      </c>
      <c r="E49" s="129">
        <v>77500.570000000007</v>
      </c>
      <c r="F49" s="84">
        <f t="shared" si="0"/>
        <v>-8.1705667885987321E-3</v>
      </c>
      <c r="G49" s="123">
        <v>51.17</v>
      </c>
      <c r="H49" s="35">
        <f t="shared" si="2"/>
        <v>-0.25700595324524467</v>
      </c>
    </row>
    <row r="50" spans="4:8" x14ac:dyDescent="0.3">
      <c r="D50" s="126">
        <v>45689</v>
      </c>
      <c r="E50" s="129">
        <v>73198.100000000006</v>
      </c>
      <c r="F50" s="84">
        <f t="shared" si="0"/>
        <v>-5.5515333629159169E-2</v>
      </c>
      <c r="G50" s="123">
        <v>46.66</v>
      </c>
      <c r="H50" s="35">
        <f t="shared" si="2"/>
        <v>-8.8137580613640853E-2</v>
      </c>
    </row>
    <row r="51" spans="4:8" x14ac:dyDescent="0.3">
      <c r="D51" s="126">
        <v>45717</v>
      </c>
      <c r="E51" s="129">
        <v>77414.92</v>
      </c>
      <c r="F51" s="84">
        <f t="shared" si="0"/>
        <v>5.760832589916931E-2</v>
      </c>
      <c r="G51" s="123">
        <v>45.04</v>
      </c>
      <c r="H51" s="35">
        <f t="shared" si="2"/>
        <v>-3.4719245606515181E-2</v>
      </c>
    </row>
    <row r="52" spans="4:8" x14ac:dyDescent="0.3">
      <c r="D52" s="126">
        <v>45748</v>
      </c>
      <c r="E52" s="129">
        <v>80242.240000000005</v>
      </c>
      <c r="F52" s="84">
        <f t="shared" si="0"/>
        <v>3.652164208139741E-2</v>
      </c>
      <c r="G52" s="123">
        <v>43.06</v>
      </c>
      <c r="H52" s="35">
        <f t="shared" si="2"/>
        <v>-4.3960923623445725E-2</v>
      </c>
    </row>
    <row r="53" spans="4:8" x14ac:dyDescent="0.3">
      <c r="D53" s="126">
        <v>45778</v>
      </c>
      <c r="E53" s="129">
        <v>81451.009999999995</v>
      </c>
      <c r="F53" s="84">
        <f t="shared" si="0"/>
        <v>1.5064011174164449E-2</v>
      </c>
      <c r="G53" s="123">
        <v>47.49</v>
      </c>
      <c r="H53" s="35">
        <f t="shared" si="2"/>
        <v>0.10287970274036229</v>
      </c>
    </row>
    <row r="54" spans="4:8" x14ac:dyDescent="0.3">
      <c r="D54" s="126">
        <v>45809</v>
      </c>
      <c r="E54" s="129">
        <v>83606.460000000006</v>
      </c>
      <c r="F54" s="84">
        <f t="shared" si="0"/>
        <v>2.6463146374735125E-2</v>
      </c>
      <c r="G54" s="123">
        <v>50.81</v>
      </c>
      <c r="H54" s="35">
        <f t="shared" si="2"/>
        <v>6.9909454622025802E-2</v>
      </c>
    </row>
    <row r="55" spans="4:8" x14ac:dyDescent="0.3">
      <c r="D55" s="126">
        <v>45839</v>
      </c>
      <c r="E55" s="129">
        <v>81185.58</v>
      </c>
      <c r="F55" s="84">
        <f t="shared" si="0"/>
        <v>-2.89556572542361E-2</v>
      </c>
      <c r="G55" s="123">
        <v>44.89</v>
      </c>
      <c r="H55" s="35">
        <f t="shared" si="2"/>
        <v>-0.11651249753985438</v>
      </c>
    </row>
    <row r="56" spans="4:8" x14ac:dyDescent="0.3">
      <c r="D56" s="126">
        <v>45870</v>
      </c>
      <c r="E56" s="129">
        <v>79809.649999999994</v>
      </c>
      <c r="F56" s="84">
        <f t="shared" si="0"/>
        <v>-1.6947960462929568E-2</v>
      </c>
      <c r="G56" s="123">
        <v>41.39</v>
      </c>
      <c r="H56" s="35">
        <f t="shared" si="2"/>
        <v>-7.7968367119625737E-2</v>
      </c>
    </row>
    <row r="57" spans="4:8" x14ac:dyDescent="0.3">
      <c r="D57" s="126">
        <v>45901</v>
      </c>
      <c r="E57" s="129">
        <v>80267.62</v>
      </c>
      <c r="F57" s="84">
        <f t="shared" si="0"/>
        <v>5.7382785164450389E-3</v>
      </c>
      <c r="G57" s="123">
        <v>42.8</v>
      </c>
      <c r="H57" s="35">
        <f t="shared" si="2"/>
        <v>3.4066199565112365E-2</v>
      </c>
    </row>
    <row r="58" spans="4:8" x14ac:dyDescent="0.3">
      <c r="D58" s="126">
        <v>45931</v>
      </c>
      <c r="E58" s="129">
        <v>83938.71</v>
      </c>
      <c r="F58" s="84">
        <f t="shared" si="0"/>
        <v>4.5735627890798547E-2</v>
      </c>
      <c r="G58" s="123">
        <v>42.6</v>
      </c>
      <c r="H58" s="35">
        <f t="shared" si="2"/>
        <v>-4.6728971962616273E-3</v>
      </c>
    </row>
    <row r="59" spans="4:8" x14ac:dyDescent="0.3">
      <c r="D59" s="126">
        <v>45962</v>
      </c>
      <c r="E59" s="129">
        <v>85706.67</v>
      </c>
      <c r="F59" s="84">
        <f t="shared" si="0"/>
        <v>2.1062510967823966E-2</v>
      </c>
      <c r="G59" s="123">
        <v>40.6</v>
      </c>
      <c r="H59" s="35">
        <f t="shared" si="2"/>
        <v>-4.6948356807511749E-2</v>
      </c>
    </row>
    <row r="60" spans="4:8" x14ac:dyDescent="0.3">
      <c r="D60" s="126">
        <v>45992</v>
      </c>
      <c r="E60" s="129">
        <v>85220.6</v>
      </c>
      <c r="F60" s="84">
        <f t="shared" si="0"/>
        <v>-5.6713205634986164E-3</v>
      </c>
      <c r="G60" s="123">
        <v>43.12</v>
      </c>
      <c r="H60" s="35">
        <f t="shared" si="2"/>
        <v>6.2068965517241281E-2</v>
      </c>
    </row>
    <row r="61" spans="4:8" x14ac:dyDescent="0.3">
      <c r="D61" s="126">
        <v>46023</v>
      </c>
      <c r="E61" s="129">
        <v>82269.78</v>
      </c>
      <c r="F61" s="84">
        <f t="shared" si="0"/>
        <v>-3.4625665625447444E-2</v>
      </c>
      <c r="G61" s="123">
        <v>38.06</v>
      </c>
      <c r="H61" s="35">
        <f t="shared" si="2"/>
        <v>-0.11734693877551006</v>
      </c>
    </row>
    <row r="62" spans="4:8" x14ac:dyDescent="0.3">
      <c r="D62" s="126">
        <v>46054</v>
      </c>
      <c r="E62" s="129">
        <v>82814.710000000006</v>
      </c>
      <c r="F62" s="84">
        <f t="shared" si="0"/>
        <v>6.6236958455463402E-3</v>
      </c>
      <c r="G62" s="123">
        <v>35.97</v>
      </c>
      <c r="H62" s="35">
        <f t="shared" si="2"/>
        <v>-5.4913294797687917E-2</v>
      </c>
    </row>
    <row r="63" spans="4:8" x14ac:dyDescent="0.3">
      <c r="D63" s="126">
        <v>46082</v>
      </c>
      <c r="E63" s="129">
        <v>71794.649999999994</v>
      </c>
      <c r="F63" s="84">
        <f t="shared" si="0"/>
        <v>-0.133068871460155</v>
      </c>
      <c r="G63" s="123">
        <v>39.25</v>
      </c>
      <c r="H63" s="35">
        <f t="shared" si="2"/>
        <v>9.1187100361412421E-2</v>
      </c>
    </row>
    <row r="64" spans="4:8" x14ac:dyDescent="0.3">
      <c r="D64" s="126">
        <v>46113</v>
      </c>
      <c r="E64" s="129">
        <v>77453.53</v>
      </c>
      <c r="F64" s="84">
        <f t="shared" si="0"/>
        <v>7.8820357784319617E-2</v>
      </c>
      <c r="G64" s="123">
        <v>39.229999999999997</v>
      </c>
      <c r="H64" s="35">
        <f>G64/G63-1</f>
        <v>-5.0955414012743283E-4</v>
      </c>
    </row>
    <row r="65" spans="4:5" x14ac:dyDescent="0.3">
      <c r="D65" s="126"/>
      <c r="E65" s="129"/>
    </row>
    <row r="66" spans="4:5" x14ac:dyDescent="0.3">
      <c r="D66" s="126"/>
      <c r="E66" s="129"/>
    </row>
    <row r="67" spans="4:5" x14ac:dyDescent="0.3">
      <c r="D67" s="126"/>
      <c r="E67" s="129"/>
    </row>
    <row r="68" spans="4:5" x14ac:dyDescent="0.3">
      <c r="D68" s="126"/>
      <c r="E68" s="129"/>
    </row>
    <row r="69" spans="4:5" x14ac:dyDescent="0.3">
      <c r="D69" s="126"/>
      <c r="E69" s="129"/>
    </row>
    <row r="70" spans="4:5" x14ac:dyDescent="0.3">
      <c r="D70" s="126"/>
      <c r="E70" s="129"/>
    </row>
    <row r="71" spans="4:5" x14ac:dyDescent="0.3">
      <c r="D71" s="126"/>
      <c r="E71" s="129"/>
    </row>
    <row r="72" spans="4:5" x14ac:dyDescent="0.3">
      <c r="D72" s="126"/>
      <c r="E72" s="129"/>
    </row>
    <row r="73" spans="4:5" x14ac:dyDescent="0.3">
      <c r="D73" s="126"/>
      <c r="E73" s="129"/>
    </row>
    <row r="74" spans="4:5" x14ac:dyDescent="0.3">
      <c r="D74" s="126"/>
      <c r="E74" s="129"/>
    </row>
    <row r="75" spans="4:5" x14ac:dyDescent="0.3">
      <c r="D75" s="126"/>
      <c r="E75" s="129"/>
    </row>
    <row r="76" spans="4:5" x14ac:dyDescent="0.3">
      <c r="D76" s="126"/>
      <c r="E76" s="129"/>
    </row>
    <row r="77" spans="4:5" x14ac:dyDescent="0.3">
      <c r="D77" s="126"/>
      <c r="E77" s="129"/>
    </row>
    <row r="78" spans="4:5" x14ac:dyDescent="0.3">
      <c r="D78" s="126"/>
      <c r="E78" s="129"/>
    </row>
    <row r="79" spans="4:5" x14ac:dyDescent="0.3">
      <c r="D79" s="126"/>
      <c r="E79" s="129"/>
    </row>
    <row r="80" spans="4:5" x14ac:dyDescent="0.3">
      <c r="D80" s="126"/>
      <c r="E80" s="129"/>
    </row>
    <row r="81" spans="4:5" x14ac:dyDescent="0.3">
      <c r="D81" s="126"/>
      <c r="E81" s="129"/>
    </row>
    <row r="82" spans="4:5" x14ac:dyDescent="0.3">
      <c r="D82" s="126"/>
      <c r="E82" s="129"/>
    </row>
    <row r="83" spans="4:5" x14ac:dyDescent="0.3">
      <c r="D83" s="126"/>
      <c r="E83" s="129"/>
    </row>
    <row r="84" spans="4:5" x14ac:dyDescent="0.3">
      <c r="D84" s="126"/>
      <c r="E84" s="129"/>
    </row>
    <row r="85" spans="4:5" x14ac:dyDescent="0.3">
      <c r="D85" s="126"/>
      <c r="E85" s="129"/>
    </row>
    <row r="86" spans="4:5" x14ac:dyDescent="0.3">
      <c r="D86" s="126"/>
      <c r="E86" s="129"/>
    </row>
    <row r="87" spans="4:5" x14ac:dyDescent="0.3">
      <c r="D87" s="126"/>
      <c r="E87" s="129"/>
    </row>
    <row r="88" spans="4:5" x14ac:dyDescent="0.3">
      <c r="D88" s="126"/>
      <c r="E88" s="129"/>
    </row>
    <row r="89" spans="4:5" x14ac:dyDescent="0.3">
      <c r="D89" s="126"/>
      <c r="E89" s="129"/>
    </row>
    <row r="90" spans="4:5" x14ac:dyDescent="0.3">
      <c r="D90" s="126"/>
      <c r="E90" s="129"/>
    </row>
    <row r="91" spans="4:5" x14ac:dyDescent="0.3">
      <c r="D91" s="126"/>
      <c r="E91" s="129"/>
    </row>
    <row r="92" spans="4:5" x14ac:dyDescent="0.3">
      <c r="D92" s="126"/>
      <c r="E92" s="129"/>
    </row>
    <row r="93" spans="4:5" x14ac:dyDescent="0.3">
      <c r="D93" s="126"/>
      <c r="E93" s="129"/>
    </row>
    <row r="94" spans="4:5" x14ac:dyDescent="0.3">
      <c r="D94" s="126"/>
      <c r="E94" s="129"/>
    </row>
    <row r="95" spans="4:5" x14ac:dyDescent="0.3">
      <c r="D95" s="126"/>
      <c r="E95" s="129"/>
    </row>
    <row r="96" spans="4:5" x14ac:dyDescent="0.3">
      <c r="D96" s="126"/>
      <c r="E96" s="129"/>
    </row>
    <row r="97" spans="4:5" x14ac:dyDescent="0.3">
      <c r="D97" s="126"/>
      <c r="E97" s="129"/>
    </row>
    <row r="98" spans="4:5" x14ac:dyDescent="0.3">
      <c r="D98" s="126"/>
      <c r="E98" s="129"/>
    </row>
    <row r="99" spans="4:5" x14ac:dyDescent="0.3">
      <c r="D99" s="126"/>
      <c r="E99" s="129"/>
    </row>
    <row r="100" spans="4:5" x14ac:dyDescent="0.3">
      <c r="D100" s="126"/>
      <c r="E100" s="129"/>
    </row>
    <row r="101" spans="4:5" x14ac:dyDescent="0.3">
      <c r="D101" s="126"/>
      <c r="E101" s="129"/>
    </row>
    <row r="102" spans="4:5" x14ac:dyDescent="0.3">
      <c r="D102" s="126"/>
      <c r="E102" s="129"/>
    </row>
    <row r="103" spans="4:5" x14ac:dyDescent="0.3">
      <c r="D103" s="126"/>
      <c r="E103" s="129"/>
    </row>
    <row r="104" spans="4:5" x14ac:dyDescent="0.3">
      <c r="D104" s="126"/>
      <c r="E104" s="129"/>
    </row>
    <row r="105" spans="4:5" x14ac:dyDescent="0.3">
      <c r="D105" s="126"/>
      <c r="E105" s="129"/>
    </row>
    <row r="106" spans="4:5" x14ac:dyDescent="0.3">
      <c r="D106" s="126"/>
      <c r="E106" s="129"/>
    </row>
    <row r="107" spans="4:5" x14ac:dyDescent="0.3">
      <c r="D107" s="126"/>
      <c r="E107" s="129"/>
    </row>
    <row r="108" spans="4:5" x14ac:dyDescent="0.3">
      <c r="D108" s="126"/>
      <c r="E108" s="129"/>
    </row>
    <row r="109" spans="4:5" x14ac:dyDescent="0.3">
      <c r="D109" s="126"/>
      <c r="E109" s="129"/>
    </row>
    <row r="110" spans="4:5" x14ac:dyDescent="0.3">
      <c r="D110" s="126"/>
      <c r="E110" s="129"/>
    </row>
    <row r="111" spans="4:5" x14ac:dyDescent="0.3">
      <c r="D111" s="126"/>
      <c r="E111" s="129"/>
    </row>
    <row r="112" spans="4:5" x14ac:dyDescent="0.3">
      <c r="D112" s="126"/>
      <c r="E112" s="129"/>
    </row>
    <row r="113" spans="4:5" x14ac:dyDescent="0.3">
      <c r="D113" s="126"/>
      <c r="E113" s="129"/>
    </row>
    <row r="114" spans="4:5" x14ac:dyDescent="0.3">
      <c r="D114" s="126"/>
      <c r="E114" s="129"/>
    </row>
    <row r="115" spans="4:5" x14ac:dyDescent="0.3">
      <c r="D115" s="126"/>
      <c r="E115" s="129"/>
    </row>
    <row r="116" spans="4:5" x14ac:dyDescent="0.3">
      <c r="D116" s="126"/>
      <c r="E116" s="129"/>
    </row>
    <row r="117" spans="4:5" x14ac:dyDescent="0.3">
      <c r="D117" s="126"/>
      <c r="E117" s="129"/>
    </row>
    <row r="118" spans="4:5" x14ac:dyDescent="0.3">
      <c r="D118" s="126"/>
      <c r="E118" s="129"/>
    </row>
    <row r="119" spans="4:5" x14ac:dyDescent="0.3">
      <c r="D119" s="126"/>
      <c r="E119" s="129"/>
    </row>
    <row r="120" spans="4:5" x14ac:dyDescent="0.3">
      <c r="D120" s="126"/>
      <c r="E120" s="129"/>
    </row>
    <row r="121" spans="4:5" x14ac:dyDescent="0.3">
      <c r="D121" s="126"/>
      <c r="E121" s="129"/>
    </row>
    <row r="122" spans="4:5" x14ac:dyDescent="0.3">
      <c r="D122" s="126"/>
      <c r="E122" s="129"/>
    </row>
  </sheetData>
  <autoFilter ref="D4:H62" xr:uid="{95CE6D8D-2084-4E6A-B86B-1A322C3A74E6}"/>
  <mergeCells count="2">
    <mergeCell ref="H1:L1"/>
    <mergeCell ref="M1:Q1"/>
  </mergeCells>
  <hyperlinks>
    <hyperlink ref="J34" location="'Cover page'!A1" display="Back to Cover" xr:uid="{1C0786DF-40FC-40E6-B4C8-822A949C542C}"/>
  </hyperlinks>
  <pageMargins left="0.7" right="0.7" top="0.75" bottom="0.75" header="0.3" footer="0.3"/>
  <ignoredErrors>
    <ignoredError sqref="K7:K8" formulaRange="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D8AC8-BD53-4B81-B348-4D2557E300B6}">
  <sheetPr>
    <tabColor theme="9" tint="0.39997558519241921"/>
  </sheetPr>
  <dimension ref="A1:Q37"/>
  <sheetViews>
    <sheetView topLeftCell="A5" zoomScale="103" workbookViewId="0">
      <selection activeCell="A15" sqref="A15:XFD15"/>
    </sheetView>
  </sheetViews>
  <sheetFormatPr defaultColWidth="11.77734375" defaultRowHeight="14.4" x14ac:dyDescent="0.3"/>
  <cols>
    <col min="1" max="3" width="1.33203125" customWidth="1"/>
    <col min="4" max="4" width="40.77734375" customWidth="1"/>
    <col min="5" max="6" width="12.77734375" customWidth="1"/>
    <col min="7" max="7" width="9.44140625" customWidth="1"/>
    <col min="8" max="8" width="11.88671875" customWidth="1"/>
    <col min="9" max="9" width="12.33203125" bestFit="1" customWidth="1"/>
  </cols>
  <sheetData>
    <row r="1" spans="1:17" ht="32.4" x14ac:dyDescent="0.6">
      <c r="A1" s="1" t="s">
        <v>1</v>
      </c>
      <c r="B1" s="2"/>
      <c r="C1" s="2"/>
      <c r="D1" s="2"/>
      <c r="E1" s="3"/>
      <c r="F1" s="3"/>
      <c r="G1" s="3"/>
      <c r="H1" s="205"/>
      <c r="I1" s="205"/>
      <c r="J1" s="205"/>
      <c r="K1" s="205"/>
      <c r="L1" s="205"/>
      <c r="M1" s="205"/>
      <c r="N1" s="205"/>
      <c r="O1" s="205"/>
      <c r="P1" s="205"/>
      <c r="Q1" s="205"/>
    </row>
    <row r="2" spans="1:17" ht="15.6" x14ac:dyDescent="0.3">
      <c r="A2" s="4" t="s">
        <v>375</v>
      </c>
      <c r="B2" s="4"/>
      <c r="C2" s="4"/>
      <c r="D2" s="4"/>
      <c r="E2" s="5"/>
      <c r="F2" s="5"/>
      <c r="G2" s="5"/>
      <c r="H2" s="6"/>
      <c r="I2" s="6"/>
      <c r="J2" s="6"/>
      <c r="K2" s="6"/>
      <c r="L2" s="6"/>
      <c r="M2" s="7"/>
      <c r="N2" s="7"/>
      <c r="O2" s="7"/>
      <c r="P2" s="7"/>
      <c r="Q2" s="7"/>
    </row>
    <row r="4" spans="1:17" s="29" customFormat="1" ht="15.6" x14ac:dyDescent="0.3">
      <c r="A4" s="57" t="s">
        <v>376</v>
      </c>
      <c r="B4" s="4"/>
      <c r="C4" s="4"/>
      <c r="D4" s="4"/>
      <c r="E4" s="5"/>
      <c r="F4" s="5"/>
      <c r="G4" s="5"/>
      <c r="H4" s="6"/>
      <c r="I4" s="6"/>
      <c r="J4" s="6"/>
      <c r="K4" s="6"/>
      <c r="L4" s="6"/>
      <c r="M4" s="7"/>
      <c r="N4" s="7"/>
      <c r="O4" s="7"/>
      <c r="P4" s="7"/>
      <c r="Q4" s="7"/>
    </row>
    <row r="5" spans="1:17" x14ac:dyDescent="0.3">
      <c r="A5" s="9"/>
      <c r="B5" s="9"/>
      <c r="C5" s="9"/>
      <c r="D5" s="9"/>
      <c r="E5" s="9"/>
      <c r="F5" s="9"/>
      <c r="G5" s="9"/>
      <c r="H5" s="12"/>
      <c r="I5" s="12"/>
      <c r="J5" s="9"/>
      <c r="K5" s="12"/>
      <c r="L5" s="12"/>
    </row>
    <row r="6" spans="1:17" ht="31.8" customHeight="1" x14ac:dyDescent="0.3">
      <c r="A6" s="10"/>
      <c r="B6" s="10"/>
      <c r="C6" s="10"/>
      <c r="D6" s="10"/>
      <c r="E6" s="10"/>
      <c r="F6" s="30" t="s">
        <v>265</v>
      </c>
      <c r="G6" s="30" t="s">
        <v>377</v>
      </c>
      <c r="H6" s="108" t="s">
        <v>378</v>
      </c>
      <c r="I6" s="108" t="s">
        <v>379</v>
      </c>
      <c r="J6" s="13"/>
      <c r="K6" s="14"/>
      <c r="L6" s="14"/>
    </row>
    <row r="7" spans="1:17" x14ac:dyDescent="0.3">
      <c r="A7" s="9"/>
      <c r="B7" s="9"/>
      <c r="C7" s="10"/>
      <c r="D7" s="9" t="s">
        <v>380</v>
      </c>
      <c r="E7" s="9"/>
      <c r="F7" s="195">
        <f>'Comps Valuation'!L23</f>
        <v>51.375092101412569</v>
      </c>
      <c r="G7" s="131">
        <v>86.239066186675089</v>
      </c>
      <c r="H7" s="131">
        <v>50.81</v>
      </c>
      <c r="I7" s="131">
        <v>83</v>
      </c>
      <c r="J7" s="9"/>
      <c r="K7" s="12"/>
      <c r="L7" s="12"/>
    </row>
    <row r="8" spans="1:17" x14ac:dyDescent="0.3">
      <c r="A8" s="9"/>
      <c r="B8" s="9"/>
      <c r="C8" s="9"/>
      <c r="D8" s="9" t="s">
        <v>380</v>
      </c>
      <c r="E8" s="9"/>
      <c r="F8" s="109">
        <f>F7</f>
        <v>51.375092101412569</v>
      </c>
      <c r="G8" s="109">
        <f>G7</f>
        <v>86.239066186675089</v>
      </c>
      <c r="H8" s="109">
        <f>H7</f>
        <v>50.81</v>
      </c>
      <c r="I8" s="109">
        <f>I7</f>
        <v>83</v>
      </c>
      <c r="J8" s="11"/>
      <c r="K8" s="12"/>
      <c r="L8" s="12"/>
    </row>
    <row r="9" spans="1:17" x14ac:dyDescent="0.3">
      <c r="A9" s="9"/>
      <c r="B9" s="9"/>
      <c r="C9" s="9"/>
      <c r="D9" s="9" t="s">
        <v>381</v>
      </c>
      <c r="E9" s="9"/>
      <c r="F9" s="195">
        <f>MIN('Comps Valuation'!L23:L25)</f>
        <v>6.8379945526586177</v>
      </c>
      <c r="G9" s="131">
        <v>47.786620946263589</v>
      </c>
      <c r="H9" s="131">
        <v>35.97</v>
      </c>
      <c r="I9" s="131">
        <v>35</v>
      </c>
      <c r="J9" s="11"/>
      <c r="K9" s="12"/>
      <c r="L9" s="12"/>
    </row>
    <row r="10" spans="1:17" x14ac:dyDescent="0.3">
      <c r="A10" s="9"/>
      <c r="B10" s="9"/>
      <c r="C10" s="9"/>
      <c r="D10" s="10" t="s">
        <v>381</v>
      </c>
      <c r="E10" s="9"/>
      <c r="F10" s="109">
        <f>F9</f>
        <v>6.8379945526586177</v>
      </c>
      <c r="G10" s="109">
        <f>G9</f>
        <v>47.786620946263589</v>
      </c>
      <c r="H10" s="109">
        <f>H9</f>
        <v>35.97</v>
      </c>
      <c r="I10" s="109">
        <f>I9</f>
        <v>35</v>
      </c>
      <c r="J10" s="11"/>
      <c r="K10" s="12"/>
      <c r="L10" s="12"/>
    </row>
    <row r="11" spans="1:17" x14ac:dyDescent="0.3">
      <c r="A11" s="9"/>
      <c r="B11" s="9"/>
      <c r="C11" s="9"/>
      <c r="D11" s="9"/>
      <c r="E11" s="9"/>
      <c r="F11" s="11"/>
      <c r="G11" s="9"/>
      <c r="H11" s="12"/>
      <c r="I11" s="12"/>
      <c r="J11" s="11"/>
      <c r="K11" s="12"/>
      <c r="L11" s="12"/>
    </row>
    <row r="12" spans="1:17" x14ac:dyDescent="0.3">
      <c r="A12" s="9"/>
      <c r="B12" s="9"/>
      <c r="C12" s="9"/>
      <c r="D12" s="9"/>
      <c r="E12" s="9"/>
      <c r="F12" s="11"/>
      <c r="G12" s="9"/>
      <c r="H12" s="12"/>
      <c r="I12" s="12"/>
      <c r="J12" s="11"/>
      <c r="K12" s="12"/>
      <c r="L12" s="12"/>
    </row>
    <row r="15" spans="1:17" s="29" customFormat="1" ht="15.6" x14ac:dyDescent="0.3">
      <c r="A15" s="57" t="s">
        <v>382</v>
      </c>
      <c r="B15" s="4"/>
      <c r="C15" s="4"/>
      <c r="D15" s="4"/>
      <c r="E15" s="5"/>
      <c r="F15" s="5"/>
      <c r="G15" s="5"/>
      <c r="H15" s="6"/>
      <c r="I15" s="6"/>
      <c r="J15" s="6"/>
      <c r="K15" s="6"/>
      <c r="L15" s="6"/>
      <c r="M15" s="7"/>
      <c r="N15" s="7"/>
      <c r="O15" s="7"/>
      <c r="P15" s="7"/>
      <c r="Q15" s="7"/>
    </row>
    <row r="37" spans="4:4" x14ac:dyDescent="0.3">
      <c r="D37" s="179" t="s">
        <v>392</v>
      </c>
    </row>
  </sheetData>
  <mergeCells count="2">
    <mergeCell ref="H1:L1"/>
    <mergeCell ref="M1:Q1"/>
  </mergeCells>
  <hyperlinks>
    <hyperlink ref="D37" location="'Cover page'!A1" display="Back to Cover" xr:uid="{F4503663-5B2F-40AA-BD07-DEC1B288794D}"/>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Cover page</vt:lpstr>
      <vt:lpstr>Assumptions-&gt;</vt:lpstr>
      <vt:lpstr>Assumptions</vt:lpstr>
      <vt:lpstr>Rev Growth Scenarios</vt:lpstr>
      <vt:lpstr>Inputs-&gt;</vt:lpstr>
      <vt:lpstr>Historical Info</vt:lpstr>
      <vt:lpstr>Comps (Data)</vt:lpstr>
      <vt:lpstr>Assumptions (Data)</vt:lpstr>
      <vt:lpstr>Working Schedules</vt:lpstr>
      <vt:lpstr>Financial Statements</vt:lpstr>
      <vt:lpstr>DCF</vt:lpstr>
      <vt:lpstr>Comps Valuation</vt:lpstr>
      <vt:lpstr>Ratio Analysis &amp; Interpretation</vt:lpstr>
      <vt:lpstr>Market_Returns</vt:lpstr>
      <vt:lpstr>WACC</vt:lpstr>
      <vt:lpstr>Beta</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 Rathour</dc:creator>
  <cp:lastModifiedBy>Manish Rathour</cp:lastModifiedBy>
  <cp:lastPrinted>2026-04-06T08:42:43Z</cp:lastPrinted>
  <dcterms:created xsi:type="dcterms:W3CDTF">2026-02-10T06:41:35Z</dcterms:created>
  <dcterms:modified xsi:type="dcterms:W3CDTF">2026-05-05T13:26:14Z</dcterms:modified>
</cp:coreProperties>
</file>