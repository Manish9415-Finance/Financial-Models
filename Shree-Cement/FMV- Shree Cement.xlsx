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r Rathour\OneDrive\Desktop\Desku Files\Investment Banking\Jobaaj\Fastrack Assignment\Shree Cement\"/>
    </mc:Choice>
  </mc:AlternateContent>
  <xr:revisionPtr revIDLastSave="0" documentId="13_ncr:1_{CBF48F67-0A24-4A55-A0C8-DC48B4198E65}" xr6:coauthVersionLast="47" xr6:coauthVersionMax="47" xr10:uidLastSave="{00000000-0000-0000-0000-000000000000}"/>
  <bookViews>
    <workbookView xWindow="-108" yWindow="-108" windowWidth="23256" windowHeight="12456" tabRatio="854" xr2:uid="{B505567E-1DDA-4241-88D9-4F517BE06074}"/>
  </bookViews>
  <sheets>
    <sheet name="Cover" sheetId="14" r:id="rId1"/>
    <sheet name="Assumptions-&gt;" sheetId="15" r:id="rId2"/>
    <sheet name="Assumptions" sheetId="1" r:id="rId3"/>
    <sheet name="Revenue Scenarios" sheetId="6" r:id="rId4"/>
    <sheet name="Input-&gt;" sheetId="16" r:id="rId5"/>
    <sheet name="Historical" sheetId="2" r:id="rId6"/>
    <sheet name="Comps Data" sheetId="7" r:id="rId7"/>
    <sheet name="Market Returns" sheetId="9" r:id="rId8"/>
    <sheet name="WACC" sheetId="10" r:id="rId9"/>
    <sheet name="Beta" sheetId="11" r:id="rId10"/>
    <sheet name="Schedules" sheetId="4" r:id="rId11"/>
    <sheet name="Financial Statements" sheetId="3" r:id="rId12"/>
    <sheet name="DCF" sheetId="12" r:id="rId13"/>
    <sheet name="Comps Valuation" sheetId="8" r:id="rId14"/>
    <sheet name="Ratio Analysis" sheetId="5" r:id="rId15"/>
    <sheet name="Summary" sheetId="13"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 i="4" l="1"/>
  <c r="M14" i="4"/>
  <c r="M13" i="4"/>
  <c r="L20" i="8"/>
  <c r="I13" i="11" l="1"/>
  <c r="D6" i="11" l="1"/>
  <c r="M19" i="3"/>
  <c r="M18" i="3"/>
  <c r="I7" i="9"/>
  <c r="I9" i="9" s="1"/>
  <c r="E7" i="6"/>
  <c r="E6" i="6"/>
  <c r="H5" i="6"/>
  <c r="I5" i="6"/>
  <c r="M13" i="3"/>
  <c r="N28" i="12"/>
  <c r="J28" i="12"/>
  <c r="K28" i="12"/>
  <c r="L28" i="12"/>
  <c r="I28" i="12"/>
  <c r="I3" i="3"/>
  <c r="J3" i="3"/>
  <c r="K3" i="3"/>
  <c r="L3" i="3"/>
  <c r="H3" i="3"/>
  <c r="I108" i="3"/>
  <c r="J108" i="3"/>
  <c r="K108" i="3"/>
  <c r="L108" i="3"/>
  <c r="H108" i="3"/>
  <c r="I77" i="3"/>
  <c r="J77" i="3"/>
  <c r="K77" i="3"/>
  <c r="L77" i="3"/>
  <c r="H77" i="3"/>
  <c r="I46" i="3"/>
  <c r="I45" i="3"/>
  <c r="J46" i="3"/>
  <c r="J45" i="3"/>
  <c r="L46" i="3"/>
  <c r="L45" i="3"/>
  <c r="K46" i="3"/>
  <c r="K45" i="3"/>
  <c r="H46" i="3"/>
  <c r="H45" i="3"/>
  <c r="I99" i="3"/>
  <c r="J99" i="3"/>
  <c r="K99" i="3"/>
  <c r="L99" i="3"/>
  <c r="H99" i="3"/>
  <c r="N98" i="3"/>
  <c r="O98" i="3"/>
  <c r="P98" i="3" s="1"/>
  <c r="Q98" i="3" s="1"/>
  <c r="R98" i="3" s="1"/>
  <c r="S98" i="3" s="1"/>
  <c r="T98" i="3" s="1"/>
  <c r="U98" i="3" s="1"/>
  <c r="V98" i="3" s="1"/>
  <c r="M73" i="3"/>
  <c r="T54" i="3"/>
  <c r="M54" i="3"/>
  <c r="U16" i="3"/>
  <c r="S16" i="3"/>
  <c r="Q16" i="3"/>
  <c r="O16" i="3"/>
  <c r="P16" i="3" s="1"/>
  <c r="N16" i="3"/>
  <c r="M16" i="3"/>
  <c r="R16" i="3" l="1"/>
  <c r="T16" i="3" s="1"/>
  <c r="V16" i="3" s="1"/>
  <c r="I26" i="3" l="1"/>
  <c r="J26" i="3"/>
  <c r="K26" i="3"/>
  <c r="L26" i="3"/>
  <c r="H26" i="3"/>
  <c r="O11" i="3"/>
  <c r="P11" i="3"/>
  <c r="Q11" i="3" s="1"/>
  <c r="R11" i="3" s="1"/>
  <c r="S11" i="3" s="1"/>
  <c r="T11" i="3" s="1"/>
  <c r="U11" i="3" s="1"/>
  <c r="V11" i="3" s="1"/>
  <c r="N11" i="3"/>
  <c r="M11" i="3"/>
  <c r="I11" i="3"/>
  <c r="J11" i="3"/>
  <c r="K11" i="3"/>
  <c r="L11" i="3"/>
  <c r="H11" i="3"/>
  <c r="I30" i="3"/>
  <c r="J30" i="3"/>
  <c r="K30" i="3"/>
  <c r="L30" i="3"/>
  <c r="H30" i="3"/>
  <c r="I148" i="2"/>
  <c r="J148" i="2"/>
  <c r="K148" i="2"/>
  <c r="L148" i="2"/>
  <c r="H148" i="2"/>
  <c r="I137" i="2"/>
  <c r="J137" i="2"/>
  <c r="K137" i="2"/>
  <c r="L137" i="2"/>
  <c r="H137" i="2"/>
  <c r="I116" i="2"/>
  <c r="I118" i="2" s="1"/>
  <c r="I111" i="2"/>
  <c r="J111" i="2"/>
  <c r="J116" i="2" s="1"/>
  <c r="J118" i="2" s="1"/>
  <c r="K111" i="2"/>
  <c r="K116" i="2" s="1"/>
  <c r="K118" i="2" s="1"/>
  <c r="L111" i="2"/>
  <c r="L116" i="2" s="1"/>
  <c r="L118" i="2" s="1"/>
  <c r="H111" i="2"/>
  <c r="H116" i="2" s="1"/>
  <c r="H118" i="2" s="1"/>
  <c r="I89" i="2"/>
  <c r="J89" i="2"/>
  <c r="K89" i="2"/>
  <c r="L89" i="2"/>
  <c r="H89" i="2"/>
  <c r="H90" i="2" s="1"/>
  <c r="I77" i="2"/>
  <c r="I90" i="2" s="1"/>
  <c r="J77" i="2"/>
  <c r="J90" i="2" s="1"/>
  <c r="K77" i="2"/>
  <c r="L77" i="2"/>
  <c r="L90" i="2" s="1"/>
  <c r="H77" i="2"/>
  <c r="I65" i="2"/>
  <c r="I67" i="2" s="1"/>
  <c r="I91" i="2" s="1"/>
  <c r="J65" i="2"/>
  <c r="J67" i="2" s="1"/>
  <c r="J91" i="2" s="1"/>
  <c r="K65" i="2"/>
  <c r="K67" i="2" s="1"/>
  <c r="L65" i="2"/>
  <c r="L67" i="2" s="1"/>
  <c r="H65" i="2"/>
  <c r="H67" i="2" s="1"/>
  <c r="I59" i="2"/>
  <c r="J59" i="2"/>
  <c r="K59" i="2"/>
  <c r="L59" i="2"/>
  <c r="H59" i="2"/>
  <c r="I48" i="2"/>
  <c r="J48" i="2"/>
  <c r="K48" i="2"/>
  <c r="L48" i="2"/>
  <c r="L60" i="2" s="1"/>
  <c r="H48" i="2"/>
  <c r="H60" i="2" s="1"/>
  <c r="I24" i="2"/>
  <c r="J24" i="2"/>
  <c r="K24" i="2"/>
  <c r="L24" i="2"/>
  <c r="H24" i="2"/>
  <c r="L11" i="2"/>
  <c r="H11" i="2"/>
  <c r="I9" i="2"/>
  <c r="I11" i="2" s="1"/>
  <c r="J9" i="2"/>
  <c r="J11" i="2" s="1"/>
  <c r="K9" i="2"/>
  <c r="K11" i="2" s="1"/>
  <c r="L9" i="2"/>
  <c r="H9" i="2"/>
  <c r="N97" i="3"/>
  <c r="O97" i="3"/>
  <c r="P97" i="3"/>
  <c r="Q97" i="3"/>
  <c r="R97" i="3"/>
  <c r="S97" i="3"/>
  <c r="T97" i="3"/>
  <c r="U97" i="3"/>
  <c r="V97" i="3"/>
  <c r="M97" i="3"/>
  <c r="L25" i="2" l="1"/>
  <c r="L31" i="2" s="1"/>
  <c r="K25" i="2"/>
  <c r="K31" i="2" s="1"/>
  <c r="J25" i="2"/>
  <c r="J31" i="2" s="1"/>
  <c r="H25" i="2"/>
  <c r="H31" i="2" s="1"/>
  <c r="I25" i="2"/>
  <c r="I31" i="2" s="1"/>
  <c r="H150" i="2"/>
  <c r="H153" i="2" s="1"/>
  <c r="L150" i="2"/>
  <c r="L153" i="2" s="1"/>
  <c r="I150" i="2"/>
  <c r="I153" i="2" s="1"/>
  <c r="K60" i="2"/>
  <c r="J150" i="2"/>
  <c r="J153" i="2" s="1"/>
  <c r="L91" i="2"/>
  <c r="J60" i="2"/>
  <c r="I60" i="2"/>
  <c r="K90" i="2"/>
  <c r="K91" i="2" s="1"/>
  <c r="H91" i="2"/>
  <c r="K150" i="2"/>
  <c r="K153" i="2" s="1"/>
  <c r="G28" i="1"/>
  <c r="G27" i="1"/>
  <c r="E11" i="1" l="1"/>
  <c r="G22" i="1" s="1"/>
  <c r="E4" i="1"/>
  <c r="A1" i="2"/>
  <c r="A1" i="1" s="1"/>
  <c r="H10" i="13"/>
  <c r="H8" i="13"/>
  <c r="F8" i="13"/>
  <c r="F10" i="13"/>
  <c r="A1" i="8" l="1"/>
  <c r="A1" i="9"/>
  <c r="A1" i="10"/>
  <c r="A1" i="3"/>
  <c r="A1" i="4" s="1"/>
  <c r="A1" i="5" s="1"/>
  <c r="A1" i="11"/>
  <c r="A1" i="12"/>
  <c r="A1" i="13"/>
  <c r="A1" i="6"/>
  <c r="A1" i="7"/>
  <c r="P21" i="12"/>
  <c r="Q21" i="12" s="1"/>
  <c r="R21" i="12" s="1"/>
  <c r="M20" i="12"/>
  <c r="E8" i="12"/>
  <c r="N20" i="12" s="1"/>
  <c r="O20" i="12" l="1"/>
  <c r="O22" i="12" s="1"/>
  <c r="P20" i="12"/>
  <c r="S21" i="12"/>
  <c r="R20" i="12"/>
  <c r="Q20" i="12"/>
  <c r="R22" i="12" l="1"/>
  <c r="Q22" i="12"/>
  <c r="P22" i="12"/>
  <c r="T21" i="12"/>
  <c r="S20" i="12"/>
  <c r="S22" i="12" l="1"/>
  <c r="T20" i="12"/>
  <c r="U21" i="12"/>
  <c r="T22" i="12" l="1"/>
  <c r="V21" i="12"/>
  <c r="U20" i="12"/>
  <c r="U22" i="12" l="1"/>
  <c r="W21" i="12"/>
  <c r="W20" i="12" s="1"/>
  <c r="X20" i="12" s="1"/>
  <c r="V20" i="12"/>
  <c r="W22" i="12" s="1"/>
  <c r="X22" i="12" l="1"/>
  <c r="V22" i="12"/>
  <c r="H2" i="12" l="1"/>
  <c r="H19" i="12" s="1"/>
  <c r="I70" i="3"/>
  <c r="I8" i="11" l="1"/>
  <c r="G7" i="13" s="1"/>
  <c r="G8" i="13" s="1"/>
  <c r="I7" i="11"/>
  <c r="G9" i="13" s="1"/>
  <c r="G10" i="13" s="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E35" i="10"/>
  <c r="L13" i="10"/>
  <c r="L14" i="10"/>
  <c r="H6" i="10"/>
  <c r="E36" i="10"/>
  <c r="Q17" i="8"/>
  <c r="H6" i="7"/>
  <c r="J7" i="8" s="1"/>
  <c r="G6" i="10" s="1"/>
  <c r="H7" i="7"/>
  <c r="J8" i="8" s="1"/>
  <c r="G7" i="10" s="1"/>
  <c r="H8" i="7"/>
  <c r="J9" i="8" s="1"/>
  <c r="G8" i="10" s="1"/>
  <c r="H9" i="7"/>
  <c r="J10" i="8" s="1"/>
  <c r="G9" i="10" s="1"/>
  <c r="H10" i="7"/>
  <c r="J11" i="8" s="1"/>
  <c r="G10" i="10" s="1"/>
  <c r="H11" i="7"/>
  <c r="J12" i="8" s="1"/>
  <c r="G11" i="10" s="1"/>
  <c r="H5" i="7"/>
  <c r="J17" i="8" s="1"/>
  <c r="G23" i="1" s="1"/>
  <c r="D7" i="8"/>
  <c r="D6" i="10" s="1"/>
  <c r="F7" i="8"/>
  <c r="H7" i="8"/>
  <c r="I7" i="8"/>
  <c r="K7" i="8"/>
  <c r="L7" i="8"/>
  <c r="N7" i="8"/>
  <c r="O7" i="8"/>
  <c r="P7" i="8"/>
  <c r="Q7" i="8"/>
  <c r="K6" i="10" s="1"/>
  <c r="D8" i="8"/>
  <c r="D7" i="10" s="1"/>
  <c r="F8" i="8"/>
  <c r="H8" i="8"/>
  <c r="I8" i="8"/>
  <c r="K8" i="8"/>
  <c r="H7" i="10" s="1"/>
  <c r="L8" i="8"/>
  <c r="N8" i="8"/>
  <c r="O8" i="8"/>
  <c r="P8" i="8"/>
  <c r="Q8" i="8"/>
  <c r="K7" i="10" s="1"/>
  <c r="D9" i="8"/>
  <c r="D8" i="10" s="1"/>
  <c r="F9" i="8"/>
  <c r="H9" i="8"/>
  <c r="I9" i="8"/>
  <c r="K9" i="8"/>
  <c r="H8" i="10" s="1"/>
  <c r="L9" i="8"/>
  <c r="N9" i="8"/>
  <c r="O9" i="8"/>
  <c r="P9" i="8"/>
  <c r="Q9" i="8"/>
  <c r="K8" i="10" s="1"/>
  <c r="D10" i="8"/>
  <c r="D9" i="10" s="1"/>
  <c r="F10" i="8"/>
  <c r="H10" i="8"/>
  <c r="I10" i="8"/>
  <c r="K10" i="8"/>
  <c r="H9" i="10" s="1"/>
  <c r="L10" i="8"/>
  <c r="N10" i="8"/>
  <c r="O10" i="8"/>
  <c r="P10" i="8"/>
  <c r="Q10" i="8"/>
  <c r="K9" i="10" s="1"/>
  <c r="D11" i="8"/>
  <c r="D10" i="10" s="1"/>
  <c r="F11" i="8"/>
  <c r="H11" i="8"/>
  <c r="I11" i="8"/>
  <c r="K11" i="8"/>
  <c r="H10" i="10" s="1"/>
  <c r="L11" i="8"/>
  <c r="N11" i="8"/>
  <c r="O11" i="8"/>
  <c r="P11" i="8"/>
  <c r="Q11" i="8"/>
  <c r="K10" i="10" s="1"/>
  <c r="D12" i="8"/>
  <c r="D11" i="10" s="1"/>
  <c r="F12" i="8"/>
  <c r="H12" i="8"/>
  <c r="I12" i="8"/>
  <c r="K12" i="8"/>
  <c r="H11" i="10" s="1"/>
  <c r="L12" i="8"/>
  <c r="N12" i="8"/>
  <c r="O12" i="8"/>
  <c r="P12" i="8"/>
  <c r="Q12" i="8"/>
  <c r="K11" i="10" s="1"/>
  <c r="I17" i="8"/>
  <c r="P17" i="8"/>
  <c r="O17" i="8"/>
  <c r="N17" i="8"/>
  <c r="L17" i="8"/>
  <c r="K17" i="8"/>
  <c r="I20" i="8" s="1"/>
  <c r="I21" i="8" s="1"/>
  <c r="I22" i="8" s="1"/>
  <c r="H17" i="8"/>
  <c r="E14" i="12" s="1"/>
  <c r="F17" i="8"/>
  <c r="D16" i="10" s="1"/>
  <c r="D17" i="8"/>
  <c r="I10" i="10" l="1"/>
  <c r="M10" i="10" s="1"/>
  <c r="K13" i="10"/>
  <c r="G16" i="10"/>
  <c r="E25" i="10" s="1"/>
  <c r="I10" i="11"/>
  <c r="K20" i="8"/>
  <c r="K21" i="8" s="1"/>
  <c r="K22" i="8" s="1"/>
  <c r="E13" i="12"/>
  <c r="K36" i="12" s="1"/>
  <c r="K42" i="12" s="1"/>
  <c r="O36" i="12" s="1"/>
  <c r="H16" i="10"/>
  <c r="E26" i="10" s="1"/>
  <c r="G29" i="1"/>
  <c r="E9" i="12"/>
  <c r="E31" i="10"/>
  <c r="J6" i="10"/>
  <c r="I8" i="10"/>
  <c r="M8" i="10" s="1"/>
  <c r="I11" i="10"/>
  <c r="M11" i="10" s="1"/>
  <c r="I7" i="10"/>
  <c r="M7" i="10" s="1"/>
  <c r="I9" i="10"/>
  <c r="M9" i="10" s="1"/>
  <c r="E37" i="10"/>
  <c r="J10" i="10"/>
  <c r="J8" i="10"/>
  <c r="J9" i="10"/>
  <c r="J11" i="10"/>
  <c r="I6" i="10"/>
  <c r="J7" i="10"/>
  <c r="K14" i="10"/>
  <c r="T10" i="8"/>
  <c r="M17" i="8"/>
  <c r="R17" i="8" s="1"/>
  <c r="T8" i="8"/>
  <c r="T11" i="8"/>
  <c r="T7" i="8"/>
  <c r="T17" i="8"/>
  <c r="M12" i="8"/>
  <c r="T9" i="8"/>
  <c r="T12" i="8"/>
  <c r="M8" i="8"/>
  <c r="M11" i="8"/>
  <c r="E27" i="10" l="1"/>
  <c r="S17" i="8"/>
  <c r="E10" i="12" s="1"/>
  <c r="J14" i="10"/>
  <c r="E21" i="10" s="1"/>
  <c r="J13" i="10"/>
  <c r="M6" i="10"/>
  <c r="I13" i="10"/>
  <c r="I14" i="10"/>
  <c r="T14" i="8"/>
  <c r="F22" i="8" s="1"/>
  <c r="J22" i="8" s="1"/>
  <c r="H22" i="8" s="1"/>
  <c r="T15" i="8"/>
  <c r="M10" i="8"/>
  <c r="S10" i="8" s="1"/>
  <c r="M7" i="8"/>
  <c r="R7" i="8" s="1"/>
  <c r="M9" i="8"/>
  <c r="S9" i="8" s="1"/>
  <c r="R11" i="8"/>
  <c r="S11" i="8"/>
  <c r="S7" i="8"/>
  <c r="R8" i="8"/>
  <c r="S8" i="8"/>
  <c r="R12" i="8"/>
  <c r="S12" i="8"/>
  <c r="E22" i="10" l="1"/>
  <c r="M14" i="10"/>
  <c r="E38" i="10" s="1"/>
  <c r="E39" i="10" s="1"/>
  <c r="M13" i="10"/>
  <c r="R9" i="8"/>
  <c r="S15" i="8"/>
  <c r="S14" i="8"/>
  <c r="L22" i="8"/>
  <c r="R10" i="8"/>
  <c r="R14" i="8" l="1"/>
  <c r="F21" i="8"/>
  <c r="H21" i="8" s="1"/>
  <c r="J21" i="8" s="1"/>
  <c r="L21" i="8" s="1"/>
  <c r="F20" i="8"/>
  <c r="H20" i="8" s="1"/>
  <c r="J20" i="8" s="1"/>
  <c r="R15" i="8"/>
  <c r="E9" i="13" l="1"/>
  <c r="E10" i="13" s="1"/>
  <c r="E7" i="13"/>
  <c r="E8" i="13" s="1"/>
  <c r="N92" i="3"/>
  <c r="O92" i="3" s="1"/>
  <c r="P92" i="3" s="1"/>
  <c r="Q92" i="3" s="1"/>
  <c r="R92" i="3" s="1"/>
  <c r="S92" i="3" s="1"/>
  <c r="T92" i="3" s="1"/>
  <c r="U92" i="3" s="1"/>
  <c r="V92" i="3" s="1"/>
  <c r="N91" i="3"/>
  <c r="O91" i="3" s="1"/>
  <c r="P91" i="3" s="1"/>
  <c r="Q91" i="3" s="1"/>
  <c r="R91" i="3" s="1"/>
  <c r="S91" i="3" s="1"/>
  <c r="T91" i="3" s="1"/>
  <c r="U91" i="3" s="1"/>
  <c r="V91" i="3" s="1"/>
  <c r="N90" i="3"/>
  <c r="O90" i="3" s="1"/>
  <c r="P90" i="3" s="1"/>
  <c r="Q90" i="3" s="1"/>
  <c r="R90" i="3" s="1"/>
  <c r="S90" i="3" s="1"/>
  <c r="T90" i="3" s="1"/>
  <c r="U90" i="3" s="1"/>
  <c r="V90" i="3" s="1"/>
  <c r="N8" i="4"/>
  <c r="O8" i="4"/>
  <c r="P8" i="4" s="1"/>
  <c r="M8" i="4"/>
  <c r="G5" i="3"/>
  <c r="A42" i="3"/>
  <c r="Q8" i="4" l="1"/>
  <c r="R8" i="4" l="1"/>
  <c r="S8" i="4" l="1"/>
  <c r="T8" i="4" l="1"/>
  <c r="U8" i="4" l="1"/>
  <c r="V8" i="4" l="1"/>
  <c r="V15" i="6" l="1"/>
  <c r="W15" i="6"/>
  <c r="X15" i="6"/>
  <c r="Y15" i="6"/>
  <c r="W12" i="6"/>
  <c r="X12" i="6"/>
  <c r="Y12" i="6"/>
  <c r="Z12" i="6"/>
  <c r="W8" i="6"/>
  <c r="X8" i="6"/>
  <c r="Y8" i="6"/>
  <c r="Z8" i="6"/>
  <c r="U15" i="6"/>
  <c r="V12" i="6"/>
  <c r="V8" i="6"/>
  <c r="F96" i="2"/>
  <c r="F37" i="2"/>
  <c r="F82" i="3"/>
  <c r="F45" i="3"/>
  <c r="F25" i="3"/>
  <c r="E24" i="12" s="1"/>
  <c r="H2" i="5"/>
  <c r="J90" i="3"/>
  <c r="I90" i="3"/>
  <c r="I5" i="4"/>
  <c r="J5" i="4"/>
  <c r="K5" i="4"/>
  <c r="L5" i="4"/>
  <c r="I6" i="4"/>
  <c r="J6" i="4"/>
  <c r="K6" i="4"/>
  <c r="L6" i="4"/>
  <c r="I7" i="4"/>
  <c r="J7" i="4"/>
  <c r="K7" i="4"/>
  <c r="L7" i="4"/>
  <c r="H7" i="4"/>
  <c r="H6" i="4"/>
  <c r="H5" i="4"/>
  <c r="L9" i="4" l="1"/>
  <c r="L29" i="12" s="1"/>
  <c r="J9" i="4"/>
  <c r="J29" i="12" s="1"/>
  <c r="K9" i="4"/>
  <c r="K29" i="12" s="1"/>
  <c r="I9" i="4"/>
  <c r="I29" i="12" s="1"/>
  <c r="H9" i="4"/>
  <c r="H2" i="4" l="1"/>
  <c r="I104" i="3"/>
  <c r="J104" i="3"/>
  <c r="K104" i="3"/>
  <c r="L104" i="3"/>
  <c r="I105" i="3"/>
  <c r="J105" i="3"/>
  <c r="K105" i="3"/>
  <c r="L105" i="3"/>
  <c r="H105" i="3"/>
  <c r="H104" i="3"/>
  <c r="I97" i="3"/>
  <c r="J97" i="3"/>
  <c r="K97" i="3"/>
  <c r="L97" i="3"/>
  <c r="I98" i="3"/>
  <c r="J98" i="3"/>
  <c r="K98" i="3"/>
  <c r="L98" i="3"/>
  <c r="I100" i="3"/>
  <c r="J100" i="3"/>
  <c r="K100" i="3"/>
  <c r="L100" i="3"/>
  <c r="H100" i="3"/>
  <c r="H98" i="3"/>
  <c r="H97" i="3"/>
  <c r="I89" i="3"/>
  <c r="J89" i="3"/>
  <c r="K89" i="3"/>
  <c r="L89" i="3"/>
  <c r="K90" i="3"/>
  <c r="L90" i="3"/>
  <c r="I91" i="3"/>
  <c r="J91" i="3"/>
  <c r="K91" i="3"/>
  <c r="L91" i="3"/>
  <c r="I92" i="3"/>
  <c r="J92" i="3"/>
  <c r="K92" i="3"/>
  <c r="L92" i="3"/>
  <c r="I93" i="3"/>
  <c r="J93" i="3"/>
  <c r="K93" i="3"/>
  <c r="L93" i="3"/>
  <c r="H92" i="3"/>
  <c r="H93" i="3"/>
  <c r="H91" i="3"/>
  <c r="H90" i="3"/>
  <c r="H89" i="3"/>
  <c r="L94" i="3" l="1"/>
  <c r="J101" i="3"/>
  <c r="I101" i="3"/>
  <c r="L101" i="3"/>
  <c r="H94" i="3"/>
  <c r="H101" i="3"/>
  <c r="I94" i="3"/>
  <c r="K94" i="3"/>
  <c r="J94" i="3"/>
  <c r="K101" i="3"/>
  <c r="I82" i="3" l="1"/>
  <c r="J82" i="3"/>
  <c r="K82" i="3"/>
  <c r="L82" i="3"/>
  <c r="I83" i="3"/>
  <c r="J83" i="3"/>
  <c r="K83" i="3"/>
  <c r="L83" i="3"/>
  <c r="I84" i="3"/>
  <c r="J84" i="3"/>
  <c r="K84" i="3"/>
  <c r="L84" i="3"/>
  <c r="I85" i="3"/>
  <c r="J85" i="3"/>
  <c r="K85" i="3"/>
  <c r="L85" i="3"/>
  <c r="H84" i="3"/>
  <c r="H85" i="3"/>
  <c r="H83" i="3"/>
  <c r="H82" i="3"/>
  <c r="A80" i="3"/>
  <c r="I73" i="3"/>
  <c r="J73" i="3"/>
  <c r="K73" i="3"/>
  <c r="L73" i="3"/>
  <c r="F39" i="12" s="1"/>
  <c r="K39" i="12" s="1"/>
  <c r="H73" i="3"/>
  <c r="J70" i="3"/>
  <c r="K70" i="3"/>
  <c r="L70" i="3"/>
  <c r="M70" i="3" s="1"/>
  <c r="N70" i="3" s="1"/>
  <c r="O70" i="3" s="1"/>
  <c r="P70" i="3" s="1"/>
  <c r="Q70" i="3" s="1"/>
  <c r="R70" i="3" s="1"/>
  <c r="S70" i="3" s="1"/>
  <c r="T70" i="3" s="1"/>
  <c r="U70" i="3" s="1"/>
  <c r="V70" i="3" s="1"/>
  <c r="I71" i="3"/>
  <c r="I72" i="3" s="1"/>
  <c r="J71" i="3"/>
  <c r="K71" i="3"/>
  <c r="L71" i="3"/>
  <c r="H71" i="3"/>
  <c r="H70" i="3"/>
  <c r="I62" i="3"/>
  <c r="J62" i="3"/>
  <c r="K62" i="3"/>
  <c r="L62" i="3"/>
  <c r="M62" i="3" s="1"/>
  <c r="N62" i="3" s="1"/>
  <c r="O62" i="3" s="1"/>
  <c r="P62" i="3" s="1"/>
  <c r="Q62" i="3" s="1"/>
  <c r="R62" i="3" s="1"/>
  <c r="S62" i="3" s="1"/>
  <c r="T62" i="3" s="1"/>
  <c r="U62" i="3" s="1"/>
  <c r="V62" i="3" s="1"/>
  <c r="H62" i="3"/>
  <c r="I65" i="3"/>
  <c r="J65" i="3"/>
  <c r="K65" i="3"/>
  <c r="L65" i="3"/>
  <c r="I66" i="3"/>
  <c r="J66" i="3"/>
  <c r="K66" i="3"/>
  <c r="L66" i="3"/>
  <c r="M66" i="3" s="1"/>
  <c r="N66" i="3" s="1"/>
  <c r="O66" i="3" s="1"/>
  <c r="P66" i="3" s="1"/>
  <c r="Q66" i="3" s="1"/>
  <c r="R66" i="3" s="1"/>
  <c r="S66" i="3" s="1"/>
  <c r="T66" i="3" s="1"/>
  <c r="U66" i="3" s="1"/>
  <c r="V66" i="3" s="1"/>
  <c r="H66" i="3"/>
  <c r="H65" i="3"/>
  <c r="I61" i="3"/>
  <c r="I20" i="3" s="1"/>
  <c r="J61" i="3"/>
  <c r="J20" i="3" s="1"/>
  <c r="K61" i="3"/>
  <c r="K20" i="3" s="1"/>
  <c r="L61" i="3"/>
  <c r="L20" i="3" s="1"/>
  <c r="H61" i="3"/>
  <c r="H20" i="3" s="1"/>
  <c r="I53" i="3"/>
  <c r="I15" i="4" s="1"/>
  <c r="J53" i="3"/>
  <c r="J15" i="4" s="1"/>
  <c r="K53" i="3"/>
  <c r="K15" i="4" s="1"/>
  <c r="L53" i="3"/>
  <c r="L15" i="4" s="1"/>
  <c r="M12" i="4" s="1"/>
  <c r="I54" i="3"/>
  <c r="J54" i="3"/>
  <c r="K54" i="3"/>
  <c r="L54" i="3"/>
  <c r="I55" i="3"/>
  <c r="J55" i="3"/>
  <c r="K55" i="3"/>
  <c r="L55" i="3"/>
  <c r="M55" i="3" s="1"/>
  <c r="N55" i="3" s="1"/>
  <c r="O55" i="3" s="1"/>
  <c r="P55" i="3" s="1"/>
  <c r="Q55" i="3" s="1"/>
  <c r="R55" i="3" s="1"/>
  <c r="S55" i="3" s="1"/>
  <c r="T55" i="3" s="1"/>
  <c r="U55" i="3" s="1"/>
  <c r="V55" i="3" s="1"/>
  <c r="I56" i="3"/>
  <c r="J56" i="3"/>
  <c r="K56" i="3"/>
  <c r="L56" i="3"/>
  <c r="M56" i="3" s="1"/>
  <c r="N56" i="3" s="1"/>
  <c r="O56" i="3" s="1"/>
  <c r="P56" i="3" s="1"/>
  <c r="Q56" i="3" s="1"/>
  <c r="R56" i="3" s="1"/>
  <c r="S56" i="3" s="1"/>
  <c r="T56" i="3" s="1"/>
  <c r="U56" i="3" s="1"/>
  <c r="V56" i="3" s="1"/>
  <c r="H56" i="3"/>
  <c r="H55" i="3"/>
  <c r="H54" i="3"/>
  <c r="H53" i="3"/>
  <c r="H15" i="4" s="1"/>
  <c r="I12" i="4" s="1"/>
  <c r="M20" i="3" l="1"/>
  <c r="N20" i="3" s="1"/>
  <c r="O20" i="3" s="1"/>
  <c r="P20" i="3" s="1"/>
  <c r="Q20" i="3" s="1"/>
  <c r="R20" i="3" s="1"/>
  <c r="S20" i="3" s="1"/>
  <c r="T20" i="3" s="1"/>
  <c r="U20" i="3" s="1"/>
  <c r="V20" i="3" s="1"/>
  <c r="K72" i="3"/>
  <c r="K18" i="5" s="1"/>
  <c r="H72" i="3"/>
  <c r="H74" i="3" s="1"/>
  <c r="L12" i="4"/>
  <c r="N73" i="3"/>
  <c r="O73" i="3" s="1"/>
  <c r="P73" i="3" s="1"/>
  <c r="Q73" i="3" s="1"/>
  <c r="R73" i="3" s="1"/>
  <c r="S73" i="3" s="1"/>
  <c r="T73" i="3" s="1"/>
  <c r="U73" i="3" s="1"/>
  <c r="V73" i="3" s="1"/>
  <c r="J72" i="3"/>
  <c r="J74" i="3" s="1"/>
  <c r="N54" i="3"/>
  <c r="O54" i="3" s="1"/>
  <c r="P54" i="3" s="1"/>
  <c r="Q54" i="3" s="1"/>
  <c r="R54" i="3" s="1"/>
  <c r="S54" i="3" s="1"/>
  <c r="U54" i="3" s="1"/>
  <c r="V54" i="3" s="1"/>
  <c r="I74" i="3"/>
  <c r="L72" i="3"/>
  <c r="L74" i="3" s="1"/>
  <c r="K20" i="5"/>
  <c r="H20" i="5"/>
  <c r="H18" i="5"/>
  <c r="I20" i="5"/>
  <c r="I18" i="5"/>
  <c r="K20" i="4"/>
  <c r="L18" i="4" s="1"/>
  <c r="I20" i="4"/>
  <c r="L20" i="4"/>
  <c r="H20" i="4"/>
  <c r="I18" i="4" s="1"/>
  <c r="J20" i="4"/>
  <c r="K18" i="4" s="1"/>
  <c r="H67" i="3"/>
  <c r="J12" i="4"/>
  <c r="K12" i="4"/>
  <c r="K63" i="3"/>
  <c r="H86" i="3"/>
  <c r="H103" i="3" s="1"/>
  <c r="H106" i="3" s="1"/>
  <c r="L86" i="3"/>
  <c r="L103" i="3" s="1"/>
  <c r="L106" i="3" s="1"/>
  <c r="K86" i="3"/>
  <c r="K103" i="3" s="1"/>
  <c r="K106" i="3" s="1"/>
  <c r="J86" i="3"/>
  <c r="J103" i="3" s="1"/>
  <c r="J106" i="3" s="1"/>
  <c r="I86" i="3"/>
  <c r="I103" i="3" s="1"/>
  <c r="I106" i="3" s="1"/>
  <c r="K67" i="3"/>
  <c r="K57" i="3"/>
  <c r="H57" i="3"/>
  <c r="L67" i="3"/>
  <c r="J57" i="3"/>
  <c r="I57" i="3"/>
  <c r="H63" i="3"/>
  <c r="L57" i="3"/>
  <c r="L63" i="3"/>
  <c r="J67" i="3"/>
  <c r="I67" i="3"/>
  <c r="J63" i="3"/>
  <c r="I63" i="3"/>
  <c r="K74" i="3" l="1"/>
  <c r="L18" i="5"/>
  <c r="J20" i="5"/>
  <c r="J18" i="5"/>
  <c r="F38" i="12"/>
  <c r="K37" i="12" s="1"/>
  <c r="M18" i="4"/>
  <c r="M20" i="4" s="1"/>
  <c r="L20" i="5"/>
  <c r="M104" i="3"/>
  <c r="K19" i="4"/>
  <c r="I19" i="4"/>
  <c r="L19" i="4"/>
  <c r="H68" i="3"/>
  <c r="H75" i="3" s="1"/>
  <c r="J18" i="4"/>
  <c r="J19" i="4" s="1"/>
  <c r="I68" i="3"/>
  <c r="I75" i="3" s="1"/>
  <c r="J68" i="3"/>
  <c r="J75" i="3" s="1"/>
  <c r="K68" i="3"/>
  <c r="K75" i="3" s="1"/>
  <c r="L68" i="3"/>
  <c r="L75" i="3" s="1"/>
  <c r="M46" i="3"/>
  <c r="N46" i="3" s="1"/>
  <c r="O46" i="3" s="1"/>
  <c r="P46" i="3" s="1"/>
  <c r="Q46" i="3" s="1"/>
  <c r="R46" i="3" s="1"/>
  <c r="S46" i="3" s="1"/>
  <c r="T46" i="3" s="1"/>
  <c r="U46" i="3" s="1"/>
  <c r="V46" i="3" s="1"/>
  <c r="I47" i="3"/>
  <c r="J47" i="3"/>
  <c r="K47" i="3"/>
  <c r="L47" i="3"/>
  <c r="H47" i="3"/>
  <c r="H18" i="3" s="1"/>
  <c r="I50" i="3"/>
  <c r="J50" i="3"/>
  <c r="K50" i="3"/>
  <c r="L50" i="3"/>
  <c r="M50" i="3" s="1"/>
  <c r="N50" i="3" s="1"/>
  <c r="O50" i="3" s="1"/>
  <c r="P50" i="3" s="1"/>
  <c r="Q50" i="3" s="1"/>
  <c r="R50" i="3" s="1"/>
  <c r="S50" i="3" s="1"/>
  <c r="T50" i="3" s="1"/>
  <c r="U50" i="3" s="1"/>
  <c r="V50" i="3" s="1"/>
  <c r="H50" i="3"/>
  <c r="I49" i="3"/>
  <c r="J49" i="3"/>
  <c r="K49" i="3"/>
  <c r="L49" i="3"/>
  <c r="M49" i="3" s="1"/>
  <c r="N49" i="3" s="1"/>
  <c r="O49" i="3" s="1"/>
  <c r="P49" i="3" s="1"/>
  <c r="Q49" i="3" s="1"/>
  <c r="R49" i="3" s="1"/>
  <c r="S49" i="3" s="1"/>
  <c r="T49" i="3" s="1"/>
  <c r="U49" i="3" s="1"/>
  <c r="V49" i="3" s="1"/>
  <c r="H49" i="3"/>
  <c r="I48" i="3"/>
  <c r="I19" i="3" s="1"/>
  <c r="J48" i="3"/>
  <c r="J19" i="3" s="1"/>
  <c r="K48" i="3"/>
  <c r="K19" i="3" s="1"/>
  <c r="L48" i="3"/>
  <c r="L19" i="3" s="1"/>
  <c r="H48" i="3"/>
  <c r="H19" i="3" s="1"/>
  <c r="I25" i="3"/>
  <c r="J25" i="3"/>
  <c r="K25" i="3"/>
  <c r="L25" i="3"/>
  <c r="I29" i="3"/>
  <c r="J29" i="3"/>
  <c r="K29" i="3"/>
  <c r="K10" i="3" s="1"/>
  <c r="L29" i="3"/>
  <c r="I31" i="3"/>
  <c r="I12" i="3" s="1"/>
  <c r="J31" i="3"/>
  <c r="J12" i="3" s="1"/>
  <c r="K31" i="3"/>
  <c r="K12" i="3" s="1"/>
  <c r="L31" i="3"/>
  <c r="L12" i="3" s="1"/>
  <c r="I33" i="3"/>
  <c r="I13" i="3" s="1"/>
  <c r="J33" i="3"/>
  <c r="J13" i="3" s="1"/>
  <c r="K33" i="3"/>
  <c r="K13" i="3" s="1"/>
  <c r="L33" i="3"/>
  <c r="L13" i="3" s="1"/>
  <c r="I35" i="3"/>
  <c r="I14" i="3" s="1"/>
  <c r="J35" i="3"/>
  <c r="K35" i="3"/>
  <c r="K14" i="3" s="1"/>
  <c r="L35" i="3"/>
  <c r="L14" i="3" s="1"/>
  <c r="I36" i="3"/>
  <c r="J36" i="3"/>
  <c r="J15" i="3" s="1"/>
  <c r="K36" i="3"/>
  <c r="K15" i="3" s="1"/>
  <c r="L36" i="3"/>
  <c r="I38" i="3"/>
  <c r="J38" i="3"/>
  <c r="K38" i="3"/>
  <c r="L38" i="3"/>
  <c r="H36" i="3"/>
  <c r="H38" i="3"/>
  <c r="H35" i="3"/>
  <c r="H21" i="4" s="1"/>
  <c r="H33" i="3"/>
  <c r="H14" i="4" s="1"/>
  <c r="H31" i="3"/>
  <c r="H12" i="3" s="1"/>
  <c r="M12" i="3" s="1"/>
  <c r="N12" i="3" s="1"/>
  <c r="O12" i="3" s="1"/>
  <c r="P12" i="3" s="1"/>
  <c r="Q12" i="3" s="1"/>
  <c r="R12" i="3" s="1"/>
  <c r="S12" i="3" s="1"/>
  <c r="T12" i="3" s="1"/>
  <c r="U12" i="3" s="1"/>
  <c r="V12" i="3" s="1"/>
  <c r="H29" i="3"/>
  <c r="H25" i="3"/>
  <c r="H9" i="3" s="1"/>
  <c r="I2" i="3"/>
  <c r="I2" i="12" s="1"/>
  <c r="I19" i="12" s="1"/>
  <c r="N13" i="3" l="1"/>
  <c r="O13" i="3" s="1"/>
  <c r="H10" i="3"/>
  <c r="J18" i="3"/>
  <c r="J14" i="3"/>
  <c r="M14" i="3" s="1"/>
  <c r="N14" i="3" s="1"/>
  <c r="O14" i="3" s="1"/>
  <c r="P14" i="3" s="1"/>
  <c r="Q14" i="3" s="1"/>
  <c r="R14" i="3" s="1"/>
  <c r="S14" i="3" s="1"/>
  <c r="T14" i="3" s="1"/>
  <c r="U14" i="3" s="1"/>
  <c r="V14" i="3" s="1"/>
  <c r="I25" i="12"/>
  <c r="L15" i="3"/>
  <c r="L10" i="3"/>
  <c r="J10" i="3"/>
  <c r="L18" i="3"/>
  <c r="I8" i="3"/>
  <c r="I9" i="3"/>
  <c r="H15" i="3"/>
  <c r="I15" i="3"/>
  <c r="I10" i="3"/>
  <c r="K18" i="3"/>
  <c r="L25" i="12"/>
  <c r="L8" i="3"/>
  <c r="L9" i="3"/>
  <c r="K25" i="12"/>
  <c r="K8" i="3"/>
  <c r="K9" i="3"/>
  <c r="I18" i="3"/>
  <c r="J25" i="12"/>
  <c r="J8" i="3"/>
  <c r="J9" i="3"/>
  <c r="F37" i="12"/>
  <c r="K38" i="12" s="1"/>
  <c r="K40" i="12" s="1"/>
  <c r="J32" i="5"/>
  <c r="J34" i="5"/>
  <c r="L27" i="12"/>
  <c r="K27" i="12"/>
  <c r="I27" i="12"/>
  <c r="L34" i="5"/>
  <c r="I33" i="5"/>
  <c r="J27" i="12"/>
  <c r="K34" i="5"/>
  <c r="L33" i="5"/>
  <c r="J21" i="4"/>
  <c r="I21" i="4"/>
  <c r="L14" i="4"/>
  <c r="L13" i="4" s="1"/>
  <c r="K14" i="4"/>
  <c r="K13" i="4" s="1"/>
  <c r="J2" i="3"/>
  <c r="J2" i="12" s="1"/>
  <c r="J19" i="12" s="1"/>
  <c r="I2" i="5"/>
  <c r="I2" i="4"/>
  <c r="J14" i="4"/>
  <c r="J13" i="4" s="1"/>
  <c r="I14" i="4"/>
  <c r="K33" i="5"/>
  <c r="K21" i="4"/>
  <c r="L21" i="4"/>
  <c r="H27" i="3"/>
  <c r="I27" i="3"/>
  <c r="I32" i="3" s="1"/>
  <c r="L27" i="3"/>
  <c r="K27" i="3"/>
  <c r="H51" i="3"/>
  <c r="I51" i="3"/>
  <c r="L51" i="3"/>
  <c r="J51" i="3"/>
  <c r="K51" i="3"/>
  <c r="J27" i="3"/>
  <c r="I13" i="4" l="1"/>
  <c r="P13" i="3"/>
  <c r="Q13" i="3" s="1"/>
  <c r="R13" i="3" s="1"/>
  <c r="M10" i="3"/>
  <c r="N10" i="3" s="1"/>
  <c r="O10" i="3" s="1"/>
  <c r="P10" i="3" s="1"/>
  <c r="Q10" i="3" s="1"/>
  <c r="R10" i="3" s="1"/>
  <c r="S10" i="3" s="1"/>
  <c r="T10" i="3" s="1"/>
  <c r="U10" i="3" s="1"/>
  <c r="V10" i="3" s="1"/>
  <c r="I32" i="5"/>
  <c r="M9" i="3"/>
  <c r="M15" i="3"/>
  <c r="N15" i="3" s="1"/>
  <c r="O15" i="3" s="1"/>
  <c r="P15" i="3" s="1"/>
  <c r="Q15" i="3" s="1"/>
  <c r="R15" i="3" s="1"/>
  <c r="S15" i="3" s="1"/>
  <c r="T15" i="3" s="1"/>
  <c r="U15" i="3" s="1"/>
  <c r="V15" i="3" s="1"/>
  <c r="E30" i="10"/>
  <c r="E32" i="10" s="1"/>
  <c r="M21" i="4"/>
  <c r="M35" i="3" s="1"/>
  <c r="M99" i="3" s="1"/>
  <c r="N99" i="3" s="1"/>
  <c r="O99" i="3" s="1"/>
  <c r="P99" i="3" s="1"/>
  <c r="Q99" i="3" s="1"/>
  <c r="R99" i="3" s="1"/>
  <c r="S99" i="3" s="1"/>
  <c r="T99" i="3" s="1"/>
  <c r="U99" i="3" s="1"/>
  <c r="V99" i="3" s="1"/>
  <c r="H32" i="5"/>
  <c r="H33" i="5"/>
  <c r="H34" i="5"/>
  <c r="K15" i="5"/>
  <c r="K32" i="5"/>
  <c r="J15" i="5"/>
  <c r="J33" i="5"/>
  <c r="L15" i="5"/>
  <c r="L32" i="5"/>
  <c r="I15" i="5"/>
  <c r="I34" i="5"/>
  <c r="K2" i="3"/>
  <c r="K2" i="12" s="1"/>
  <c r="K19" i="12" s="1"/>
  <c r="J2" i="5"/>
  <c r="J2" i="4"/>
  <c r="L58" i="3"/>
  <c r="L13" i="5"/>
  <c r="L14" i="5"/>
  <c r="K58" i="3"/>
  <c r="K13" i="5"/>
  <c r="K14" i="5"/>
  <c r="J58" i="3"/>
  <c r="J14" i="5"/>
  <c r="J13" i="5"/>
  <c r="H32" i="3"/>
  <c r="H6" i="5"/>
  <c r="I58" i="3"/>
  <c r="I13" i="5"/>
  <c r="I14" i="5"/>
  <c r="K32" i="3"/>
  <c r="K6" i="5"/>
  <c r="L32" i="3"/>
  <c r="L6" i="5"/>
  <c r="H15" i="5"/>
  <c r="H58" i="3"/>
  <c r="H14" i="5"/>
  <c r="H13" i="5"/>
  <c r="J32" i="3"/>
  <c r="J6" i="5"/>
  <c r="I6" i="5"/>
  <c r="A23" i="3"/>
  <c r="I2" i="2"/>
  <c r="J2" i="2" s="1"/>
  <c r="K2" i="2" s="1"/>
  <c r="L2" i="2" s="1"/>
  <c r="S13" i="3" l="1"/>
  <c r="T13" i="3" s="1"/>
  <c r="U13" i="3" s="1"/>
  <c r="V13" i="3" s="1"/>
  <c r="E41" i="10"/>
  <c r="E12" i="12" s="1"/>
  <c r="N9" i="3"/>
  <c r="M34" i="5"/>
  <c r="H19" i="5"/>
  <c r="I19" i="5"/>
  <c r="K19" i="5"/>
  <c r="N34" i="5"/>
  <c r="L19" i="5"/>
  <c r="J19" i="5"/>
  <c r="H7" i="6"/>
  <c r="I7" i="6" s="1"/>
  <c r="J7" i="6" s="1"/>
  <c r="K7" i="6" s="1"/>
  <c r="L7" i="6" s="1"/>
  <c r="M7" i="6" s="1"/>
  <c r="N7" i="6" s="1"/>
  <c r="O7" i="6" s="1"/>
  <c r="P7" i="6" s="1"/>
  <c r="Q7" i="6" s="1"/>
  <c r="H6" i="6"/>
  <c r="I6" i="6" s="1"/>
  <c r="J6" i="6" s="1"/>
  <c r="K6" i="6" s="1"/>
  <c r="L6" i="6" s="1"/>
  <c r="M6" i="6" s="1"/>
  <c r="N6" i="6" s="1"/>
  <c r="O6" i="6" s="1"/>
  <c r="P6" i="6" s="1"/>
  <c r="Q6" i="6" s="1"/>
  <c r="I23" i="5"/>
  <c r="J23" i="5"/>
  <c r="L23" i="5"/>
  <c r="H34" i="3"/>
  <c r="H7" i="5"/>
  <c r="I34" i="3"/>
  <c r="I24" i="12" s="1"/>
  <c r="I26" i="12" s="1"/>
  <c r="I30" i="12" s="1"/>
  <c r="I7" i="5"/>
  <c r="L34" i="3"/>
  <c r="L24" i="12" s="1"/>
  <c r="L26" i="12" s="1"/>
  <c r="L30" i="12" s="1"/>
  <c r="L7" i="5"/>
  <c r="J34" i="3"/>
  <c r="J24" i="12" s="1"/>
  <c r="J26" i="12" s="1"/>
  <c r="J30" i="12" s="1"/>
  <c r="J7" i="5"/>
  <c r="K34" i="3"/>
  <c r="K24" i="12" s="1"/>
  <c r="K26" i="12" s="1"/>
  <c r="K30" i="12" s="1"/>
  <c r="K7" i="5"/>
  <c r="K23" i="5"/>
  <c r="L2" i="3"/>
  <c r="L2" i="12" s="1"/>
  <c r="L19" i="12" s="1"/>
  <c r="K2" i="5"/>
  <c r="K2" i="4"/>
  <c r="O9" i="3" l="1"/>
  <c r="O34" i="5"/>
  <c r="J5" i="6"/>
  <c r="M2" i="3"/>
  <c r="L2" i="5"/>
  <c r="L2" i="4"/>
  <c r="L37" i="3"/>
  <c r="L16" i="3" s="1"/>
  <c r="L8" i="5"/>
  <c r="I37" i="3"/>
  <c r="I16" i="3" s="1"/>
  <c r="I8" i="5"/>
  <c r="K37" i="3"/>
  <c r="K16" i="3" s="1"/>
  <c r="K8" i="5"/>
  <c r="J37" i="3"/>
  <c r="J16" i="3" s="1"/>
  <c r="J8" i="5"/>
  <c r="H8" i="5"/>
  <c r="H37" i="3"/>
  <c r="K5" i="6" l="1"/>
  <c r="L5" i="6" s="1"/>
  <c r="M5" i="6" s="1"/>
  <c r="N5" i="6" s="1"/>
  <c r="O5" i="6" s="1"/>
  <c r="P5" i="6" s="1"/>
  <c r="Q5" i="6" s="1"/>
  <c r="M8" i="3" s="1" a="1"/>
  <c r="P9" i="3"/>
  <c r="H16" i="3"/>
  <c r="H2" i="6"/>
  <c r="M2" i="12"/>
  <c r="N19" i="12" s="1"/>
  <c r="P34" i="5"/>
  <c r="K25" i="5"/>
  <c r="K26" i="5"/>
  <c r="L25" i="5"/>
  <c r="L26" i="5"/>
  <c r="J25" i="5"/>
  <c r="J26" i="5"/>
  <c r="I25" i="5"/>
  <c r="K39" i="3"/>
  <c r="K17" i="3" s="1"/>
  <c r="K9" i="5"/>
  <c r="K24" i="5"/>
  <c r="N2" i="3"/>
  <c r="M2" i="5"/>
  <c r="M2" i="4"/>
  <c r="I39" i="3"/>
  <c r="I17" i="3" s="1"/>
  <c r="I9" i="5"/>
  <c r="I24" i="5"/>
  <c r="H39" i="3"/>
  <c r="H17" i="3" s="1"/>
  <c r="H9" i="5"/>
  <c r="L39" i="3"/>
  <c r="L17" i="3" s="1"/>
  <c r="L24" i="5"/>
  <c r="L9" i="5"/>
  <c r="J39" i="3"/>
  <c r="J17" i="3" s="1"/>
  <c r="J24" i="5"/>
  <c r="J9" i="5"/>
  <c r="P8" i="3" l="1"/>
  <c r="V8" i="3"/>
  <c r="Q8" i="3"/>
  <c r="O8" i="3"/>
  <c r="R8" i="3"/>
  <c r="S8" i="3"/>
  <c r="M8" i="3"/>
  <c r="M25" i="3" s="1"/>
  <c r="T8" i="3"/>
  <c r="U8" i="3"/>
  <c r="N8" i="3"/>
  <c r="Q9" i="3"/>
  <c r="M17" i="3"/>
  <c r="N17" i="3" s="1"/>
  <c r="O17" i="3" s="1"/>
  <c r="P17" i="3" s="1"/>
  <c r="Q17" i="3" s="1"/>
  <c r="R17" i="3" s="1"/>
  <c r="S17" i="3" s="1"/>
  <c r="T17" i="3" s="1"/>
  <c r="U17" i="3" s="1"/>
  <c r="V17" i="3" s="1"/>
  <c r="H26" i="5"/>
  <c r="I2" i="6"/>
  <c r="N2" i="12"/>
  <c r="O19" i="12" s="1"/>
  <c r="Q34" i="5"/>
  <c r="H35" i="5"/>
  <c r="I26" i="5"/>
  <c r="I29" i="5"/>
  <c r="I27" i="5"/>
  <c r="I35" i="5"/>
  <c r="J29" i="5"/>
  <c r="J27" i="5"/>
  <c r="J35" i="5"/>
  <c r="L29" i="5"/>
  <c r="L35" i="5"/>
  <c r="L27" i="5"/>
  <c r="K35" i="5"/>
  <c r="K27" i="5"/>
  <c r="K29" i="5"/>
  <c r="L10" i="5"/>
  <c r="L28" i="5"/>
  <c r="O2" i="3"/>
  <c r="N2" i="5"/>
  <c r="N2" i="4"/>
  <c r="H10" i="5"/>
  <c r="J10" i="5"/>
  <c r="J28" i="5"/>
  <c r="I10" i="5"/>
  <c r="I28" i="5"/>
  <c r="K10" i="5"/>
  <c r="K28" i="5"/>
  <c r="N25" i="3" l="1"/>
  <c r="N31" i="3" s="1"/>
  <c r="M26" i="3"/>
  <c r="M27" i="3" s="1"/>
  <c r="M30" i="3"/>
  <c r="R9" i="3"/>
  <c r="R34" i="5"/>
  <c r="J2" i="6"/>
  <c r="O2" i="12"/>
  <c r="P19" i="12" s="1"/>
  <c r="M36" i="3"/>
  <c r="M84" i="3" s="1"/>
  <c r="M29" i="3"/>
  <c r="M31" i="3"/>
  <c r="M28" i="5"/>
  <c r="M26" i="5"/>
  <c r="H28" i="5"/>
  <c r="P2" i="3"/>
  <c r="O2" i="5"/>
  <c r="O2" i="4"/>
  <c r="N36" i="3" l="1"/>
  <c r="N93" i="3" s="1"/>
  <c r="N29" i="3"/>
  <c r="O25" i="3"/>
  <c r="P25" i="3" s="1"/>
  <c r="N30" i="3"/>
  <c r="N26" i="3"/>
  <c r="S9" i="3"/>
  <c r="M32" i="3"/>
  <c r="M7" i="5" s="1"/>
  <c r="M93" i="3"/>
  <c r="K2" i="6"/>
  <c r="P2" i="12"/>
  <c r="Q19" i="12" s="1"/>
  <c r="M6" i="5"/>
  <c r="M61" i="3"/>
  <c r="S34" i="5"/>
  <c r="N28" i="5"/>
  <c r="N26" i="5"/>
  <c r="Q2" i="3"/>
  <c r="P2" i="5"/>
  <c r="P2" i="4"/>
  <c r="O26" i="3" l="1"/>
  <c r="O27" i="3" s="1"/>
  <c r="O6" i="5" s="1"/>
  <c r="O30" i="3"/>
  <c r="O29" i="3"/>
  <c r="O31" i="3"/>
  <c r="O36" i="3"/>
  <c r="O93" i="3" s="1"/>
  <c r="N61" i="3"/>
  <c r="N63" i="3" s="1"/>
  <c r="N27" i="3"/>
  <c r="P31" i="3"/>
  <c r="P30" i="3"/>
  <c r="P26" i="3"/>
  <c r="P27" i="3" s="1"/>
  <c r="P6" i="5" s="1"/>
  <c r="T9" i="3"/>
  <c r="M63" i="3"/>
  <c r="M7" i="4"/>
  <c r="L2" i="6"/>
  <c r="Q2" i="12"/>
  <c r="R19" i="12" s="1"/>
  <c r="T34" i="5"/>
  <c r="O28" i="5"/>
  <c r="O26" i="5"/>
  <c r="P29" i="3"/>
  <c r="Q25" i="3"/>
  <c r="P36" i="3"/>
  <c r="R2" i="3"/>
  <c r="Q2" i="5"/>
  <c r="Q2" i="4"/>
  <c r="O61" i="3" l="1"/>
  <c r="O32" i="3"/>
  <c r="O7" i="5" s="1"/>
  <c r="O7" i="4"/>
  <c r="N7" i="4"/>
  <c r="P93" i="3"/>
  <c r="N6" i="5"/>
  <c r="N32" i="3"/>
  <c r="N7" i="5" s="1"/>
  <c r="Q31" i="3"/>
  <c r="Q30" i="3"/>
  <c r="Q26" i="3"/>
  <c r="Q27" i="3" s="1"/>
  <c r="Q6" i="5" s="1"/>
  <c r="U9" i="3"/>
  <c r="O63" i="3"/>
  <c r="V34" i="5"/>
  <c r="U34" i="5"/>
  <c r="Q36" i="3"/>
  <c r="M2" i="6"/>
  <c r="R2" i="12"/>
  <c r="S19" i="12" s="1"/>
  <c r="P28" i="5"/>
  <c r="P26" i="5"/>
  <c r="P61" i="3"/>
  <c r="P7" i="4" s="1"/>
  <c r="P32" i="3"/>
  <c r="P7" i="5" s="1"/>
  <c r="R25" i="3"/>
  <c r="Q29" i="3"/>
  <c r="S2" i="3"/>
  <c r="R2" i="5"/>
  <c r="R2" i="4"/>
  <c r="Q93" i="3" l="1"/>
  <c r="R30" i="3"/>
  <c r="R26" i="3"/>
  <c r="R61" i="3" s="1"/>
  <c r="V9" i="3"/>
  <c r="P63" i="3"/>
  <c r="Q61" i="3"/>
  <c r="Q63" i="3" s="1"/>
  <c r="N2" i="6"/>
  <c r="S2" i="12"/>
  <c r="T19" i="12" s="1"/>
  <c r="Q32" i="3"/>
  <c r="Q7" i="5" s="1"/>
  <c r="Q26" i="5"/>
  <c r="Q28" i="5"/>
  <c r="R36" i="3"/>
  <c r="S25" i="3"/>
  <c r="R29" i="3"/>
  <c r="R31" i="3"/>
  <c r="T2" i="3"/>
  <c r="S2" i="5"/>
  <c r="S2" i="4"/>
  <c r="R93" i="3" l="1"/>
  <c r="S30" i="3"/>
  <c r="S26" i="3"/>
  <c r="S27" i="3" s="1"/>
  <c r="S6" i="5" s="1"/>
  <c r="Q7" i="4"/>
  <c r="R27" i="3"/>
  <c r="R6" i="5" s="1"/>
  <c r="O2" i="6"/>
  <c r="T2" i="12"/>
  <c r="U19" i="12" s="1"/>
  <c r="S29" i="3"/>
  <c r="S31" i="3"/>
  <c r="R28" i="5"/>
  <c r="S36" i="3"/>
  <c r="R26" i="5"/>
  <c r="T25" i="3"/>
  <c r="R7" i="4"/>
  <c r="R63" i="3"/>
  <c r="U2" i="3"/>
  <c r="T2" i="5"/>
  <c r="T2" i="4"/>
  <c r="S93" i="3" l="1"/>
  <c r="T36" i="3"/>
  <c r="T30" i="3"/>
  <c r="T26" i="3"/>
  <c r="T27" i="3" s="1"/>
  <c r="T6" i="5" s="1"/>
  <c r="R32" i="3"/>
  <c r="R7" i="5" s="1"/>
  <c r="S61" i="3"/>
  <c r="S63" i="3" s="1"/>
  <c r="P2" i="6"/>
  <c r="U2" i="12"/>
  <c r="V19" i="12" s="1"/>
  <c r="S32" i="3"/>
  <c r="S7" i="5" s="1"/>
  <c r="S26" i="5"/>
  <c r="S28" i="5"/>
  <c r="T31" i="3"/>
  <c r="T29" i="3"/>
  <c r="U25" i="3"/>
  <c r="V2" i="3"/>
  <c r="U2" i="5"/>
  <c r="U2" i="4"/>
  <c r="T93" i="3" l="1"/>
  <c r="U29" i="3"/>
  <c r="U30" i="3"/>
  <c r="U26" i="3"/>
  <c r="S7" i="4"/>
  <c r="T61" i="3"/>
  <c r="T7" i="4" s="1"/>
  <c r="Q2" i="6"/>
  <c r="V2" i="12"/>
  <c r="W19" i="12" s="1"/>
  <c r="T32" i="3"/>
  <c r="T7" i="5" s="1"/>
  <c r="T26" i="5"/>
  <c r="U36" i="3"/>
  <c r="T28" i="5"/>
  <c r="V25" i="3"/>
  <c r="U31" i="3"/>
  <c r="V2" i="5"/>
  <c r="V2" i="4"/>
  <c r="U93" i="3" l="1"/>
  <c r="V29" i="3"/>
  <c r="V30" i="3"/>
  <c r="V26" i="3"/>
  <c r="V27" i="3" s="1"/>
  <c r="V6" i="5" s="1"/>
  <c r="T63" i="3"/>
  <c r="V28" i="5"/>
  <c r="U28" i="5"/>
  <c r="V26" i="5"/>
  <c r="U26" i="5"/>
  <c r="U61" i="3"/>
  <c r="U7" i="4" s="1"/>
  <c r="U27" i="3"/>
  <c r="V36" i="3"/>
  <c r="V31" i="3"/>
  <c r="V93" i="3" l="1"/>
  <c r="V61" i="3"/>
  <c r="V63" i="3" s="1"/>
  <c r="V32" i="3"/>
  <c r="V7" i="5" s="1"/>
  <c r="U63" i="3"/>
  <c r="U32" i="3"/>
  <c r="U7" i="5" s="1"/>
  <c r="U6" i="5"/>
  <c r="V7" i="4" l="1"/>
  <c r="M65" i="3" l="1"/>
  <c r="N18" i="4"/>
  <c r="N20" i="4" s="1"/>
  <c r="N21" i="4" l="1"/>
  <c r="N35" i="3" s="1"/>
  <c r="N84" i="3" s="1"/>
  <c r="M67" i="3"/>
  <c r="M68" i="3" s="1"/>
  <c r="N65" i="3"/>
  <c r="O18" i="4"/>
  <c r="O21" i="4" l="1"/>
  <c r="O35" i="3" s="1"/>
  <c r="O84" i="3" s="1"/>
  <c r="O20" i="4"/>
  <c r="N67" i="3"/>
  <c r="N68" i="3" s="1"/>
  <c r="P18" i="4" l="1"/>
  <c r="O65" i="3"/>
  <c r="O67" i="3" l="1"/>
  <c r="O68" i="3" s="1"/>
  <c r="P20" i="4"/>
  <c r="P21" i="4"/>
  <c r="P35" i="3" s="1"/>
  <c r="P84" i="3" s="1"/>
  <c r="Q18" i="4" l="1"/>
  <c r="P65" i="3"/>
  <c r="P67" i="3" l="1"/>
  <c r="P68" i="3" s="1"/>
  <c r="Q21" i="4"/>
  <c r="Q35" i="3" s="1"/>
  <c r="Q84" i="3" s="1"/>
  <c r="Q20" i="4"/>
  <c r="Q65" i="3" l="1"/>
  <c r="R18" i="4"/>
  <c r="R21" i="4" l="1"/>
  <c r="R35" i="3" s="1"/>
  <c r="R84" i="3" s="1"/>
  <c r="R20" i="4"/>
  <c r="Q67" i="3"/>
  <c r="Q68" i="3" s="1"/>
  <c r="S18" i="4" l="1"/>
  <c r="R65" i="3"/>
  <c r="R67" i="3" l="1"/>
  <c r="R68" i="3" s="1"/>
  <c r="S21" i="4"/>
  <c r="S35" i="3" s="1"/>
  <c r="S84" i="3" s="1"/>
  <c r="S20" i="4"/>
  <c r="T18" i="4" l="1"/>
  <c r="S65" i="3"/>
  <c r="S67" i="3" l="1"/>
  <c r="S68" i="3" s="1"/>
  <c r="T20" i="4"/>
  <c r="T21" i="4"/>
  <c r="T35" i="3" s="1"/>
  <c r="T84" i="3" s="1"/>
  <c r="U18" i="4" l="1"/>
  <c r="T65" i="3"/>
  <c r="U20" i="4" l="1"/>
  <c r="U21" i="4"/>
  <c r="U35" i="3" s="1"/>
  <c r="U84" i="3" s="1"/>
  <c r="T67" i="3"/>
  <c r="T68" i="3" s="1"/>
  <c r="U65" i="3" l="1"/>
  <c r="V18" i="4"/>
  <c r="U67" i="3" l="1"/>
  <c r="U68" i="3" s="1"/>
  <c r="V20" i="4"/>
  <c r="V65" i="3" s="1"/>
  <c r="V21" i="4"/>
  <c r="V35" i="3" s="1"/>
  <c r="V84" i="3" s="1"/>
  <c r="V67" i="3" l="1"/>
  <c r="V68" i="3" s="1"/>
  <c r="M94" i="3" l="1"/>
  <c r="M89" i="3"/>
  <c r="N13" i="4"/>
  <c r="O13" i="4" l="1"/>
  <c r="P28" i="12" s="1"/>
  <c r="O28" i="12"/>
  <c r="M33" i="3"/>
  <c r="M83" i="3" s="1"/>
  <c r="M53" i="3"/>
  <c r="M57" i="3" s="1"/>
  <c r="N12" i="4"/>
  <c r="N14" i="4" s="1"/>
  <c r="M34" i="3"/>
  <c r="N27" i="12"/>
  <c r="N89" i="3"/>
  <c r="N94" i="3" s="1"/>
  <c r="O89" i="3" l="1"/>
  <c r="O94" i="3" s="1"/>
  <c r="P13" i="4"/>
  <c r="Q28" i="12" s="1"/>
  <c r="N33" i="3"/>
  <c r="P89" i="3"/>
  <c r="P94" i="3" s="1"/>
  <c r="Q13" i="4"/>
  <c r="R28" i="12" s="1"/>
  <c r="N24" i="12"/>
  <c r="M37" i="3"/>
  <c r="M8" i="5"/>
  <c r="M38" i="3" l="1"/>
  <c r="N25" i="12" s="1"/>
  <c r="N26" i="12" s="1"/>
  <c r="M9" i="5"/>
  <c r="R13" i="4"/>
  <c r="S28" i="12" s="1"/>
  <c r="Q89" i="3"/>
  <c r="Q94" i="3" s="1"/>
  <c r="N83" i="3"/>
  <c r="O27" i="12"/>
  <c r="N34" i="3"/>
  <c r="N15" i="4"/>
  <c r="M39" i="3" l="1"/>
  <c r="M82" i="3" s="1"/>
  <c r="O12" i="4"/>
  <c r="O14" i="4" s="1"/>
  <c r="N53" i="3"/>
  <c r="N57" i="3" s="1"/>
  <c r="O24" i="12"/>
  <c r="N37" i="3"/>
  <c r="N8" i="5"/>
  <c r="R89" i="3"/>
  <c r="R94" i="3" s="1"/>
  <c r="S13" i="4"/>
  <c r="T28" i="12" s="1"/>
  <c r="M10" i="5" l="1"/>
  <c r="M100" i="3"/>
  <c r="M101" i="3" s="1"/>
  <c r="S89" i="3"/>
  <c r="S94" i="3" s="1"/>
  <c r="T13" i="4"/>
  <c r="U28" i="12" s="1"/>
  <c r="N38" i="3"/>
  <c r="O25" i="12" s="1"/>
  <c r="O26" i="12" s="1"/>
  <c r="N9" i="5"/>
  <c r="O33" i="3"/>
  <c r="M71" i="3" l="1"/>
  <c r="M72" i="3" s="1"/>
  <c r="M29" i="5" s="1"/>
  <c r="N39" i="3"/>
  <c r="N100" i="3" s="1"/>
  <c r="N101" i="3" s="1"/>
  <c r="T89" i="3"/>
  <c r="T94" i="3" s="1"/>
  <c r="U13" i="4"/>
  <c r="V28" i="12" s="1"/>
  <c r="P27" i="12"/>
  <c r="O34" i="3"/>
  <c r="O83" i="3"/>
  <c r="O15" i="4"/>
  <c r="M74" i="3" l="1"/>
  <c r="M75" i="3" s="1"/>
  <c r="M25" i="5"/>
  <c r="M27" i="5"/>
  <c r="M18" i="5"/>
  <c r="M20" i="5"/>
  <c r="N82" i="3"/>
  <c r="M35" i="5"/>
  <c r="N10" i="5"/>
  <c r="U89" i="3"/>
  <c r="U94" i="3" s="1"/>
  <c r="V13" i="4"/>
  <c r="W28" i="12" s="1"/>
  <c r="P12" i="4"/>
  <c r="P14" i="4" s="1"/>
  <c r="O53" i="3"/>
  <c r="O57" i="3" s="1"/>
  <c r="P24" i="12"/>
  <c r="O37" i="3"/>
  <c r="O8" i="5"/>
  <c r="N71" i="3"/>
  <c r="O38" i="3" l="1"/>
  <c r="P25" i="12" s="1"/>
  <c r="P26" i="12" s="1"/>
  <c r="O9" i="5"/>
  <c r="V89" i="3"/>
  <c r="V94" i="3" s="1"/>
  <c r="P33" i="3"/>
  <c r="N72" i="3"/>
  <c r="O39" i="3" l="1"/>
  <c r="O100" i="3" s="1"/>
  <c r="Q27" i="12"/>
  <c r="P34" i="3"/>
  <c r="P83" i="3"/>
  <c r="P15" i="4"/>
  <c r="N20" i="5"/>
  <c r="N74" i="3"/>
  <c r="N75" i="3" s="1"/>
  <c r="N18" i="5"/>
  <c r="N25" i="5"/>
  <c r="N35" i="5"/>
  <c r="N29" i="5"/>
  <c r="N27" i="5"/>
  <c r="O82" i="3" l="1"/>
  <c r="O10" i="5"/>
  <c r="P53" i="3"/>
  <c r="P57" i="3" s="1"/>
  <c r="Q12" i="4"/>
  <c r="Q14" i="4" s="1"/>
  <c r="Q24" i="12"/>
  <c r="P8" i="5"/>
  <c r="P37" i="3"/>
  <c r="O101" i="3"/>
  <c r="O71" i="3"/>
  <c r="P38" i="3" l="1"/>
  <c r="Q25" i="12" s="1"/>
  <c r="Q26" i="12" s="1"/>
  <c r="P9" i="5"/>
  <c r="Q33" i="3"/>
  <c r="O72" i="3"/>
  <c r="P39" i="3" l="1"/>
  <c r="P100" i="3" s="1"/>
  <c r="Q15" i="4"/>
  <c r="R12" i="4" s="1"/>
  <c r="R14" i="4" s="1"/>
  <c r="O74" i="3"/>
  <c r="O75" i="3" s="1"/>
  <c r="O18" i="5"/>
  <c r="O20" i="5"/>
  <c r="O25" i="5"/>
  <c r="O35" i="5"/>
  <c r="O27" i="5"/>
  <c r="O29" i="5"/>
  <c r="Q83" i="3"/>
  <c r="R27" i="12"/>
  <c r="Q34" i="3"/>
  <c r="Q53" i="3" l="1"/>
  <c r="Q57" i="3" s="1"/>
  <c r="P82" i="3"/>
  <c r="P10" i="5"/>
  <c r="P101" i="3"/>
  <c r="P71" i="3"/>
  <c r="Q8" i="5"/>
  <c r="Q37" i="3"/>
  <c r="R24" i="12"/>
  <c r="R33" i="3"/>
  <c r="R15" i="4" l="1"/>
  <c r="S12" i="4" s="1"/>
  <c r="S14" i="4" s="1"/>
  <c r="S27" i="12"/>
  <c r="R34" i="3"/>
  <c r="R83" i="3"/>
  <c r="Q38" i="3"/>
  <c r="R25" i="12" s="1"/>
  <c r="R26" i="12" s="1"/>
  <c r="Q9" i="5"/>
  <c r="P72" i="3"/>
  <c r="Q39" i="3" l="1"/>
  <c r="Q100" i="3" s="1"/>
  <c r="Q101" i="3" s="1"/>
  <c r="R53" i="3"/>
  <c r="R57" i="3" s="1"/>
  <c r="P18" i="5"/>
  <c r="P74" i="3"/>
  <c r="P75" i="3" s="1"/>
  <c r="P20" i="5"/>
  <c r="P25" i="5"/>
  <c r="P27" i="5"/>
  <c r="P35" i="5"/>
  <c r="P29" i="5"/>
  <c r="S24" i="12"/>
  <c r="R8" i="5"/>
  <c r="R37" i="3"/>
  <c r="S33" i="3"/>
  <c r="Q10" i="5" l="1"/>
  <c r="Q82" i="3"/>
  <c r="Q71" i="3"/>
  <c r="Q72" i="3" s="1"/>
  <c r="Q29" i="5" s="1"/>
  <c r="T27" i="12"/>
  <c r="S34" i="3"/>
  <c r="S83" i="3"/>
  <c r="S15" i="4"/>
  <c r="R38" i="3"/>
  <c r="S25" i="12" s="1"/>
  <c r="S26" i="12" s="1"/>
  <c r="R9" i="5"/>
  <c r="R39" i="3" l="1"/>
  <c r="S53" i="3"/>
  <c r="S57" i="3" s="1"/>
  <c r="T12" i="4"/>
  <c r="T14" i="4" s="1"/>
  <c r="S8" i="5"/>
  <c r="S37" i="3"/>
  <c r="T24" i="12"/>
  <c r="Q74" i="3"/>
  <c r="Q75" i="3" s="1"/>
  <c r="Q20" i="5"/>
  <c r="Q18" i="5"/>
  <c r="Q35" i="5"/>
  <c r="Q25" i="5"/>
  <c r="Q27" i="5"/>
  <c r="T33" i="3" l="1"/>
  <c r="R10" i="5"/>
  <c r="R100" i="3"/>
  <c r="R101" i="3" s="1"/>
  <c r="R82" i="3"/>
  <c r="S9" i="5"/>
  <c r="S38" i="3"/>
  <c r="T25" i="12" s="1"/>
  <c r="T26" i="12" s="1"/>
  <c r="S39" i="3" l="1"/>
  <c r="S10" i="5" s="1"/>
  <c r="T15" i="4"/>
  <c r="U12" i="4" s="1"/>
  <c r="U14" i="4" s="1"/>
  <c r="T34" i="3"/>
  <c r="U27" i="12"/>
  <c r="T83" i="3"/>
  <c r="R71" i="3"/>
  <c r="S100" i="3" l="1"/>
  <c r="S101" i="3" s="1"/>
  <c r="S82" i="3"/>
  <c r="T53" i="3"/>
  <c r="T57" i="3" s="1"/>
  <c r="R72" i="3"/>
  <c r="T8" i="5"/>
  <c r="U24" i="12"/>
  <c r="T37" i="3"/>
  <c r="U33" i="3"/>
  <c r="S71" i="3" l="1"/>
  <c r="S72" i="3" s="1"/>
  <c r="S27" i="5" s="1"/>
  <c r="U15" i="4"/>
  <c r="V12" i="4" s="1"/>
  <c r="V14" i="4" s="1"/>
  <c r="U83" i="3"/>
  <c r="U34" i="3"/>
  <c r="V27" i="12"/>
  <c r="R20" i="5"/>
  <c r="R74" i="3"/>
  <c r="R75" i="3" s="1"/>
  <c r="R18" i="5"/>
  <c r="R25" i="5"/>
  <c r="R27" i="5"/>
  <c r="R35" i="5"/>
  <c r="R29" i="5"/>
  <c r="T9" i="5"/>
  <c r="T38" i="3"/>
  <c r="U25" i="12" s="1"/>
  <c r="U26" i="12" s="1"/>
  <c r="U53" i="3" l="1"/>
  <c r="U57" i="3" s="1"/>
  <c r="S29" i="5"/>
  <c r="S25" i="5"/>
  <c r="V33" i="3"/>
  <c r="T39" i="3"/>
  <c r="U8" i="5"/>
  <c r="V24" i="12"/>
  <c r="U37" i="3"/>
  <c r="S20" i="5"/>
  <c r="S18" i="5"/>
  <c r="S74" i="3"/>
  <c r="S75" i="3" s="1"/>
  <c r="S35" i="5"/>
  <c r="V15" i="4" l="1"/>
  <c r="V53" i="3" s="1"/>
  <c r="V57" i="3" s="1"/>
  <c r="T10" i="5"/>
  <c r="T100" i="3"/>
  <c r="T101" i="3" s="1"/>
  <c r="T82" i="3"/>
  <c r="U9" i="5"/>
  <c r="U38" i="3"/>
  <c r="V25" i="12" s="1"/>
  <c r="V26" i="12" s="1"/>
  <c r="W27" i="12"/>
  <c r="V34" i="3"/>
  <c r="V83" i="3"/>
  <c r="U39" i="3" l="1"/>
  <c r="U100" i="3" s="1"/>
  <c r="U101" i="3" s="1"/>
  <c r="W24" i="12"/>
  <c r="V8" i="5"/>
  <c r="V37" i="3"/>
  <c r="T71" i="3"/>
  <c r="U10" i="5" l="1"/>
  <c r="U82" i="3"/>
  <c r="U71" i="3"/>
  <c r="T72" i="3"/>
  <c r="V38" i="3"/>
  <c r="W25" i="12" s="1"/>
  <c r="W26" i="12" s="1"/>
  <c r="V9" i="5"/>
  <c r="S36" i="12"/>
  <c r="T74" i="3" l="1"/>
  <c r="T75" i="3" s="1"/>
  <c r="T20" i="5"/>
  <c r="T18" i="5"/>
  <c r="T25" i="5"/>
  <c r="T35" i="5"/>
  <c r="T27" i="5"/>
  <c r="T29" i="5"/>
  <c r="U72" i="3"/>
  <c r="V39" i="3"/>
  <c r="U18" i="5" l="1"/>
  <c r="U20" i="5"/>
  <c r="U74" i="3"/>
  <c r="U75" i="3" s="1"/>
  <c r="U35" i="5"/>
  <c r="U29" i="5"/>
  <c r="U27" i="5"/>
  <c r="U25" i="5"/>
  <c r="V82" i="3"/>
  <c r="V10" i="5"/>
  <c r="V100" i="3"/>
  <c r="V101" i="3" l="1"/>
  <c r="V71" i="3"/>
  <c r="V72" i="3" s="1"/>
  <c r="V74" i="3" l="1"/>
  <c r="V75" i="3" s="1"/>
  <c r="V20" i="5"/>
  <c r="V18" i="5"/>
  <c r="V25" i="5"/>
  <c r="V27" i="5"/>
  <c r="V29" i="5"/>
  <c r="V35" i="5"/>
  <c r="N15" i="5" l="1"/>
  <c r="N32" i="5"/>
  <c r="M33" i="5"/>
  <c r="M32" i="5"/>
  <c r="M15" i="5"/>
  <c r="M48" i="3"/>
  <c r="M6" i="4" s="1"/>
  <c r="N19" i="3"/>
  <c r="N33" i="5" s="1"/>
  <c r="P32" i="5"/>
  <c r="N47" i="3"/>
  <c r="M47" i="3"/>
  <c r="M5" i="4" s="1"/>
  <c r="N18" i="3"/>
  <c r="O18" i="3"/>
  <c r="P18" i="3"/>
  <c r="Q18" i="3"/>
  <c r="R18" i="3" s="1"/>
  <c r="Q47" i="3"/>
  <c r="N5" i="4" l="1"/>
  <c r="M9" i="4"/>
  <c r="N29" i="12" s="1"/>
  <c r="N30" i="12" s="1"/>
  <c r="O19" i="3"/>
  <c r="P19" i="3" s="1"/>
  <c r="R32" i="5"/>
  <c r="S18" i="3"/>
  <c r="R47" i="3"/>
  <c r="P48" i="3"/>
  <c r="P33" i="5"/>
  <c r="O33" i="5"/>
  <c r="O48" i="3"/>
  <c r="O47" i="3"/>
  <c r="O5" i="4" s="1"/>
  <c r="O32" i="5"/>
  <c r="O15" i="5"/>
  <c r="Q19" i="3"/>
  <c r="Q15" i="5" s="1"/>
  <c r="Q32" i="5"/>
  <c r="P47" i="3"/>
  <c r="Q5" i="4" s="1"/>
  <c r="P15" i="5"/>
  <c r="N48" i="3"/>
  <c r="M85" i="3" l="1"/>
  <c r="M86" i="3" s="1"/>
  <c r="M103" i="3" s="1"/>
  <c r="M106" i="3" s="1"/>
  <c r="M45" i="3" s="1"/>
  <c r="M51" i="3" s="1"/>
  <c r="P6" i="4"/>
  <c r="R19" i="3"/>
  <c r="Q48" i="3"/>
  <c r="Q6" i="4" s="1"/>
  <c r="Q9" i="4" s="1"/>
  <c r="Q33" i="5"/>
  <c r="S47" i="3"/>
  <c r="S5" i="4" s="1"/>
  <c r="S32" i="5"/>
  <c r="T18" i="3"/>
  <c r="N6" i="4"/>
  <c r="N9" i="4" s="1"/>
  <c r="O6" i="4"/>
  <c r="O9" i="4" s="1"/>
  <c r="P5" i="4"/>
  <c r="P9" i="4" s="1"/>
  <c r="R5" i="4"/>
  <c r="N104" i="3" l="1"/>
  <c r="M108" i="3"/>
  <c r="P29" i="12"/>
  <c r="P30" i="12" s="1"/>
  <c r="P32" i="12" s="1"/>
  <c r="O85" i="3"/>
  <c r="O86" i="3" s="1"/>
  <c r="O103" i="3" s="1"/>
  <c r="T47" i="3"/>
  <c r="T5" i="4" s="1"/>
  <c r="T32" i="5"/>
  <c r="U18" i="3"/>
  <c r="Q85" i="3"/>
  <c r="Q86" i="3" s="1"/>
  <c r="Q103" i="3" s="1"/>
  <c r="R29" i="12"/>
  <c r="R30" i="12" s="1"/>
  <c r="R32" i="12" s="1"/>
  <c r="M58" i="3"/>
  <c r="M14" i="5"/>
  <c r="M13" i="5"/>
  <c r="O29" i="12"/>
  <c r="O30" i="12" s="1"/>
  <c r="O32" i="12" s="1"/>
  <c r="N85" i="3"/>
  <c r="N86" i="3" s="1"/>
  <c r="N103" i="3" s="1"/>
  <c r="N106" i="3" s="1"/>
  <c r="Q29" i="12"/>
  <c r="Q30" i="12" s="1"/>
  <c r="Q32" i="12" s="1"/>
  <c r="P85" i="3"/>
  <c r="P86" i="3" s="1"/>
  <c r="P103" i="3" s="1"/>
  <c r="S19" i="3"/>
  <c r="R33" i="5"/>
  <c r="R48" i="3"/>
  <c r="R15" i="5"/>
  <c r="M77" i="3" l="1"/>
  <c r="M3" i="3" s="1"/>
  <c r="M24" i="5"/>
  <c r="M23" i="5"/>
  <c r="M19" i="5"/>
  <c r="O104" i="3"/>
  <c r="O106" i="3" s="1"/>
  <c r="N45" i="3"/>
  <c r="N51" i="3" s="1"/>
  <c r="U32" i="5"/>
  <c r="V18" i="3"/>
  <c r="U47" i="3"/>
  <c r="U5" i="4" s="1"/>
  <c r="R6" i="4"/>
  <c r="R9" i="4" s="1"/>
  <c r="S48" i="3"/>
  <c r="S6" i="4" s="1"/>
  <c r="S9" i="4" s="1"/>
  <c r="S33" i="5"/>
  <c r="T19" i="3"/>
  <c r="S15" i="5"/>
  <c r="N108" i="3" l="1"/>
  <c r="R85" i="3"/>
  <c r="R86" i="3" s="1"/>
  <c r="R103" i="3" s="1"/>
  <c r="S29" i="12"/>
  <c r="S30" i="12" s="1"/>
  <c r="S32" i="12" s="1"/>
  <c r="N13" i="5"/>
  <c r="N58" i="3"/>
  <c r="N14" i="5"/>
  <c r="P104" i="3"/>
  <c r="P106" i="3" s="1"/>
  <c r="O45" i="3"/>
  <c r="O51" i="3" s="1"/>
  <c r="U19" i="3"/>
  <c r="T48" i="3"/>
  <c r="T6" i="4" s="1"/>
  <c r="T9" i="4" s="1"/>
  <c r="T33" i="5"/>
  <c r="T15" i="5"/>
  <c r="V47" i="3"/>
  <c r="V5" i="4" s="1"/>
  <c r="V32" i="5"/>
  <c r="S85" i="3"/>
  <c r="S86" i="3" s="1"/>
  <c r="S103" i="3" s="1"/>
  <c r="T29" i="12"/>
  <c r="T30" i="12" s="1"/>
  <c r="T32" i="12" s="1"/>
  <c r="O108" i="3" l="1"/>
  <c r="O14" i="5"/>
  <c r="O13" i="5"/>
  <c r="O58" i="3"/>
  <c r="O23" i="5" s="1"/>
  <c r="Q104" i="3"/>
  <c r="Q106" i="3" s="1"/>
  <c r="P45" i="3"/>
  <c r="P51" i="3" s="1"/>
  <c r="N77" i="3"/>
  <c r="N3" i="3" s="1"/>
  <c r="N19" i="5"/>
  <c r="N23" i="5"/>
  <c r="N24" i="5"/>
  <c r="T85" i="3"/>
  <c r="T86" i="3" s="1"/>
  <c r="T103" i="3" s="1"/>
  <c r="U29" i="12"/>
  <c r="U30" i="12" s="1"/>
  <c r="U32" i="12" s="1"/>
  <c r="U33" i="5"/>
  <c r="V19" i="3"/>
  <c r="U48" i="3"/>
  <c r="U15" i="5"/>
  <c r="P108" i="3" l="1"/>
  <c r="V48" i="3"/>
  <c r="V6" i="4" s="1"/>
  <c r="V9" i="4" s="1"/>
  <c r="V33" i="5"/>
  <c r="V15" i="5"/>
  <c r="Q45" i="3"/>
  <c r="Q51" i="3" s="1"/>
  <c r="Q108" i="3"/>
  <c r="R104" i="3"/>
  <c r="R106" i="3" s="1"/>
  <c r="O19" i="5"/>
  <c r="O77" i="3"/>
  <c r="O3" i="3" s="1"/>
  <c r="O24" i="5"/>
  <c r="P58" i="3"/>
  <c r="P14" i="5"/>
  <c r="P13" i="5"/>
  <c r="U6" i="4"/>
  <c r="U9" i="4" s="1"/>
  <c r="R45" i="3" l="1"/>
  <c r="R51" i="3" s="1"/>
  <c r="S104" i="3"/>
  <c r="S106" i="3" s="1"/>
  <c r="P77" i="3"/>
  <c r="P3" i="3" s="1"/>
  <c r="P19" i="5"/>
  <c r="P23" i="5"/>
  <c r="V85" i="3"/>
  <c r="V86" i="3" s="1"/>
  <c r="V103" i="3" s="1"/>
  <c r="W29" i="12"/>
  <c r="W30" i="12" s="1"/>
  <c r="Q13" i="5"/>
  <c r="Q14" i="5"/>
  <c r="Q58" i="3"/>
  <c r="Q24" i="5" s="1"/>
  <c r="U85" i="3"/>
  <c r="U86" i="3" s="1"/>
  <c r="U103" i="3" s="1"/>
  <c r="V29" i="12"/>
  <c r="V30" i="12" s="1"/>
  <c r="V32" i="12" s="1"/>
  <c r="P24" i="5"/>
  <c r="Q23" i="5" l="1"/>
  <c r="T104" i="3"/>
  <c r="T106" i="3" s="1"/>
  <c r="S45" i="3"/>
  <c r="S51" i="3" s="1"/>
  <c r="W32" i="12"/>
  <c r="S37" i="12"/>
  <c r="S38" i="12" s="1"/>
  <c r="X30" i="12" s="1"/>
  <c r="X32" i="12" s="1"/>
  <c r="R14" i="5"/>
  <c r="R58" i="3"/>
  <c r="R24" i="5" s="1"/>
  <c r="R13" i="5"/>
  <c r="Q19" i="5"/>
  <c r="Q77" i="3"/>
  <c r="Q3" i="3" s="1"/>
  <c r="R108" i="3"/>
  <c r="R23" i="5" l="1"/>
  <c r="F36" i="12"/>
  <c r="F40" i="12" s="1"/>
  <c r="F42" i="12" s="1"/>
  <c r="O37" i="12" s="1"/>
  <c r="O38" i="12" s="1"/>
  <c r="S108" i="3"/>
  <c r="S13" i="5"/>
  <c r="S14" i="5"/>
  <c r="S58" i="3"/>
  <c r="S24" i="5" s="1"/>
  <c r="T45" i="3"/>
  <c r="T51" i="3" s="1"/>
  <c r="U104" i="3"/>
  <c r="U106" i="3" s="1"/>
  <c r="R19" i="5"/>
  <c r="R77" i="3"/>
  <c r="R3" i="3" s="1"/>
  <c r="S23" i="5" l="1"/>
  <c r="I51" i="12"/>
  <c r="I61" i="12"/>
  <c r="T14" i="5"/>
  <c r="T58" i="3"/>
  <c r="T13" i="5"/>
  <c r="S19" i="5"/>
  <c r="S77" i="3"/>
  <c r="S3" i="3" s="1"/>
  <c r="T108" i="3"/>
  <c r="U45" i="3"/>
  <c r="U51" i="3" s="1"/>
  <c r="V104" i="3"/>
  <c r="V106" i="3" s="1"/>
  <c r="V45" i="3" l="1"/>
  <c r="V51" i="3" s="1"/>
  <c r="T19" i="5"/>
  <c r="T77" i="3"/>
  <c r="T3" i="3" s="1"/>
  <c r="U13" i="5"/>
  <c r="U14" i="5"/>
  <c r="U58" i="3"/>
  <c r="U24" i="5" s="1"/>
  <c r="T23" i="5"/>
  <c r="T24" i="5"/>
  <c r="U108" i="3"/>
  <c r="U23" i="5" l="1"/>
  <c r="V58" i="3"/>
  <c r="V23" i="5" s="1"/>
  <c r="V13" i="5"/>
  <c r="V14" i="5"/>
  <c r="U77" i="3"/>
  <c r="U3" i="3" s="1"/>
  <c r="U19" i="5"/>
  <c r="V108" i="3"/>
  <c r="V24" i="5" l="1"/>
  <c r="V19" i="5"/>
  <c r="V77" i="3"/>
  <c r="V3" i="3"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<sst xmlns="http://schemas.openxmlformats.org/spreadsheetml/2006/main" count="693" uniqueCount="519">
  <si>
    <t>Historical Information</t>
  </si>
  <si>
    <t>Other Income</t>
  </si>
  <si>
    <t>BALANCE SHEET</t>
  </si>
  <si>
    <t>ASSETS</t>
  </si>
  <si>
    <t>Intangible Assets</t>
  </si>
  <si>
    <t>Current Assets</t>
  </si>
  <si>
    <t>Inventories</t>
  </si>
  <si>
    <t>Financial Assets:</t>
  </si>
  <si>
    <t>EQUITY AND LIABILITIES</t>
  </si>
  <si>
    <t>Equity</t>
  </si>
  <si>
    <t>Equity Share Capital</t>
  </si>
  <si>
    <t>Financial Liabilities:</t>
  </si>
  <si>
    <t>Current Liabilities</t>
  </si>
  <si>
    <t>Provisions</t>
  </si>
  <si>
    <t>Current Tax Liabilities (Net)</t>
  </si>
  <si>
    <t>CASHFLOW STATEMENT</t>
  </si>
  <si>
    <t>Finance Costs</t>
  </si>
  <si>
    <t>Dividend Paid</t>
  </si>
  <si>
    <t>PROFIT &amp; LOSS STATEMENT</t>
  </si>
  <si>
    <t>REVENUE</t>
  </si>
  <si>
    <t>Revenue from Operations</t>
  </si>
  <si>
    <t>Gross Revenue from Operations</t>
  </si>
  <si>
    <t>Less: GST/VAT recovered</t>
  </si>
  <si>
    <t>Net Revenue from Operations</t>
  </si>
  <si>
    <t>Total Income</t>
  </si>
  <si>
    <t>EXPENSES</t>
  </si>
  <si>
    <t>Cost of Materials Consumed</t>
  </si>
  <si>
    <t>Purchases of Stock-in-Trade</t>
  </si>
  <si>
    <t>Changes in Inventories of Finished Goods, Stock-in-Trade and Work-in-Progress</t>
  </si>
  <si>
    <t>Employee Benefits Expenses</t>
  </si>
  <si>
    <t>Power and Fuel</t>
  </si>
  <si>
    <t>Freight and Forwarding Expenses</t>
  </si>
  <si>
    <t>Depreciation and Amortisation Expenses</t>
  </si>
  <si>
    <t>Other Expenses</t>
  </si>
  <si>
    <t>Captive Consumption of Cement</t>
  </si>
  <si>
    <t>Total Expenses</t>
  </si>
  <si>
    <t>PROFIT BEFORE TAX</t>
  </si>
  <si>
    <t>Current Tax</t>
  </si>
  <si>
    <t>Tax Expense Relating to Earlier Years (Net)</t>
  </si>
  <si>
    <t>Deferred Tax (Credit) / Charge</t>
  </si>
  <si>
    <t>PROFIT FOR THE YEAR</t>
  </si>
  <si>
    <t>Non Controlling Interest</t>
  </si>
  <si>
    <t>Tax Expense:</t>
  </si>
  <si>
    <t>Total Tax</t>
  </si>
  <si>
    <t>Non-Current Assets</t>
  </si>
  <si>
    <t>Property, Plant and Equipment</t>
  </si>
  <si>
    <t>Capital Work-in-Progress</t>
  </si>
  <si>
    <t>Right of Use Assets</t>
  </si>
  <si>
    <t>Financial Assets</t>
  </si>
  <si>
    <t>Deferred Tax Assets (Net)</t>
  </si>
  <si>
    <t>Non-Current Tax Assets (Net)</t>
  </si>
  <si>
    <t>Other Non-Current Assets</t>
  </si>
  <si>
    <t>Other Current Assets</t>
  </si>
  <si>
    <t>Other Equity</t>
  </si>
  <si>
    <t>Total Equity Attributable to Owners of the Company</t>
  </si>
  <si>
    <t>LIABILITIES</t>
  </si>
  <si>
    <t>Non-Current Liabilities</t>
  </si>
  <si>
    <t>Other Financial Liabilities</t>
  </si>
  <si>
    <t>Other Current Liabilities</t>
  </si>
  <si>
    <t>Total Equity</t>
  </si>
  <si>
    <t>Total Non-Current Assets</t>
  </si>
  <si>
    <t>Total Current Assets</t>
  </si>
  <si>
    <t>Trade Payables:</t>
  </si>
  <si>
    <t>i) Total Outstanding Dues of Micro and Small Enterprises</t>
  </si>
  <si>
    <t>ii) Total Outstanding Dues of Creditors other than Micro and Small Enterprises</t>
  </si>
  <si>
    <t>Total Current Liabilities</t>
  </si>
  <si>
    <t>Total Non-Current Liabilities</t>
  </si>
  <si>
    <t>i) Investments</t>
  </si>
  <si>
    <t>ii) Loans</t>
  </si>
  <si>
    <t>iii) Other Financial Assets</t>
  </si>
  <si>
    <t>ii) Trade Receivables</t>
  </si>
  <si>
    <t>iii) Cash and Cash Equivalents</t>
  </si>
  <si>
    <t>iv) Bank Balances other than Cash and Cash Equivalents</t>
  </si>
  <si>
    <t>v) Loans</t>
  </si>
  <si>
    <t>vi) Other Financial Assets</t>
  </si>
  <si>
    <t>TOTAL ASSETS</t>
  </si>
  <si>
    <t>i) Borrowings</t>
  </si>
  <si>
    <t>ii) Lease Liabilities</t>
  </si>
  <si>
    <t>iii) Other Financial Liabilities</t>
  </si>
  <si>
    <t>TOTAL EQUITY AND LIABILITIES</t>
  </si>
  <si>
    <t>Deferred Tax Liabilities (Net)</t>
  </si>
  <si>
    <t>Other Non-Current Liabilities</t>
  </si>
  <si>
    <t>TOTAL LIABILITIES</t>
  </si>
  <si>
    <t>Profit Before Tax</t>
  </si>
  <si>
    <t>Adjustments For :</t>
  </si>
  <si>
    <t>Foreign Exchange Rate Differences (Net)</t>
  </si>
  <si>
    <t>Bad Debts Written Off</t>
  </si>
  <si>
    <t>Allowance for Doubtful Trade Receivables (Net)</t>
  </si>
  <si>
    <t>Net (Gain)/ Loss on Sale of Investments</t>
  </si>
  <si>
    <t>(Gain)/ Loss on Fair Value of Investments through Profit or Loss</t>
  </si>
  <si>
    <t>Interest Income</t>
  </si>
  <si>
    <t>Operating Profit Before Working Capital Changes</t>
  </si>
  <si>
    <t>(Increase) / Decrease in Trade and Other Receivables</t>
  </si>
  <si>
    <t>(Increase) / Decrease in Inventories</t>
  </si>
  <si>
    <t>Increase / (Decrease) in Trade &amp; Other Payables and Provisions</t>
  </si>
  <si>
    <t>Cash Generated From Operations</t>
  </si>
  <si>
    <t>Direct Taxes Paid (Net of Refunds)</t>
  </si>
  <si>
    <t>Net Cash Flow From Operating Activities</t>
  </si>
  <si>
    <t>Proceeds from Sale of Property, Plant and Equipment</t>
  </si>
  <si>
    <t>Payments for Intangible Assets</t>
  </si>
  <si>
    <t>Purchases of Other Investments</t>
  </si>
  <si>
    <t>Proceeds from Sale/ Redemption of Other Investments</t>
  </si>
  <si>
    <t>Investments in a Subsidiary Company (Refer Note 10.4)</t>
  </si>
  <si>
    <t>Loan given to Subsidiary Company (Refer Note 10.4)</t>
  </si>
  <si>
    <t>Investments in Bank Deposits</t>
  </si>
  <si>
    <t>Maturity of Bank Deposits</t>
  </si>
  <si>
    <t>Change in Earmarked Balances with Banks (Unpaid Dividend)</t>
  </si>
  <si>
    <t>Amount Deposited in Escrow Account (Refer Note 19.1)</t>
  </si>
  <si>
    <t>Dividend Received</t>
  </si>
  <si>
    <t>Interest Received</t>
  </si>
  <si>
    <t>Net Cash Used in Investing Activities</t>
  </si>
  <si>
    <t>Proceeds from Long Term Borrowings</t>
  </si>
  <si>
    <t>Repayment of Long Term Borrowings</t>
  </si>
  <si>
    <t>Repayment of Lease Liabilities</t>
  </si>
  <si>
    <t>Interest and Financial Charges Paid</t>
  </si>
  <si>
    <t>Net Cash Used in Financing Activities</t>
  </si>
  <si>
    <t>Net (Decrease) / Increase in Cash and Cash Equivalents</t>
  </si>
  <si>
    <t>Cash and Cash Equivalents as at the beginning of the Year</t>
  </si>
  <si>
    <t>Cash and Cash Equivalents as at the end of the Year</t>
  </si>
  <si>
    <t>Acquisition of Additional Stake in Subsidiary Company from Non Controlling Interest</t>
  </si>
  <si>
    <t>Proceeds / (Repayment) of Short Term Borrowings (Net) (upto Three months maturity)</t>
  </si>
  <si>
    <t>Add: Effect of exchange rate on consolidation of Foreign Subsidiaries</t>
  </si>
  <si>
    <t>Dividend Income on Investments Classified at Fair Value through Profit or Loss</t>
  </si>
  <si>
    <t>Profit on Sale of Property, Plant and Equipment (Net) / Assets Written Off</t>
  </si>
  <si>
    <t>Purchase of Property, Plant and Equipments (Including Capital Work-in-Progress and Capital Advances)</t>
  </si>
  <si>
    <t>(Purchases) / Proceeds of Investments in Mutual Funds / Exchange Traded Funds (Net)</t>
  </si>
  <si>
    <t>Repayment received for Loan given to Subsidiary Company (Refer Note 10.4)</t>
  </si>
  <si>
    <t>Proceeds from Short Term Borrowings</t>
  </si>
  <si>
    <t>Repayment of Short Term Borrowings</t>
  </si>
  <si>
    <t>Investments in Precious Metals</t>
  </si>
  <si>
    <t>Proceeds from Sale of Precious Metals</t>
  </si>
  <si>
    <t>Provision for Doubtful Advances</t>
  </si>
  <si>
    <t>Gain on Fair Value of Interest Free SGST Loan from Government</t>
  </si>
  <si>
    <t>Gain/ (Loss) on Sale of Precious Metals</t>
  </si>
  <si>
    <t>CASH FLOW FROM FINANCING ACTIVITIES</t>
  </si>
  <si>
    <t>CASH FLOW FROM INVESTING ACTIVITIES</t>
  </si>
  <si>
    <t>CASH FLOW FROM OPERATING ACTIVITIES</t>
  </si>
  <si>
    <t>Revenue</t>
  </si>
  <si>
    <t>COGS</t>
  </si>
  <si>
    <t>Gross Profit</t>
  </si>
  <si>
    <t>Other SG&amp;A Expenses</t>
  </si>
  <si>
    <t>EBIT</t>
  </si>
  <si>
    <t>Interest</t>
  </si>
  <si>
    <t>EBT</t>
  </si>
  <si>
    <t>Taxes</t>
  </si>
  <si>
    <t>PAT</t>
  </si>
  <si>
    <t>EBITDA</t>
  </si>
  <si>
    <t>Employee Salaries and Benefits</t>
  </si>
  <si>
    <t>Depreciation &amp; Amortization</t>
  </si>
  <si>
    <t>Forecasted Information</t>
  </si>
  <si>
    <t>Other Income (Expenses)</t>
  </si>
  <si>
    <t>Cash &amp; Equivalents</t>
  </si>
  <si>
    <t>Bank Deposits</t>
  </si>
  <si>
    <t>Account Receivables</t>
  </si>
  <si>
    <t>Inventory</t>
  </si>
  <si>
    <t>Current Investments</t>
  </si>
  <si>
    <t>Intangibles</t>
  </si>
  <si>
    <t>Account Payables</t>
  </si>
  <si>
    <t>Non- Current Liabilities</t>
  </si>
  <si>
    <t>Debt</t>
  </si>
  <si>
    <t>LIABILITIES:</t>
  </si>
  <si>
    <t>ASSETS:</t>
  </si>
  <si>
    <t>EQUITY</t>
  </si>
  <si>
    <t>TOTAL LIABILITIES AND EQUITY</t>
  </si>
  <si>
    <t>Check</t>
  </si>
  <si>
    <t>INCOME</t>
  </si>
  <si>
    <t>CASHFLOW FROM OPERATIONS</t>
  </si>
  <si>
    <t>Net Earnings</t>
  </si>
  <si>
    <t>Plus: D&amp;A</t>
  </si>
  <si>
    <t>Plus/Less: Adj. for Non Operating Items</t>
  </si>
  <si>
    <t>Plus/Less: Adj. for Working Capital (Operating Assets &amp; Liabilities)</t>
  </si>
  <si>
    <t>Cash from Operations</t>
  </si>
  <si>
    <t>CASHFLOW FROM INVESTING ACTIVITIES</t>
  </si>
  <si>
    <t>Investments in PP&amp;E</t>
  </si>
  <si>
    <t>Sale of PP&amp;E</t>
  </si>
  <si>
    <t>Cash from Investing Activities</t>
  </si>
  <si>
    <t>Net of Investments (including MFs, Precious metals, Loan to subsidiaries etc.)</t>
  </si>
  <si>
    <t>Dividend and Interest Received</t>
  </si>
  <si>
    <t>Bank Deposits and Balances</t>
  </si>
  <si>
    <t>CASHFLOW FROM FINANCING ACTIVITIES</t>
  </si>
  <si>
    <t>Issuance/ (Repayment) of Debt</t>
  </si>
  <si>
    <t>Cash from Financing Activities</t>
  </si>
  <si>
    <t>Net Increase/ (Decrease) in Cash</t>
  </si>
  <si>
    <t>Cash and Equivalents at the end of the Year</t>
  </si>
  <si>
    <t>Supporting Schedules</t>
  </si>
  <si>
    <t>Working Capital Schedule</t>
  </si>
  <si>
    <t>Other</t>
  </si>
  <si>
    <t>Total</t>
  </si>
  <si>
    <t>PP&amp;E Schedule</t>
  </si>
  <si>
    <t>Opening PP&amp;E</t>
  </si>
  <si>
    <t>Plus: Capex</t>
  </si>
  <si>
    <t>Less: Depreciation</t>
  </si>
  <si>
    <t>Closing PP&amp;E</t>
  </si>
  <si>
    <t>DEBT SCHEDULE</t>
  </si>
  <si>
    <t>Opening Debt Balance</t>
  </si>
  <si>
    <t>Closing Debt Balance</t>
  </si>
  <si>
    <t>PP&amp;E</t>
  </si>
  <si>
    <t>Ratio Analysis and Interpretation</t>
  </si>
  <si>
    <t>Revenue Growth</t>
  </si>
  <si>
    <t>Salaries and Benefits (% of Revenue)</t>
  </si>
  <si>
    <t>Other SG&amp;A Expenses (% of Revenue)</t>
  </si>
  <si>
    <t>Depreciation (% of PP&amp;E)</t>
  </si>
  <si>
    <t>Interest (% of Debt)</t>
  </si>
  <si>
    <t>Taxes (% of EBT)</t>
  </si>
  <si>
    <t>Dividend Payout</t>
  </si>
  <si>
    <t>Days Inventory Outstanding (DIO)</t>
  </si>
  <si>
    <t>%</t>
  </si>
  <si>
    <t>Days</t>
  </si>
  <si>
    <r>
      <rPr>
        <b/>
        <sz val="11"/>
        <color theme="1"/>
        <rFont val="Calibri"/>
        <family val="2"/>
      </rPr>
      <t>₹</t>
    </r>
    <r>
      <rPr>
        <b/>
        <sz val="9"/>
        <color theme="1"/>
        <rFont val="Book Antiqua"/>
        <family val="2"/>
      </rPr>
      <t xml:space="preserve"> in Cr</t>
    </r>
  </si>
  <si>
    <r>
      <t>Historical Information</t>
    </r>
    <r>
      <rPr>
        <i/>
        <sz val="8"/>
        <color theme="0"/>
        <rFont val="Book Antiqua"/>
        <family val="1"/>
      </rPr>
      <t xml:space="preserve"> </t>
    </r>
    <r>
      <rPr>
        <i/>
        <sz val="9"/>
        <color theme="0"/>
        <rFont val="Book Antiqua"/>
        <family val="1"/>
      </rPr>
      <t>(All figures in INR Cr. Unless stated otherwise)</t>
    </r>
  </si>
  <si>
    <r>
      <t>Financial Statements</t>
    </r>
    <r>
      <rPr>
        <i/>
        <sz val="12"/>
        <color theme="0"/>
        <rFont val="Book Antiqua"/>
        <family val="1"/>
      </rPr>
      <t xml:space="preserve"> </t>
    </r>
    <r>
      <rPr>
        <i/>
        <sz val="9"/>
        <color theme="0"/>
        <rFont val="Book Antiqua"/>
        <family val="1"/>
      </rPr>
      <t>(All figures in INR Cr. Unless stated otherwise)</t>
    </r>
  </si>
  <si>
    <t>Gross Margin</t>
  </si>
  <si>
    <t>EBITDA Margin</t>
  </si>
  <si>
    <t>Operating Margin</t>
  </si>
  <si>
    <t>Pretax Margin</t>
  </si>
  <si>
    <t>Net Margin</t>
  </si>
  <si>
    <t>LIQUIDITY RATIOS</t>
  </si>
  <si>
    <t>PROFITABILITY RATIOS</t>
  </si>
  <si>
    <t>Current Ratio</t>
  </si>
  <si>
    <t>Quick Ratio</t>
  </si>
  <si>
    <t>Cash Cycle</t>
  </si>
  <si>
    <t>Times</t>
  </si>
  <si>
    <t>LEVERAGE RATIOS</t>
  </si>
  <si>
    <t>Debt/Equity Ratio</t>
  </si>
  <si>
    <t>Asset/Equity Ratio</t>
  </si>
  <si>
    <t>Debt/Capital Ratio</t>
  </si>
  <si>
    <t xml:space="preserve">DuPont/ Earning Power </t>
  </si>
  <si>
    <t>Asset Turnover Ratio</t>
  </si>
  <si>
    <t>Pre-Tax ROA</t>
  </si>
  <si>
    <t>Pre-Tax ROE</t>
  </si>
  <si>
    <t>Tax Complement</t>
  </si>
  <si>
    <t>ROE</t>
  </si>
  <si>
    <t>Equity Retention</t>
  </si>
  <si>
    <t>Reinvestment Rate</t>
  </si>
  <si>
    <t>OPERATING RATIOS</t>
  </si>
  <si>
    <t>AR Turnover</t>
  </si>
  <si>
    <t>Inventory Turnover</t>
  </si>
  <si>
    <t>AP Turnover</t>
  </si>
  <si>
    <t>ROIC</t>
  </si>
  <si>
    <t>Shareholder's Equity</t>
  </si>
  <si>
    <t>Revenue Scenarios</t>
  </si>
  <si>
    <t>Scenarios</t>
  </si>
  <si>
    <t>Bull Case</t>
  </si>
  <si>
    <t>Base Case</t>
  </si>
  <si>
    <t>Bear Case</t>
  </si>
  <si>
    <t>Growth %</t>
  </si>
  <si>
    <t>Tapering</t>
  </si>
  <si>
    <t>Particulars</t>
  </si>
  <si>
    <t>FY 2020-21</t>
  </si>
  <si>
    <t>FY 2021-22</t>
  </si>
  <si>
    <t>FY 2022-23</t>
  </si>
  <si>
    <t>FY 2023-24</t>
  </si>
  <si>
    <t>FY 2024-25</t>
  </si>
  <si>
    <t>Total Revenue from Ops (₹ Cr)</t>
  </si>
  <si>
    <t>1. Cement &amp; Clinker</t>
  </si>
  <si>
    <t>- Revenue Contribution (₹ Cr)</t>
  </si>
  <si>
    <t>13,017.67</t>
  </si>
  <si>
    <t>- Volume (Million Tonnes)</t>
  </si>
  <si>
    <t>2. Power Sales</t>
  </si>
  <si>
    <t>105.98</t>
  </si>
  <si>
    <t>- Volume</t>
  </si>
  <si>
    <t>Captive/Grid</t>
  </si>
  <si>
    <t>3. Others (Traded/Misc.)</t>
  </si>
  <si>
    <t>436.12</t>
  </si>
  <si>
    <t>Contribution %</t>
  </si>
  <si>
    <t>Master Check</t>
  </si>
  <si>
    <t>LIVE SCENARIO</t>
  </si>
  <si>
    <t>Comparable Companies's Financial Information</t>
  </si>
  <si>
    <t>Ticker</t>
  </si>
  <si>
    <t>Share Price</t>
  </si>
  <si>
    <t>Company</t>
  </si>
  <si>
    <t>Stock Price</t>
  </si>
  <si>
    <t>Weighted Avg. Shares Outstanding Dil</t>
  </si>
  <si>
    <t>Market Cap</t>
  </si>
  <si>
    <t>Total Debt</t>
  </si>
  <si>
    <t>Total Cash And Short Term Investments</t>
  </si>
  <si>
    <t>Total Revenues</t>
  </si>
  <si>
    <t>Effective Tax Rate</t>
  </si>
  <si>
    <t>EV/EBITDA</t>
  </si>
  <si>
    <t>Shree Cement Limited</t>
  </si>
  <si>
    <t>SHREECEM</t>
  </si>
  <si>
    <t>UltraTech Cement Limited</t>
  </si>
  <si>
    <t>ULTRACEMCO</t>
  </si>
  <si>
    <t>Ambuja Cements Limited</t>
  </si>
  <si>
    <t>500425</t>
  </si>
  <si>
    <t>Dalmia Bharat Limited</t>
  </si>
  <si>
    <t>DALBHARAT</t>
  </si>
  <si>
    <t>ACC Limited</t>
  </si>
  <si>
    <t>ACC</t>
  </si>
  <si>
    <t>J.K. Cement Limited</t>
  </si>
  <si>
    <t>532644</t>
  </si>
  <si>
    <t>The Ramco Cements Limited</t>
  </si>
  <si>
    <t>RAMCOCEM</t>
  </si>
  <si>
    <t>Net Income</t>
  </si>
  <si>
    <t>Comps Valuation</t>
  </si>
  <si>
    <t>Company Name</t>
  </si>
  <si>
    <t>Enterprise Value</t>
  </si>
  <si>
    <t>EV/Sales</t>
  </si>
  <si>
    <t>P/E Ratio</t>
  </si>
  <si>
    <t>INR/Share</t>
  </si>
  <si>
    <t>Shares</t>
  </si>
  <si>
    <t>In Cr.</t>
  </si>
  <si>
    <t>In INR Cr.</t>
  </si>
  <si>
    <t>in INR Cr.</t>
  </si>
  <si>
    <t>Sales</t>
  </si>
  <si>
    <t>Earnings</t>
  </si>
  <si>
    <t>Effective</t>
  </si>
  <si>
    <t>Tax Rate</t>
  </si>
  <si>
    <t>Valuation Metrices</t>
  </si>
  <si>
    <t>Market Data</t>
  </si>
  <si>
    <t>Financial Data</t>
  </si>
  <si>
    <t>Equivalents</t>
  </si>
  <si>
    <t xml:space="preserve">Cash and </t>
  </si>
  <si>
    <t>Average</t>
  </si>
  <si>
    <t>Median</t>
  </si>
  <si>
    <t>Metric</t>
  </si>
  <si>
    <t>Comps</t>
  </si>
  <si>
    <t>EV/</t>
  </si>
  <si>
    <t>EV</t>
  </si>
  <si>
    <t>Net Debt</t>
  </si>
  <si>
    <t>Equity Value</t>
  </si>
  <si>
    <t>Shares Outstanding</t>
  </si>
  <si>
    <t>Market Returns</t>
  </si>
  <si>
    <t>Date</t>
  </si>
  <si>
    <t>Index Closing Price</t>
  </si>
  <si>
    <t>Index</t>
  </si>
  <si>
    <t>Yearfrac</t>
  </si>
  <si>
    <t>10Y Risk free rate</t>
  </si>
  <si>
    <t>Weighted-Average Cost of Capital (WACC)</t>
  </si>
  <si>
    <t>Comparable Company Data</t>
  </si>
  <si>
    <t>Debt/</t>
  </si>
  <si>
    <t>Capital</t>
  </si>
  <si>
    <t>Beta</t>
  </si>
  <si>
    <t>Levered</t>
  </si>
  <si>
    <t xml:space="preserve">Unlevered </t>
  </si>
  <si>
    <t>Value</t>
  </si>
  <si>
    <t>WACC</t>
  </si>
  <si>
    <t xml:space="preserve"> </t>
  </si>
  <si>
    <t>WACC Calculation</t>
  </si>
  <si>
    <t>Target Capital Structure</t>
  </si>
  <si>
    <t>Proportion of Debt</t>
  </si>
  <si>
    <t>Proportion of Equity</t>
  </si>
  <si>
    <t>Current Capital Structure</t>
  </si>
  <si>
    <t>Debt/Equity</t>
  </si>
  <si>
    <t>Cost of Debt</t>
  </si>
  <si>
    <t>Pre-Tax Cost of Debt</t>
  </si>
  <si>
    <t>After Tax Cost of Debt</t>
  </si>
  <si>
    <t>Cost of Equity</t>
  </si>
  <si>
    <t>Risk Free Rate</t>
  </si>
  <si>
    <t>Equity Market Return</t>
  </si>
  <si>
    <t>Equity Risk Premium</t>
  </si>
  <si>
    <t>Levered Equity Beta</t>
  </si>
  <si>
    <t>Beta Calculation</t>
  </si>
  <si>
    <t>% Change Monthly</t>
  </si>
  <si>
    <t>Stock Close Price</t>
  </si>
  <si>
    <t>(Using Slope)</t>
  </si>
  <si>
    <t>(Using Regression)</t>
  </si>
  <si>
    <t>Min. (In Last 12 months)</t>
  </si>
  <si>
    <t>Max. (In Last 12 months)</t>
  </si>
  <si>
    <t>BSE Sensex 30, 5 Year Monthly data</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</si>
  <si>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</si>
  <si>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</si>
  <si>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</si>
  <si>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</si>
  <si>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</si>
  <si>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</si>
  <si>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</si>
  <si>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</si>
  <si>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</si>
  <si>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</si>
  <si>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</si>
  <si>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</si>
  <si>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</si>
  <si>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</si>
  <si>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</si>
  <si>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</si>
  <si>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</si>
  <si>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</si>
  <si>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</si>
  <si>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</si>
  <si>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</si>
  <si>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</si>
  <si>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</si>
  <si>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</si>
  <si>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Discounted Cashflow Analysis- Valuation</t>
  </si>
  <si>
    <t>DCF Valuation</t>
  </si>
  <si>
    <t>Assumptions</t>
  </si>
  <si>
    <t>Transaction Date</t>
  </si>
  <si>
    <t>Fiscal year end</t>
  </si>
  <si>
    <t>EV/EBITDA Multiple</t>
  </si>
  <si>
    <t>Perpetual Growth Rate</t>
  </si>
  <si>
    <t>Discount rate (WACC)</t>
  </si>
  <si>
    <t>Shared Outstanding (in Cr.)</t>
  </si>
  <si>
    <t>Current Market Price</t>
  </si>
  <si>
    <t>Unlevered Free Cash Flow</t>
  </si>
  <si>
    <t>Discounted  Cash Flow</t>
  </si>
  <si>
    <t>Entry Date</t>
  </si>
  <si>
    <t>Exit</t>
  </si>
  <si>
    <t>Time Period</t>
  </si>
  <si>
    <t>Less: Cash Tax</t>
  </si>
  <si>
    <t>NOPAT</t>
  </si>
  <si>
    <t>Less: Capex</t>
  </si>
  <si>
    <t>Less: Changes in Net WC</t>
  </si>
  <si>
    <t>Terminal Value</t>
  </si>
  <si>
    <t>Perpetual Growth</t>
  </si>
  <si>
    <t>Transaction Cash flow</t>
  </si>
  <si>
    <t>Intrinsic Value (Using Implied Value)</t>
  </si>
  <si>
    <t>Plus: Cash and Equivalents (Inc. financial Assets)</t>
  </si>
  <si>
    <t>Less: Debt</t>
  </si>
  <si>
    <t>Less: Non- Controlling Interest</t>
  </si>
  <si>
    <t>Equity Value per Share</t>
  </si>
  <si>
    <t>(Target Price)</t>
  </si>
  <si>
    <t>Market Value (Using Facts)</t>
  </si>
  <si>
    <t>Plus: Debt</t>
  </si>
  <si>
    <t>Less: Cash &amp; Equivalents (Inc. Fin Assets)</t>
  </si>
  <si>
    <t>Plus: NCI</t>
  </si>
  <si>
    <t>Equity Value Per Share</t>
  </si>
  <si>
    <t>(Market Price)</t>
  </si>
  <si>
    <t>Rate of Return</t>
  </si>
  <si>
    <t>Market Price</t>
  </si>
  <si>
    <t>Target Price</t>
  </si>
  <si>
    <t>Potential</t>
  </si>
  <si>
    <t>SENSITIVITY ANALYSIS</t>
  </si>
  <si>
    <t>Sensitivity Analysis (Intrinsic Value (INR/Share)</t>
  </si>
  <si>
    <t>Discount Rate</t>
  </si>
  <si>
    <t>Exit multiple</t>
  </si>
  <si>
    <t>Football Field Data</t>
  </si>
  <si>
    <t>Valuation Summary- Football Field Chart</t>
  </si>
  <si>
    <t>High</t>
  </si>
  <si>
    <t>Low</t>
  </si>
  <si>
    <t>DCF</t>
  </si>
  <si>
    <t>52-week High/Low</t>
  </si>
  <si>
    <t>Market Consensus</t>
  </si>
  <si>
    <t>Valuation Summary</t>
  </si>
  <si>
    <t>Financial Modelling and Valuation Analysis</t>
  </si>
  <si>
    <t>xxxx</t>
  </si>
  <si>
    <t>Inputs / Assumptions</t>
  </si>
  <si>
    <t>Formulae</t>
  </si>
  <si>
    <t>Linking/ Reference cell</t>
  </si>
  <si>
    <t>INDEX</t>
  </si>
  <si>
    <t>Revenue Growth Scenarios</t>
  </si>
  <si>
    <t>Comps Data</t>
  </si>
  <si>
    <t>Financial Statements</t>
  </si>
  <si>
    <t>Sensitivity Analysis</t>
  </si>
  <si>
    <t>Ratio Analysis &amp; Interpretation</t>
  </si>
  <si>
    <t>Shree Cement Ltd.</t>
  </si>
  <si>
    <t>Sub-Industry:  Cement &amp; Construction Materials</t>
  </si>
  <si>
    <t>Company Description</t>
  </si>
  <si>
    <t>ISIN Code</t>
  </si>
  <si>
    <t>INE071E01023</t>
  </si>
  <si>
    <t>Sector Name</t>
  </si>
  <si>
    <t>Industry</t>
  </si>
  <si>
    <t>Exchange Name</t>
  </si>
  <si>
    <t>Website</t>
  </si>
  <si>
    <t>Basic Materials</t>
  </si>
  <si>
    <t>Construction Materials</t>
  </si>
  <si>
    <t>NSE: SHREECEM, BSE: 500387</t>
  </si>
  <si>
    <t>https://www.shreecement.com/</t>
  </si>
  <si>
    <t>Shree Cement Limited, incorporated in 1979 and headquartered in Kolkata, is India's third-largest cement manufacturer by capacity. Among India's top four cement companies- Shree Cement is aggressively expanding capacity, targeting 80 MTPA by FY28 from its current 56.4 MTPA, commanding approximately 8-9% of India's total installed cement capacity. Operating under marquee brands- Bangur Cement, Rockstrong, and Shree Ultra, it dominates North and East Indian markets. The company also operates 888.6 MW of captive power, giving it a structural cost advantage over peers.</t>
  </si>
  <si>
    <t>Scenario</t>
  </si>
  <si>
    <t>Company Data</t>
  </si>
  <si>
    <t>Amount</t>
  </si>
  <si>
    <t>No of Outstanding shares</t>
  </si>
  <si>
    <t>Unit</t>
  </si>
  <si>
    <t>Face Value per share</t>
  </si>
  <si>
    <t>Rs.</t>
  </si>
  <si>
    <t>Market Capitalisation</t>
  </si>
  <si>
    <t>Perpetual Growth rate</t>
  </si>
  <si>
    <t>10 year Bond yield rate</t>
  </si>
  <si>
    <t>Rs. in Cr.</t>
  </si>
  <si>
    <t>Particular</t>
  </si>
  <si>
    <t>Revenue Buildup</t>
  </si>
  <si>
    <t>Cost Buildup</t>
  </si>
  <si>
    <t>COGS, Employee Salaries &amp; Benefits, Freight &amp; Forwarding Expenses, and Other SG&amp;A Expenses are each modelled as a percentage of revenue, held constant at their respective historical average ratios derived from FY2021–FY2025 data. These cost heads are operationally linked to revenue and have shown stable trends historically, making the average % of revenue the most reliable forecast anchor.</t>
  </si>
  <si>
    <t>Interest is computed as a % of opening debt balance, assumed to grow at the historical average rate, This approach reflects a stable borrowing cost assumption absent any guidance on refinancing or new debt issuances.</t>
  </si>
  <si>
    <t>Other Income is modelled as a % of revenue, assumed to grow at the historical average, keeping it constant throughout the forecast period.</t>
  </si>
  <si>
    <t>Balance Sheet Items</t>
  </si>
  <si>
    <t>I have averaged historical Capex over FY2021–FY2025 and assumed it to grow at average growth rate of historical years while stepping up by 0.5% per year through the forecast period. The adjusted Capex is allocated to PP&amp;E in proportion to the asset composition observed in FY2025 (the latest audited year).</t>
  </si>
  <si>
    <t>PP&amp;E is forecasted using PP&amp;E Schedule, Opening PP&amp;E for each year is sourced from the closing balance of the prior year. Capex additions and depreciation charges are computed from the Depreciation Schedule in the Working Schedules tab.</t>
  </si>
  <si>
    <t>Bank Deposits, Current investments, Other Current Assets, Financial Assets, Other Non-Current Assets, Other Current &amp; Non-Current Liabilities are held constant at their FY2025 audited levels throughout the forecast period As no company disclosures, management guidance, or industry data were available to support a directional assumption.</t>
  </si>
  <si>
    <t>Dividend payout is also assumed to grow at the average historical growth rate (18.42%), keeping it constant throughout the forecast period.</t>
  </si>
  <si>
    <t>Equity Share Capital is held constant at the FY2025 level of ₹36.1 Cr. throughout the forecast period. The company has not announced any plans for a rights issue, ESOP dilution, or buyback, and the face value remains unchanged.</t>
  </si>
  <si>
    <t>Cash and Cash Equivalents serve as the balancing figure in the Balance Sheet for each forecast year. The closing cash balance is derived from the Cash Flow Statement (Operating + Investing + Financing cash flows), ensuring internal consistency across all three financial statements.</t>
  </si>
  <si>
    <t>DSO, DIO, and DPO are computed using a 365-day convention and assumed to grow at their respective historical average growth rates derived from FY2021–FY2025 data. These ratios are then used to back-calculate Trade Receivables, Inventory, and Trade Payables as a function of Revenue and COGS respectively in each forecast year.</t>
  </si>
  <si>
    <t>Working Capital</t>
  </si>
  <si>
    <t>Trade Receivables, Inventory, and Trade Payables are forecasted using the working capital turnover ratios (DSO, DIO, DPO) derived from historical averages. All three are grown at their historical average rates and are directly linked to the Revenue and COGS drivers in the Income Statement, maintaining operational consistency in working capital modeling.</t>
  </si>
  <si>
    <r>
      <rPr>
        <b/>
        <i/>
        <sz val="11"/>
        <color theme="1"/>
        <rFont val="Book Antiqua"/>
        <family val="1"/>
      </rPr>
      <t>Check=&gt;</t>
    </r>
    <r>
      <rPr>
        <i/>
        <sz val="11"/>
        <color theme="1"/>
        <rFont val="Book Antiqua"/>
        <family val="1"/>
      </rPr>
      <t xml:space="preserve"> Cash in BS is = Closing Cash in CF</t>
    </r>
  </si>
  <si>
    <t>Cash flow items</t>
  </si>
  <si>
    <t>Sale of PP&amp;E, Net of Investments (including MFs, Precious metals, Loan to subsidiaries etc.), and Bank Deposits and Balances are assumed to be zero throughout the forecast period. No investment disposal activity has been disclosed by the company or is expected based on available information.</t>
  </si>
  <si>
    <t>Divident payment is assumed to be made only in case of Net profit, I have assumed if the Net profits is below 0, The company pays no dividends.</t>
  </si>
  <si>
    <t>Debt is forecasted using Debt Schedule, Opening debt for each year is sourced from the closing balance of the previous year.</t>
  </si>
  <si>
    <t>No information is given regarding issuance or repayment of debt, hense the Issuance and repayment of debt is assumed to be Zero throughout the forecast period.</t>
  </si>
  <si>
    <t>Schedules</t>
  </si>
  <si>
    <t>DCF Assumptions</t>
  </si>
  <si>
    <t>Perpetual Growth Rate: Set at 4.0% to calculate Terminal value.</t>
  </si>
  <si>
    <t>Risk free rate: Set to 6.93%, derived from 10Y Indian bond yield. This is consistent with India's historical real GDP trajectory of ~6–7% adjusted for long-term inflation normalization.</t>
  </si>
  <si>
    <t>Freight And Forward Expenses</t>
  </si>
  <si>
    <t>Inter Unit Clinker Transfer</t>
  </si>
  <si>
    <t>Ratios and Assumptions</t>
  </si>
  <si>
    <t>Taxes are modelled as a % of EBT as FY2025 taken as base, with a +0.5% step-up in every two years, converging gradually toward the statutory rate of 30%.</t>
  </si>
  <si>
    <t>Trend</t>
  </si>
  <si>
    <t>Intagibles in Non-current assets and Non controlling Interest are straightlined throughout the forecast period as per FY25</t>
  </si>
  <si>
    <t>I have averaged historical Depreciation over FY2021–FY2025 and assumed it to grow at average growth rate of historical years while stepping up by 1.0% once in every 3 years through the forecast period starting from Latest forecast year i.e. FY26</t>
  </si>
  <si>
    <t>Repayment of Lease Liabilities is assumed to be zero throughout the forecast period as no relevant guideline is given by the management.</t>
  </si>
  <si>
    <t>Back to Cover</t>
  </si>
  <si>
    <t>WACC: Derived it using CAPM method of cost of equity calculation.</t>
  </si>
  <si>
    <t xml:space="preserve">D&amp;A is modelled as a % of opening PP&amp;E, assumed +1% step-up in every 3 years starting from FY26 - keeping FY25 as anchor, which is reflecting Shree Cement's aggressive capacity expansion and deepening asset base. </t>
  </si>
  <si>
    <t>Although the other companies such as JK Cement, Ambuja Cement etc are expecting double digit growth, I have used conservative approach and followed the Management guidance. As per Q3 FY26 Concall, the Management expects the industry demand to be around 7.5-8.0%, Shree Cement expects to grow at least in line with the industry, Hence i have assumed the Revenue growth rate of 7.5% for FY26 as the Anchor to forecast throughout the forecast period, though historically Shree has outpaced it.  A +2.5% premium was applied for the Bull Case (10%) to reflect accelerated capacity exansion which is projected in upcoming years, and a -2.5% haircut for the Bear Case (5%) to adjust for demand softness, pricing pressure, or execution delays.</t>
  </si>
  <si>
    <t/>
  </si>
  <si>
    <t>-Shree cement, 'Q3 FY26 Concall Transcript</t>
  </si>
  <si>
    <t>Nifty 50 Total Return Index (Daily Returns)</t>
  </si>
  <si>
    <t>Valuation Summary- Football Field Analysis</t>
  </si>
  <si>
    <t>Interest and Financial Charges Paid is linked with the P&amp;L Interest income throughout the forecast period.</t>
  </si>
  <si>
    <t>During Revenue Growth Scenario, Tapering of 7.5% is taken assuming 4% of Growth rate in long run after the forecast period ends in base case Scenario.</t>
  </si>
  <si>
    <t>Industry         :  Construction Materials</t>
  </si>
  <si>
    <t>Analyst          :  Manish Rathour</t>
  </si>
  <si>
    <t>Sector             :  Basic Materials</t>
  </si>
  <si>
    <t>Ticker             :  NSE: SHREECEM, BSE: 500387</t>
  </si>
  <si>
    <t>Company       :  Shree Cement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</si>
</sst>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 &quot;₹&quot;\ * #,##0.00_ ;_ &quot;₹&quot;\ * \-#,##0.00_ ;_ &quot;₹&quot;\ * &quot;-&quot;??_ ;_ @_ "/>
    <numFmt numFmtId="43" formatCode="_ * #,##0.00_ ;_ * \-#,##0.00_ ;_ * &quot;-&quot;??_ ;_ @_ "/>
    <numFmt numFmtId="164" formatCode="#&quot;A&quot;"/>
    <numFmt numFmtId="165" formatCode="#&quot;F&quot;"/>
    <numFmt numFmtId="166" formatCode="#,##0.00;\(#,##0\);&quot;-&quot;"/>
    <numFmt numFmtId="167" formatCode="#,##0.0;\(#,##0.0\);\-"/>
    <numFmt numFmtId="168" formatCode="0.0%"/>
    <numFmt numFmtId="169" formatCode="#,##0.0\x"/>
    <numFmt numFmtId="170" formatCode="#,##0.00\x"/>
    <numFmt numFmtId="171" formatCode="0.00\x"/>
    <numFmt numFmtId="172" formatCode="0.0\x"/>
    <numFmt numFmtId="173" formatCode="0.0"/>
    <numFmt numFmtId="174" formatCode="#,##0.0"/>
    <numFmt numFmtId="175" formatCode="#"/>
    <numFmt numFmtId="176" formatCode="#,##0;\(#,##0\);&quot;-&quot;"/>
    <numFmt numFmtId="177" formatCode="_ * #,##0_ ;_ * \-#,##0_ ;_ * &quot;-&quot;??_ ;_ @_ "/>
  </numFmts>
  <fonts count="35" x14ac:knownFonts="1">
    <font>
      <sz val="11"/>
      <color theme="1"/>
      <name val="Book Antiqua"/>
      <family val="2"/>
    </font>
    <font>
      <sz val="25"/>
      <color theme="0"/>
      <name val="Book Antiqua"/>
      <family val="1"/>
    </font>
    <font>
      <sz val="11"/>
      <color theme="0"/>
      <name val="Book Antiqua"/>
      <family val="1"/>
    </font>
    <font>
      <sz val="11"/>
      <color theme="1"/>
      <name val="Book Antiqua"/>
      <family val="1"/>
    </font>
    <font>
      <b/>
      <sz val="11"/>
      <color theme="0"/>
      <name val="Book Antiqua"/>
      <family val="1"/>
    </font>
    <font>
      <sz val="12"/>
      <color theme="0"/>
      <name val="Book Antiqua"/>
      <family val="1"/>
    </font>
    <font>
      <sz val="12"/>
      <color theme="1"/>
      <name val="Book Antiqua"/>
      <family val="1"/>
    </font>
    <font>
      <b/>
      <sz val="12"/>
      <color theme="0"/>
      <name val="Book Antiqua"/>
      <family val="1"/>
    </font>
    <font>
      <b/>
      <sz val="11"/>
      <color theme="1"/>
      <name val="Book Antiqua"/>
      <family val="1"/>
    </font>
    <font>
      <sz val="11"/>
      <color rgb="FF0070C0"/>
      <name val="Book Antiqua"/>
      <family val="1"/>
    </font>
    <font>
      <i/>
      <sz val="11"/>
      <color theme="1"/>
      <name val="Book Antiqua"/>
      <family val="1"/>
    </font>
    <font>
      <sz val="11"/>
      <color theme="1"/>
      <name val="Book Antiqua"/>
      <family val="2"/>
    </font>
    <font>
      <b/>
      <sz val="11"/>
      <color theme="1"/>
      <name val="Book Antiqua"/>
      <family val="2"/>
    </font>
    <font>
      <b/>
      <sz val="11"/>
      <color rgb="FF0070C0"/>
      <name val="Book Antiqua"/>
      <family val="1"/>
    </font>
    <font>
      <sz val="11"/>
      <color rgb="FF00B050"/>
      <name val="Book Antiqua"/>
      <family val="2"/>
    </font>
    <font>
      <sz val="11"/>
      <color rgb="FF0070C0"/>
      <name val="Book Antiqua"/>
      <family val="2"/>
    </font>
    <font>
      <b/>
      <sz val="11"/>
      <color theme="1"/>
      <name val="Calibri"/>
      <family val="2"/>
    </font>
    <font>
      <b/>
      <sz val="9"/>
      <color theme="1"/>
      <name val="Book Antiqua"/>
      <family val="2"/>
    </font>
    <font>
      <i/>
      <sz val="8"/>
      <color theme="0"/>
      <name val="Book Antiqua"/>
      <family val="1"/>
    </font>
    <font>
      <i/>
      <sz val="9"/>
      <color theme="0"/>
      <name val="Book Antiqua"/>
      <family val="1"/>
    </font>
    <font>
      <i/>
      <sz val="12"/>
      <color theme="0"/>
      <name val="Book Antiqua"/>
      <family val="1"/>
    </font>
    <font>
      <b/>
      <sz val="11"/>
      <color rgb="FF00B050"/>
      <name val="Book Antiqua"/>
      <family val="1"/>
    </font>
    <font>
      <i/>
      <sz val="11"/>
      <color theme="1"/>
      <name val="Book Antiqua"/>
      <family val="2"/>
    </font>
    <font>
      <b/>
      <sz val="12"/>
      <color theme="1"/>
      <name val="Book Antiqua"/>
      <family val="1"/>
    </font>
    <font>
      <sz val="11"/>
      <color rgb="FF00B0F0"/>
      <name val="Book Antiqua"/>
      <family val="2"/>
    </font>
    <font>
      <sz val="12"/>
      <color rgb="FF002060"/>
      <name val="Book Antiqua"/>
      <family val="1"/>
    </font>
    <font>
      <sz val="11"/>
      <color theme="0"/>
      <name val="Book Antiqua"/>
      <family val="2"/>
    </font>
    <font>
      <sz val="11"/>
      <color rgb="FF00B050"/>
      <name val="Book Antiqua"/>
      <family val="1"/>
    </font>
    <font>
      <u/>
      <sz val="11"/>
      <color theme="10"/>
      <name val="Book Antiqua"/>
      <family val="2"/>
    </font>
    <font>
      <b/>
      <u/>
      <sz val="36"/>
      <color theme="0"/>
      <name val="Book Antiqua"/>
      <family val="1"/>
    </font>
    <font>
      <sz val="14"/>
      <color theme="0"/>
      <name val="Book Antiqua"/>
      <family val="1"/>
    </font>
    <font>
      <b/>
      <u/>
      <sz val="18"/>
      <color theme="0"/>
      <name val="Book Antiqua"/>
      <family val="1"/>
    </font>
    <font>
      <u/>
      <sz val="11"/>
      <color theme="0"/>
      <name val="Book Antiqua"/>
      <family val="2"/>
    </font>
    <font>
      <b/>
      <i/>
      <sz val="11"/>
      <color theme="1"/>
      <name val="Book Antiqua"/>
      <family val="1"/>
    </font>
    <font>
      <i/>
      <u/>
      <sz val="11"/>
      <color theme="10"/>
      <name val="Book Antiqua"/>
      <family val="1"/>
    </font>
  </fonts>
  <fills count="6">
    <fill>
      <patternFill patternType="none"/>
    </fill>
    <fill>
      <patternFill patternType="gray125"/>
    </fill>
    <fill>
      <patternFill patternType="solid">
        <fgColor theme="3" tint="9.9978637043366805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19">
    <border>
      <left/>
      <right/>
      <top/>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bottom style="double">
        <color indexed="64"/>
      </bottom>
      <diagonal/>
    </border>
    <border>
      <left/>
      <right/>
      <top/>
      <bottom style="thick">
        <color theme="0"/>
      </bottom>
      <diagonal/>
    </border>
    <border>
      <left/>
      <right style="thick">
        <color theme="1"/>
      </right>
      <top/>
      <bottom/>
      <diagonal/>
    </border>
    <border>
      <left/>
      <right/>
      <top style="thin">
        <color theme="1"/>
      </top>
      <bottom/>
      <diagonal/>
    </border>
    <border>
      <left/>
      <right/>
      <top style="thin">
        <color theme="1"/>
      </top>
      <bottom style="double">
        <color theme="1"/>
      </bottom>
      <diagonal/>
    </border>
    <border>
      <left/>
      <right/>
      <top/>
      <bottom style="thin">
        <color theme="1"/>
      </bottom>
      <diagonal/>
    </border>
    <border>
      <left/>
      <right/>
      <top/>
      <bottom style="medium">
        <color rgb="FF5E5E5E"/>
      </bottom>
      <diagonal/>
    </border>
    <border>
      <left/>
      <right/>
      <top/>
      <bottom style="medium">
        <color rgb="FF37383B"/>
      </bottom>
      <diagonal/>
    </border>
    <border>
      <left style="medium">
        <color indexed="64"/>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style="medium">
        <color indexed="64"/>
      </right>
      <top/>
      <bottom style="thin">
        <color indexed="64"/>
      </bottom>
      <diagonal/>
    </border>
    <border>
      <left/>
      <right style="thin">
        <color indexed="64"/>
      </right>
      <top/>
      <bottom/>
      <diagonal/>
    </border>
    <border>
      <left/>
      <right style="medium">
        <color indexed="64"/>
      </right>
      <top/>
      <bottom/>
      <diagonal/>
    </border>
    <border>
      <left/>
      <right style="medium">
        <color indexed="64"/>
      </right>
      <top style="thin">
        <color indexed="64"/>
      </top>
      <bottom/>
      <diagonal/>
    </border>
  </borders>
  <cellStyleXfs count="4">
    <xf numFmtId="0" fontId="0" fillId="0" borderId="0"/>
    <xf numFmtId="9" fontId="11" fillId="0" borderId="0" applyFont="0" applyFill="0" applyBorder="0" applyAlignment="0" applyProtection="0"/>
    <xf numFmtId="43" fontId="11" fillId="0" borderId="0" applyFont="0" applyFill="0" applyBorder="0" applyAlignment="0" applyProtection="0"/>
    <xf numFmtId="0" fontId="28" fillId="0" borderId="0" applyNumberFormat="0" applyFill="0" applyBorder="0" applyAlignment="0" applyProtection="0"/>
  </cellStyleXfs>
  <cellXfs count="167">
    <xf numFmtId="0" fontId="0" fillId="0" borderId="0" xfId="0"/>
    <xf numFmtId="0" fontId="1" fillId="2" borderId="0" xfId="0" applyFont="1" applyFill="1"/>
    <xf numFmtId="0" fontId="2" fillId="2" borderId="0" xfId="0" applyFont="1" applyFill="1"/>
    <xf numFmtId="0" fontId="3" fillId="2" borderId="0" xfId="0" applyFont="1" applyFill="1"/>
    <xf numFmtId="0" fontId="5" fillId="2" borderId="0" xfId="0" applyFont="1" applyFill="1"/>
    <xf numFmtId="0" fontId="6" fillId="2" borderId="0" xfId="0" applyFont="1" applyFill="1"/>
    <xf numFmtId="164" fontId="7" fillId="2" borderId="0" xfId="0" applyNumberFormat="1" applyFont="1" applyFill="1"/>
    <xf numFmtId="165" fontId="7" fillId="2" borderId="0" xfId="0" applyNumberFormat="1" applyFont="1" applyFill="1"/>
    <xf numFmtId="0" fontId="8" fillId="0" borderId="1" xfId="0" applyFont="1" applyBorder="1"/>
    <xf numFmtId="0" fontId="3" fillId="0" borderId="0" xfId="0" applyFont="1"/>
    <xf numFmtId="0" fontId="8" fillId="0" borderId="0" xfId="0" applyFont="1"/>
    <xf numFmtId="4" fontId="3" fillId="0" borderId="0" xfId="0" applyNumberFormat="1" applyFont="1"/>
    <xf numFmtId="166" fontId="9" fillId="0" borderId="0" xfId="0" applyNumberFormat="1" applyFont="1"/>
    <xf numFmtId="0" fontId="8" fillId="0" borderId="2" xfId="0" applyFont="1" applyBorder="1"/>
    <xf numFmtId="0" fontId="4" fillId="2" borderId="0" xfId="0" applyFont="1" applyFill="1" applyAlignment="1">
      <alignment vertical="center"/>
    </xf>
    <xf numFmtId="0" fontId="8" fillId="0" borderId="3" xfId="0" applyFont="1" applyBorder="1"/>
    <xf numFmtId="0" fontId="0" fillId="0" borderId="2" xfId="0" applyBorder="1"/>
    <xf numFmtId="0" fontId="0" fillId="0" borderId="1" xfId="0" applyBorder="1"/>
    <xf numFmtId="0" fontId="10" fillId="0" borderId="0" xfId="0" applyFont="1"/>
    <xf numFmtId="167" fontId="0" fillId="0" borderId="0" xfId="0" applyNumberFormat="1"/>
    <xf numFmtId="167" fontId="8" fillId="0" borderId="2" xfId="0" applyNumberFormat="1" applyFont="1" applyBorder="1"/>
    <xf numFmtId="167" fontId="8" fillId="0" borderId="0" xfId="0" applyNumberFormat="1" applyFont="1"/>
    <xf numFmtId="167" fontId="8" fillId="0" borderId="3" xfId="0" applyNumberFormat="1" applyFont="1" applyBorder="1"/>
    <xf numFmtId="167" fontId="8" fillId="0" borderId="1" xfId="0" applyNumberFormat="1" applyFont="1" applyBorder="1"/>
    <xf numFmtId="0" fontId="8" fillId="0" borderId="4" xfId="0" applyFont="1" applyBorder="1"/>
    <xf numFmtId="167" fontId="8" fillId="0" borderId="4" xfId="0" applyNumberFormat="1" applyFont="1" applyBorder="1"/>
    <xf numFmtId="0" fontId="0" fillId="0" borderId="5" xfId="0" applyBorder="1"/>
    <xf numFmtId="164" fontId="7" fillId="2" borderId="6" xfId="0" applyNumberFormat="1" applyFont="1" applyFill="1" applyBorder="1"/>
    <xf numFmtId="0" fontId="8" fillId="0" borderId="7" xfId="0" applyFont="1" applyBorder="1"/>
    <xf numFmtId="167" fontId="8" fillId="0" borderId="7" xfId="0" applyNumberFormat="1" applyFont="1" applyBorder="1"/>
    <xf numFmtId="167" fontId="8" fillId="0" borderId="8" xfId="0" applyNumberFormat="1" applyFont="1" applyBorder="1"/>
    <xf numFmtId="4" fontId="9" fillId="0" borderId="0" xfId="0" applyNumberFormat="1" applyFont="1"/>
    <xf numFmtId="167" fontId="9" fillId="0" borderId="0" xfId="0" applyNumberFormat="1" applyFont="1"/>
    <xf numFmtId="167" fontId="13" fillId="0" borderId="0" xfId="0" applyNumberFormat="1" applyFont="1"/>
    <xf numFmtId="167" fontId="13" fillId="0" borderId="1" xfId="0" applyNumberFormat="1" applyFont="1" applyBorder="1"/>
    <xf numFmtId="167" fontId="14" fillId="0" borderId="0" xfId="0" applyNumberFormat="1" applyFont="1"/>
    <xf numFmtId="167" fontId="15" fillId="0" borderId="0" xfId="0" applyNumberFormat="1" applyFont="1"/>
    <xf numFmtId="0" fontId="12" fillId="0" borderId="0" xfId="0" applyFont="1"/>
    <xf numFmtId="3" fontId="0" fillId="0" borderId="0" xfId="0" applyNumberFormat="1"/>
    <xf numFmtId="168" fontId="0" fillId="0" borderId="0" xfId="1" applyNumberFormat="1" applyFont="1"/>
    <xf numFmtId="10" fontId="0" fillId="0" borderId="0" xfId="1" applyNumberFormat="1" applyFont="1"/>
    <xf numFmtId="0" fontId="8" fillId="0" borderId="9" xfId="0" applyFont="1" applyBorder="1"/>
    <xf numFmtId="169" fontId="0" fillId="0" borderId="0" xfId="0" applyNumberFormat="1"/>
    <xf numFmtId="170" fontId="0" fillId="0" borderId="0" xfId="0" applyNumberFormat="1"/>
    <xf numFmtId="167" fontId="21" fillId="0" borderId="0" xfId="0" applyNumberFormat="1" applyFont="1"/>
    <xf numFmtId="168" fontId="0" fillId="0" borderId="0" xfId="0" applyNumberFormat="1"/>
    <xf numFmtId="171" fontId="0" fillId="0" borderId="0" xfId="1" applyNumberFormat="1" applyFont="1"/>
    <xf numFmtId="0" fontId="4" fillId="2" borderId="0" xfId="0" applyFont="1" applyFill="1"/>
    <xf numFmtId="0" fontId="5" fillId="2" borderId="0" xfId="0" applyFont="1" applyFill="1" applyAlignment="1">
      <alignment horizontal="center"/>
    </xf>
    <xf numFmtId="4" fontId="0" fillId="0" borderId="0" xfId="0" applyNumberFormat="1"/>
    <xf numFmtId="0" fontId="12" fillId="0" borderId="10" xfId="0" applyFont="1" applyBorder="1" applyAlignment="1">
      <alignment horizontal="center" vertical="center"/>
    </xf>
    <xf numFmtId="0" fontId="12" fillId="0" borderId="11" xfId="0" applyFont="1" applyBorder="1" applyAlignment="1">
      <alignment vertical="center"/>
    </xf>
    <xf numFmtId="4" fontId="12" fillId="0" borderId="11" xfId="0" applyNumberFormat="1" applyFont="1" applyBorder="1" applyAlignment="1">
      <alignment vertical="center"/>
    </xf>
    <xf numFmtId="0" fontId="0" fillId="0" borderId="11" xfId="0" applyBorder="1" applyAlignment="1">
      <alignment vertical="top"/>
    </xf>
    <xf numFmtId="0" fontId="0" fillId="0" borderId="11" xfId="0" applyBorder="1" applyAlignment="1">
      <alignment vertical="center"/>
    </xf>
    <xf numFmtId="4" fontId="0" fillId="0" borderId="11" xfId="0" applyNumberFormat="1" applyBorder="1" applyAlignment="1">
      <alignment vertical="center"/>
    </xf>
    <xf numFmtId="0" fontId="22" fillId="0" borderId="11" xfId="0" applyFont="1" applyBorder="1" applyAlignment="1">
      <alignment vertical="center"/>
    </xf>
    <xf numFmtId="10" fontId="0" fillId="0" borderId="0" xfId="0" applyNumberFormat="1"/>
    <xf numFmtId="165" fontId="7" fillId="2" borderId="0" xfId="0" applyNumberFormat="1" applyFont="1" applyFill="1" applyAlignment="1">
      <alignment wrapText="1"/>
    </xf>
    <xf numFmtId="0" fontId="0" fillId="0" borderId="0" xfId="0" applyAlignment="1">
      <alignment wrapText="1"/>
    </xf>
    <xf numFmtId="10" fontId="0" fillId="0" borderId="0" xfId="1" applyNumberFormat="1" applyFont="1" applyAlignment="1">
      <alignment wrapText="1"/>
    </xf>
    <xf numFmtId="0" fontId="7" fillId="2" borderId="0" xfId="0" applyFont="1" applyFill="1"/>
    <xf numFmtId="0" fontId="23" fillId="2" borderId="0" xfId="0" applyFont="1" applyFill="1"/>
    <xf numFmtId="0" fontId="0" fillId="3" borderId="12" xfId="0" applyFill="1" applyBorder="1"/>
    <xf numFmtId="3" fontId="0" fillId="0" borderId="5" xfId="0" applyNumberFormat="1" applyBorder="1"/>
    <xf numFmtId="167" fontId="24" fillId="0" borderId="0" xfId="0" applyNumberFormat="1" applyFont="1"/>
    <xf numFmtId="0" fontId="5" fillId="2" borderId="0" xfId="0" applyFont="1" applyFill="1" applyAlignment="1">
      <alignment horizontal="center" wrapText="1"/>
    </xf>
    <xf numFmtId="0" fontId="7" fillId="2" borderId="0" xfId="0" applyFont="1" applyFill="1" applyAlignment="1">
      <alignment horizontal="center" wrapText="1"/>
    </xf>
    <xf numFmtId="0" fontId="0" fillId="0" borderId="0" xfId="0" quotePrefix="1"/>
    <xf numFmtId="0" fontId="25" fillId="2" borderId="0" xfId="0" applyFont="1" applyFill="1"/>
    <xf numFmtId="0" fontId="5" fillId="2" borderId="0" xfId="0" applyFont="1" applyFill="1" applyAlignment="1">
      <alignment wrapText="1"/>
    </xf>
    <xf numFmtId="172" fontId="0" fillId="0" borderId="0" xfId="0" applyNumberFormat="1"/>
    <xf numFmtId="172" fontId="5" fillId="2" borderId="0" xfId="0" applyNumberFormat="1" applyFont="1" applyFill="1"/>
    <xf numFmtId="4" fontId="14" fillId="0" borderId="0" xfId="0" applyNumberFormat="1" applyFont="1"/>
    <xf numFmtId="168" fontId="14" fillId="0" borderId="0" xfId="1" applyNumberFormat="1" applyFont="1"/>
    <xf numFmtId="44" fontId="0" fillId="0" borderId="0" xfId="0" applyNumberFormat="1"/>
    <xf numFmtId="4" fontId="8" fillId="0" borderId="0" xfId="0" applyNumberFormat="1" applyFont="1"/>
    <xf numFmtId="9" fontId="14" fillId="0" borderId="0" xfId="1" applyFont="1"/>
    <xf numFmtId="0" fontId="0" fillId="0" borderId="0" xfId="0" applyAlignment="1">
      <alignment horizontal="center"/>
    </xf>
    <xf numFmtId="14" fontId="0" fillId="0" borderId="0" xfId="0" applyNumberFormat="1"/>
    <xf numFmtId="14" fontId="15" fillId="0" borderId="0" xfId="0" applyNumberFormat="1" applyFont="1"/>
    <xf numFmtId="4" fontId="15" fillId="0" borderId="0" xfId="0" applyNumberFormat="1" applyFont="1"/>
    <xf numFmtId="173" fontId="0" fillId="0" borderId="0" xfId="0" applyNumberFormat="1"/>
    <xf numFmtId="0" fontId="15" fillId="0" borderId="0" xfId="0" applyFont="1"/>
    <xf numFmtId="0" fontId="2" fillId="2" borderId="0" xfId="0" applyFont="1" applyFill="1" applyAlignment="1">
      <alignment horizontal="center"/>
    </xf>
    <xf numFmtId="10" fontId="5" fillId="2" borderId="0" xfId="0" applyNumberFormat="1" applyFont="1" applyFill="1"/>
    <xf numFmtId="4" fontId="5" fillId="2" borderId="0" xfId="0" applyNumberFormat="1" applyFont="1" applyFill="1"/>
    <xf numFmtId="10" fontId="14" fillId="0" borderId="0" xfId="1" applyNumberFormat="1" applyFont="1"/>
    <xf numFmtId="0" fontId="23" fillId="3" borderId="0" xfId="0" applyFont="1" applyFill="1"/>
    <xf numFmtId="10" fontId="14" fillId="0" borderId="0" xfId="0" applyNumberFormat="1" applyFont="1"/>
    <xf numFmtId="10" fontId="8" fillId="0" borderId="2" xfId="1" applyNumberFormat="1" applyFont="1" applyBorder="1"/>
    <xf numFmtId="10" fontId="15" fillId="0" borderId="0" xfId="0" applyNumberFormat="1" applyFont="1"/>
    <xf numFmtId="10" fontId="23" fillId="3" borderId="0" xfId="1" applyNumberFormat="1" applyFont="1" applyFill="1"/>
    <xf numFmtId="0" fontId="14" fillId="0" borderId="0" xfId="0" applyFont="1"/>
    <xf numFmtId="169" fontId="14" fillId="0" borderId="0" xfId="0" applyNumberFormat="1" applyFont="1"/>
    <xf numFmtId="174" fontId="14" fillId="0" borderId="0" xfId="0" applyNumberFormat="1" applyFont="1"/>
    <xf numFmtId="175" fontId="8" fillId="0" borderId="1" xfId="0" applyNumberFormat="1" applyFont="1" applyBorder="1"/>
    <xf numFmtId="175" fontId="8" fillId="0" borderId="15" xfId="0" applyNumberFormat="1" applyFont="1" applyBorder="1"/>
    <xf numFmtId="0" fontId="0" fillId="4" borderId="0" xfId="0" applyFill="1"/>
    <xf numFmtId="175" fontId="8" fillId="0" borderId="0" xfId="0" applyNumberFormat="1" applyFont="1"/>
    <xf numFmtId="14" fontId="0" fillId="0" borderId="2" xfId="0" applyNumberFormat="1" applyBorder="1"/>
    <xf numFmtId="2" fontId="0" fillId="0" borderId="0" xfId="0" applyNumberFormat="1"/>
    <xf numFmtId="0" fontId="0" fillId="4" borderId="17" xfId="0" applyFill="1" applyBorder="1"/>
    <xf numFmtId="0" fontId="0" fillId="0" borderId="17" xfId="0" applyBorder="1"/>
    <xf numFmtId="167" fontId="14" fillId="0" borderId="17" xfId="0" applyNumberFormat="1" applyFont="1" applyBorder="1"/>
    <xf numFmtId="167" fontId="8" fillId="0" borderId="18" xfId="0" applyNumberFormat="1" applyFont="1" applyBorder="1"/>
    <xf numFmtId="4" fontId="8" fillId="0" borderId="2" xfId="0" applyNumberFormat="1" applyFont="1" applyBorder="1"/>
    <xf numFmtId="167" fontId="3" fillId="0" borderId="2" xfId="0" applyNumberFormat="1" applyFont="1" applyBorder="1"/>
    <xf numFmtId="167" fontId="3" fillId="0" borderId="0" xfId="0" applyNumberFormat="1" applyFont="1"/>
    <xf numFmtId="167" fontId="27" fillId="0" borderId="0" xfId="0" applyNumberFormat="1" applyFont="1"/>
    <xf numFmtId="168" fontId="8" fillId="0" borderId="2" xfId="1" applyNumberFormat="1" applyFont="1" applyBorder="1"/>
    <xf numFmtId="167" fontId="3" fillId="4" borderId="0" xfId="0" applyNumberFormat="1" applyFont="1" applyFill="1"/>
    <xf numFmtId="0" fontId="6" fillId="0" borderId="0" xfId="0" applyFont="1"/>
    <xf numFmtId="169" fontId="8" fillId="0" borderId="0" xfId="0" applyNumberFormat="1" applyFont="1"/>
    <xf numFmtId="167" fontId="26" fillId="0" borderId="16" xfId="0" applyNumberFormat="1" applyFont="1" applyBorder="1"/>
    <xf numFmtId="167" fontId="3" fillId="3" borderId="0" xfId="0" applyNumberFormat="1" applyFont="1" applyFill="1"/>
    <xf numFmtId="9" fontId="8" fillId="0" borderId="0" xfId="0" applyNumberFormat="1" applyFont="1"/>
    <xf numFmtId="0" fontId="23" fillId="0" borderId="0" xfId="0" applyFont="1"/>
    <xf numFmtId="0" fontId="23" fillId="0" borderId="0" xfId="0" applyFont="1" applyAlignment="1">
      <alignment wrapText="1"/>
    </xf>
    <xf numFmtId="4" fontId="3" fillId="2" borderId="0" xfId="0" applyNumberFormat="1" applyFont="1" applyFill="1"/>
    <xf numFmtId="166" fontId="3" fillId="2" borderId="0" xfId="0" applyNumberFormat="1" applyFont="1" applyFill="1"/>
    <xf numFmtId="166" fontId="8" fillId="2" borderId="0" xfId="0" applyNumberFormat="1" applyFont="1" applyFill="1"/>
    <xf numFmtId="0" fontId="0" fillId="2" borderId="0" xfId="0" applyFill="1"/>
    <xf numFmtId="0" fontId="26" fillId="2" borderId="0" xfId="0" applyFont="1" applyFill="1"/>
    <xf numFmtId="0" fontId="32" fillId="2" borderId="0" xfId="3" applyFont="1" applyFill="1"/>
    <xf numFmtId="0" fontId="29" fillId="2" borderId="0" xfId="0" applyFont="1" applyFill="1"/>
    <xf numFmtId="0" fontId="8" fillId="3" borderId="1" xfId="0" applyFont="1" applyFill="1" applyBorder="1" applyAlignment="1">
      <alignment horizontal="center"/>
    </xf>
    <xf numFmtId="43" fontId="14" fillId="0" borderId="0" xfId="2" applyFont="1"/>
    <xf numFmtId="177" fontId="15" fillId="0" borderId="0" xfId="2" applyNumberFormat="1" applyFont="1"/>
    <xf numFmtId="10" fontId="24" fillId="0" borderId="0" xfId="1" applyNumberFormat="1" applyFont="1"/>
    <xf numFmtId="0" fontId="0" fillId="0" borderId="0" xfId="0" applyAlignment="1">
      <alignment vertical="center"/>
    </xf>
    <xf numFmtId="0" fontId="31" fillId="2" borderId="0" xfId="0" applyFont="1" applyFill="1" applyAlignment="1">
      <alignment horizontal="center"/>
    </xf>
    <xf numFmtId="44" fontId="15" fillId="0" borderId="0" xfId="0" applyNumberFormat="1" applyFont="1"/>
    <xf numFmtId="167" fontId="8" fillId="3" borderId="0" xfId="0" applyNumberFormat="1" applyFont="1" applyFill="1"/>
    <xf numFmtId="0" fontId="34" fillId="0" borderId="0" xfId="3" applyFont="1"/>
    <xf numFmtId="174" fontId="10" fillId="0" borderId="0" xfId="0" applyNumberFormat="1" applyFont="1"/>
    <xf numFmtId="10" fontId="8" fillId="0" borderId="16" xfId="0" applyNumberFormat="1" applyFont="1" applyBorder="1"/>
    <xf numFmtId="9" fontId="0" fillId="0" borderId="0" xfId="0" applyNumberFormat="1"/>
    <xf numFmtId="0" fontId="8" fillId="0" borderId="0" xfId="0" applyFont="1" applyAlignment="1">
      <alignment wrapText="1"/>
    </xf>
    <xf numFmtId="2" fontId="15" fillId="0" borderId="0" xfId="0" applyNumberFormat="1" applyFont="1"/>
    <xf numFmtId="10" fontId="3" fillId="0" borderId="0" xfId="1" applyNumberFormat="1" applyFont="1"/>
    <xf numFmtId="0" fontId="0" fillId="0" borderId="13" xfId="0" applyBorder="1"/>
    <xf numFmtId="0" fontId="22" fillId="0" borderId="14" xfId="0" applyFont="1" applyBorder="1" applyAlignment="1">
      <alignment horizontal="center"/>
    </xf>
    <xf numFmtId="0" fontId="22" fillId="0" borderId="14" xfId="0" applyFont="1" applyBorder="1" applyAlignment="1">
      <alignment horizontal="centerContinuous"/>
    </xf>
    <xf numFmtId="0" fontId="8" fillId="3" borderId="13" xfId="0" applyFont="1" applyFill="1" applyBorder="1"/>
    <xf numFmtId="0" fontId="29" fillId="2" borderId="0" xfId="0" applyFont="1" applyFill="1" applyAlignment="1">
      <alignment horizontal="center"/>
    </xf>
    <xf numFmtId="0" fontId="3" fillId="2" borderId="0" xfId="0" applyFont="1" applyFill="1" applyAlignment="1">
      <alignment horizontal="center"/>
    </xf>
    <xf numFmtId="0" fontId="3" fillId="5" borderId="0" xfId="0" applyFont="1" applyFill="1" applyAlignment="1">
      <alignment horizontal="left" vertical="top" wrapText="1"/>
    </xf>
    <xf numFmtId="0" fontId="31" fillId="2" borderId="0" xfId="0" applyFont="1" applyFill="1" applyAlignment="1">
      <alignment horizontal="center"/>
    </xf>
    <xf numFmtId="0" fontId="30" fillId="2" borderId="0" xfId="0" applyFont="1" applyFill="1" applyAlignment="1">
      <alignment horizontal="center"/>
    </xf>
    <xf numFmtId="0" fontId="0" fillId="0" borderId="0" xfId="0" applyAlignment="1">
      <alignment horizontal="left" wrapText="1"/>
    </xf>
    <xf numFmtId="0" fontId="0" fillId="0" borderId="0" xfId="0" applyAlignment="1">
      <alignment horizontal="left" vertical="center"/>
    </xf>
    <xf numFmtId="0" fontId="3" fillId="0" borderId="0" xfId="0" applyFont="1" applyAlignment="1">
      <alignment horizontal="left"/>
    </xf>
    <xf numFmtId="0" fontId="4" fillId="2" borderId="0" xfId="0" applyFont="1" applyFill="1" applyAlignment="1">
      <alignment horizontal="center"/>
    </xf>
    <xf numFmtId="0" fontId="28" fillId="0" borderId="0" xfId="3" applyAlignment="1">
      <alignment horizontal="left"/>
    </xf>
    <xf numFmtId="0" fontId="3" fillId="0" borderId="0" xfId="0" applyFont="1" applyAlignment="1">
      <alignment horizontal="left" wrapText="1"/>
    </xf>
    <xf numFmtId="4" fontId="8" fillId="0" borderId="0" xfId="0" applyNumberFormat="1" applyFont="1" applyAlignment="1">
      <alignment horizontal="center"/>
    </xf>
    <xf numFmtId="0" fontId="0" fillId="3" borderId="0" xfId="0" applyFill="1" applyAlignment="1">
      <alignment horizontal="center"/>
    </xf>
    <xf numFmtId="0" fontId="8" fillId="0" borderId="0" xfId="0" quotePrefix="1" applyFont="1" applyAlignment="1">
      <alignment horizontal="center" wrapText="1"/>
    </xf>
    <xf numFmtId="0" fontId="8" fillId="0" borderId="0" xfId="0" applyFont="1" applyAlignment="1">
      <alignment horizontal="center" wrapText="1"/>
    </xf>
    <xf numFmtId="0" fontId="7" fillId="2" borderId="0" xfId="0" applyFont="1" applyFill="1" applyAlignment="1">
      <alignment horizontal="center"/>
    </xf>
    <xf numFmtId="0" fontId="7" fillId="2" borderId="6" xfId="0" applyFont="1" applyFill="1" applyBorder="1" applyAlignment="1">
      <alignment horizontal="center"/>
    </xf>
    <xf numFmtId="0" fontId="8" fillId="0" borderId="1" xfId="0" applyFont="1" applyBorder="1" applyAlignment="1">
      <alignment horizontal="center"/>
    </xf>
    <xf numFmtId="176" fontId="8" fillId="0" borderId="0" xfId="0" applyNumberFormat="1" applyFont="1" applyAlignment="1">
      <alignment horizontal="center" vertical="center" wrapText="1"/>
    </xf>
    <xf numFmtId="0" fontId="8" fillId="4" borderId="0" xfId="0" applyFont="1" applyFill="1" applyAlignment="1">
      <alignment horizontal="center"/>
    </xf>
    <xf numFmtId="0" fontId="8" fillId="4" borderId="17" xfId="0" applyFont="1" applyFill="1" applyBorder="1" applyAlignment="1">
      <alignment horizontal="center"/>
    </xf>
    <xf numFmtId="0" fontId="5" fillId="2" borderId="0" xfId="0" applyFont="1" applyFill="1" applyAlignment="1">
      <alignment horizontal="center"/>
    </xf>
  </cellXfs>
  <cellStyles count="4">
    <cellStyle name="Comma" xfId="2" builtinId="3"/>
    <cellStyle name="Hyperlink" xfId="3" builtinId="8"/>
    <cellStyle name="Normal" xfId="0" builtinId="0"/>
    <cellStyle name="Percent" xfId="1" builtinId="5"/>
  </cellStyles>
  <dxfs count="0"/>
  <tableStyles count="0" defaultTableStyle="TableStyleMedium2" defaultPivotStyle="PivotStyleLight16"/>
  <colors>
    <mruColors>
      <color rgb="FFBBB2F0"/>
      <color rgb="FFBDFFBD"/>
      <color rgb="FFFFED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Valuation Summary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11009289489220352"/>
          <c:y val="0.12602786272511043"/>
          <c:w val="0.85377341043751642"/>
          <c:h val="0.79541873015108588"/>
        </c:manualLayout>
      </c:layout>
      <c:stockChart>
        <c:ser>
          <c:idx val="0"/>
          <c:order val="0"/>
          <c:spPr>
            <a:ln w="25400" cap="rnd">
              <a:noFill/>
              <a:round/>
            </a:ln>
            <a:effectLst/>
          </c:spPr>
          <c:marker>
            <c:symbol val="none"/>
          </c:marker>
          <c:dLbls>
            <c:delete val="1"/>
          </c:dLbls>
          <c:cat>
            <c:strRef>
              <c:f>Summary!$E$6:$H$6</c:f>
              <c:strCache>
                <c:ptCount val="4"/>
                <c:pt idx="0">
                  <c:v>Comps</c:v>
                </c:pt>
                <c:pt idx="1">
                  <c:v>DCF</c:v>
                </c:pt>
                <c:pt idx="2">
                  <c:v>52-week High/Low</c:v>
                </c:pt>
                <c:pt idx="3">
                  <c:v>Market Consensus</c:v>
                </c:pt>
              </c:strCache>
            </c:strRef>
          </c:cat>
          <c:val>
            <c:numRef>
              <c:f>Summary!$E$7:$H$7</c:f>
              <c:numCache>
                <c:formatCode>#,##0.0;\(#,##0.0\);\-</c:formatCode>
                <c:ptCount val="4"/>
                <c:pt idx="0">
                  <c:v>24331.634332938367</c:v>
                </c:pt>
                <c:pt idx="1">
                  <c:v>24730.493210086068</c:v>
                </c:pt>
                <c:pt idx="2">
                  <c:v>28925.599999999999</c:v>
                </c:pt>
                <c:pt idx="3">
                  <c:v>35697</c:v>
                </c:pt>
              </c:numCache>
            </c:numRef>
          </c:val>
          <c:smooth val="0"/>
          <c:extLst>
            <c:ext xmlns:c16="http://schemas.microsoft.com/office/drawing/2014/chart" uri="{C3380CC4-5D6E-409C-BE32-E72D297353CC}">
              <c16:uniqueId val="{00000000-341F-41A4-8D6E-6B6DF3871442}"/>
            </c:ext>
          </c:extLst>
        </c:ser>
        <c:ser>
          <c:idx val="1"/>
          <c:order val="1"/>
          <c:spPr>
            <a:ln w="25400" cap="rnd">
              <a:noFill/>
              <a:round/>
            </a:ln>
            <a:effectLst/>
          </c:spPr>
          <c:marker>
            <c:symbol val="none"/>
          </c:marker>
          <c:dLbls>
            <c:dLbl>
              <c:idx val="0"/>
              <c:layout>
                <c:manualLayout>
                  <c:x val="-5.4200542005420058E-2"/>
                  <c:y val="-2.3785253143051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1F-41A4-8D6E-6B6DF3871442}"/>
                </c:ext>
              </c:extLst>
            </c:dLbl>
            <c:dLbl>
              <c:idx val="1"/>
              <c:layout>
                <c:manualLayout>
                  <c:x val="-6.323396567299007E-2"/>
                  <c:y val="-2.3785253143051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1F-41A4-8D6E-6B6DF3871442}"/>
                </c:ext>
              </c:extLst>
            </c:dLbl>
            <c:dLbl>
              <c:idx val="2"/>
              <c:layout>
                <c:manualLayout>
                  <c:x val="-4.9683830171635052E-2"/>
                  <c:y val="-2.71831464492014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1F-41A4-8D6E-6B6DF3871442}"/>
                </c:ext>
              </c:extLst>
            </c:dLbl>
            <c:dLbl>
              <c:idx val="3"/>
              <c:layout>
                <c:manualLayout>
                  <c:x val="-5.4200542005420058E-2"/>
                  <c:y val="-3.05810397553516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1F-41A4-8D6E-6B6DF38714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Summary!$E$6:$H$6</c:f>
              <c:strCache>
                <c:ptCount val="4"/>
                <c:pt idx="0">
                  <c:v>Comps</c:v>
                </c:pt>
                <c:pt idx="1">
                  <c:v>DCF</c:v>
                </c:pt>
                <c:pt idx="2">
                  <c:v>52-week High/Low</c:v>
                </c:pt>
                <c:pt idx="3">
                  <c:v>Market Consensus</c:v>
                </c:pt>
              </c:strCache>
            </c:strRef>
          </c:cat>
          <c:val>
            <c:numRef>
              <c:f>Summary!$E$8:$H$8</c:f>
              <c:numCache>
                <c:formatCode>#,##0.0;\(#,##0.0\);\-</c:formatCode>
                <c:ptCount val="4"/>
                <c:pt idx="0">
                  <c:v>24331.634332938367</c:v>
                </c:pt>
                <c:pt idx="1">
                  <c:v>24730.493210086068</c:v>
                </c:pt>
                <c:pt idx="2">
                  <c:v>28925.599999999999</c:v>
                </c:pt>
                <c:pt idx="3">
                  <c:v>35697</c:v>
                </c:pt>
              </c:numCache>
            </c:numRef>
          </c:val>
          <c:smooth val="0"/>
          <c:extLst>
            <c:ext xmlns:c16="http://schemas.microsoft.com/office/drawing/2014/chart" uri="{C3380CC4-5D6E-409C-BE32-E72D297353CC}">
              <c16:uniqueId val="{00000001-341F-41A4-8D6E-6B6DF3871442}"/>
            </c:ext>
          </c:extLst>
        </c:ser>
        <c:ser>
          <c:idx val="2"/>
          <c:order val="2"/>
          <c:spPr>
            <a:ln w="25400" cap="rnd">
              <a:noFill/>
              <a:round/>
            </a:ln>
            <a:effectLst/>
          </c:spPr>
          <c:marker>
            <c:symbol val="none"/>
          </c:marker>
          <c:dLbls>
            <c:delete val="1"/>
          </c:dLbls>
          <c:cat>
            <c:strRef>
              <c:f>Summary!$E$6:$H$6</c:f>
              <c:strCache>
                <c:ptCount val="4"/>
                <c:pt idx="0">
                  <c:v>Comps</c:v>
                </c:pt>
                <c:pt idx="1">
                  <c:v>DCF</c:v>
                </c:pt>
                <c:pt idx="2">
                  <c:v>52-week High/Low</c:v>
                </c:pt>
                <c:pt idx="3">
                  <c:v>Market Consensus</c:v>
                </c:pt>
              </c:strCache>
            </c:strRef>
          </c:cat>
          <c:val>
            <c:numRef>
              <c:f>Summary!$E$9:$H$9</c:f>
              <c:numCache>
                <c:formatCode>#,##0.0;\(#,##0.0\);\-</c:formatCode>
                <c:ptCount val="4"/>
                <c:pt idx="0">
                  <c:v>14824.526641411745</c:v>
                </c:pt>
                <c:pt idx="1">
                  <c:v>16051.472301337939</c:v>
                </c:pt>
                <c:pt idx="2">
                  <c:v>22130.1</c:v>
                </c:pt>
                <c:pt idx="3">
                  <c:v>20000</c:v>
                </c:pt>
              </c:numCache>
            </c:numRef>
          </c:val>
          <c:smooth val="0"/>
          <c:extLst>
            <c:ext xmlns:c16="http://schemas.microsoft.com/office/drawing/2014/chart" uri="{C3380CC4-5D6E-409C-BE32-E72D297353CC}">
              <c16:uniqueId val="{00000002-341F-41A4-8D6E-6B6DF3871442}"/>
            </c:ext>
          </c:extLst>
        </c:ser>
        <c:ser>
          <c:idx val="3"/>
          <c:order val="3"/>
          <c:spPr>
            <a:ln w="25400" cap="rnd">
              <a:noFill/>
              <a:round/>
            </a:ln>
            <a:effectLst/>
          </c:spPr>
          <c:marker>
            <c:symbol val="none"/>
          </c:marker>
          <c:dLbls>
            <c:dLbl>
              <c:idx val="0"/>
              <c:layout>
                <c:manualLayout>
                  <c:x val="-5.6458897922312533E-2"/>
                  <c:y val="2.71831464492013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1F-41A4-8D6E-6B6DF3871442}"/>
                </c:ext>
              </c:extLst>
            </c:dLbl>
            <c:dLbl>
              <c:idx val="1"/>
              <c:layout>
                <c:manualLayout>
                  <c:x val="-5.4200542005420058E-2"/>
                  <c:y val="2.71831464492015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1F-41A4-8D6E-6B6DF3871442}"/>
                </c:ext>
              </c:extLst>
            </c:dLbl>
            <c:dLbl>
              <c:idx val="2"/>
              <c:layout>
                <c:manualLayout>
                  <c:x val="-5.6458897922312554E-2"/>
                  <c:y val="2.71831464492013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1F-41A4-8D6E-6B6DF3871442}"/>
                </c:ext>
              </c:extLst>
            </c:dLbl>
            <c:dLbl>
              <c:idx val="3"/>
              <c:layout>
                <c:manualLayout>
                  <c:x val="-5.4200542005420217E-2"/>
                  <c:y val="2.03873598369009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41F-41A4-8D6E-6B6DF38714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Summary!$E$6:$H$6</c:f>
              <c:strCache>
                <c:ptCount val="4"/>
                <c:pt idx="0">
                  <c:v>Comps</c:v>
                </c:pt>
                <c:pt idx="1">
                  <c:v>DCF</c:v>
                </c:pt>
                <c:pt idx="2">
                  <c:v>52-week High/Low</c:v>
                </c:pt>
                <c:pt idx="3">
                  <c:v>Market Consensus</c:v>
                </c:pt>
              </c:strCache>
            </c:strRef>
          </c:cat>
          <c:val>
            <c:numRef>
              <c:f>Summary!$E$10:$H$10</c:f>
              <c:numCache>
                <c:formatCode>#,##0.0;\(#,##0.0\);\-</c:formatCode>
                <c:ptCount val="4"/>
                <c:pt idx="0">
                  <c:v>14824.526641411745</c:v>
                </c:pt>
                <c:pt idx="1">
                  <c:v>16051.472301337939</c:v>
                </c:pt>
                <c:pt idx="2">
                  <c:v>22130.1</c:v>
                </c:pt>
                <c:pt idx="3">
                  <c:v>20000</c:v>
                </c:pt>
              </c:numCache>
            </c:numRef>
          </c:val>
          <c:smooth val="0"/>
          <c:extLst>
            <c:ext xmlns:c16="http://schemas.microsoft.com/office/drawing/2014/chart" uri="{C3380CC4-5D6E-409C-BE32-E72D297353CC}">
              <c16:uniqueId val="{00000003-341F-41A4-8D6E-6B6DF3871442}"/>
            </c:ext>
          </c:extLst>
        </c:ser>
        <c:dLbls>
          <c:showLegendKey val="0"/>
          <c:showVal val="1"/>
          <c:showCatName val="0"/>
          <c:showSerName val="0"/>
          <c:showPercent val="0"/>
          <c:showBubbleSize val="0"/>
        </c:dLbls>
        <c:hiLowLines>
          <c:spPr>
            <a:ln w="15875" cap="flat" cmpd="sng" algn="ctr">
              <a:solidFill>
                <a:schemeClr val="tx1">
                  <a:lumMod val="65000"/>
                  <a:lumOff val="35000"/>
                </a:schemeClr>
              </a:solidFill>
              <a:round/>
            </a:ln>
            <a:effectLst/>
          </c:spPr>
        </c:hiLowLines>
        <c:upDownBars>
          <c:gapWidth val="150"/>
          <c:upBars>
            <c:spPr>
              <a:solidFill>
                <a:schemeClr val="lt1"/>
              </a:solidFill>
              <a:ln w="9525">
                <a:solidFill>
                  <a:schemeClr val="tx1">
                    <a:lumMod val="50000"/>
                    <a:lumOff val="50000"/>
                  </a:schemeClr>
                </a:solidFill>
              </a:ln>
              <a:effectLst/>
            </c:spPr>
          </c:upBars>
          <c:downBars>
            <c:spPr>
              <a:solidFill>
                <a:schemeClr val="dk1">
                  <a:lumMod val="65000"/>
                  <a:lumOff val="35000"/>
                </a:schemeClr>
              </a:solidFill>
              <a:ln w="9525" cap="flat" cmpd="sng" algn="ctr">
                <a:solidFill>
                  <a:schemeClr val="tx1">
                    <a:lumMod val="65000"/>
                    <a:lumOff val="35000"/>
                  </a:schemeClr>
                </a:solidFill>
                <a:round/>
              </a:ln>
              <a:effectLst/>
            </c:spPr>
          </c:downBars>
        </c:upDownBars>
        <c:axId val="1588547263"/>
        <c:axId val="1588545823"/>
      </c:stockChart>
      <c:catAx>
        <c:axId val="158854726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545823"/>
        <c:crosses val="autoZero"/>
        <c:auto val="1"/>
        <c:lblAlgn val="ctr"/>
        <c:lblOffset val="100"/>
        <c:noMultiLvlLbl val="0"/>
      </c:catAx>
      <c:valAx>
        <c:axId val="1588545823"/>
        <c:scaling>
          <c:orientation val="minMax"/>
        </c:scaling>
        <c:delete val="0"/>
        <c:axPos val="l"/>
        <c:majorGridlines>
          <c:spPr>
            <a:ln>
              <a:solidFill>
                <a:schemeClr val="tx1">
                  <a:lumMod val="15000"/>
                  <a:lumOff val="85000"/>
                </a:schemeClr>
              </a:solidFill>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54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20</xdr:col>
      <xdr:colOff>0</xdr:colOff>
      <xdr:row>32</xdr:row>
      <xdr:rowOff>0</xdr:rowOff>
    </xdr:from>
    <xdr:to>
      <xdr:col>30</xdr:col>
      <xdr:colOff>86590</xdr:colOff>
      <xdr:row>32</xdr:row>
      <xdr:rowOff>724849</xdr:rowOff>
    </xdr:to>
    <xdr:pic>
      <xdr:nvPicPr>
        <xdr:cNvPr id="3" name="Picture 2">
          <a:extLst>
            <a:ext uri="{FF2B5EF4-FFF2-40B4-BE49-F238E27FC236}">
              <a16:creationId xmlns:a16="http://schemas.microsoft.com/office/drawing/2014/main" id="{3FD3A9A5-5C47-2EFB-8C3B-832D3F2B24E5}"/>
            </a:ext>
          </a:extLst>
        </xdr:cNvPr>
        <xdr:cNvPicPr>
          <a:picLocks noChangeAspect="1"/>
        </xdr:cNvPicPr>
      </xdr:nvPicPr>
      <xdr:blipFill>
        <a:blip xmlns:r="http://schemas.openxmlformats.org/officeDocument/2006/relationships" r:embed="rId1"/>
        <a:stretch>
          <a:fillRect/>
        </a:stretch>
      </xdr:blipFill>
      <xdr:spPr>
        <a:xfrm>
          <a:off x="16097250" y="6996545"/>
          <a:ext cx="8139545" cy="730483"/>
        </a:xfrm>
        <a:prstGeom prst="rect">
          <a:avLst/>
        </a:prstGeom>
      </xdr:spPr>
    </xdr:pic>
    <xdr:clientData/>
  </xdr:twoCellAnchor>
  <xdr:twoCellAnchor editAs="oneCell">
    <xdr:from>
      <xdr:col>25</xdr:col>
      <xdr:colOff>199160</xdr:colOff>
      <xdr:row>34</xdr:row>
      <xdr:rowOff>1</xdr:rowOff>
    </xdr:from>
    <xdr:to>
      <xdr:col>30</xdr:col>
      <xdr:colOff>88003</xdr:colOff>
      <xdr:row>37</xdr:row>
      <xdr:rowOff>78616</xdr:rowOff>
    </xdr:to>
    <xdr:pic>
      <xdr:nvPicPr>
        <xdr:cNvPr id="4" name="Picture 3">
          <a:extLst>
            <a:ext uri="{FF2B5EF4-FFF2-40B4-BE49-F238E27FC236}">
              <a16:creationId xmlns:a16="http://schemas.microsoft.com/office/drawing/2014/main" id="{8888BCE7-DD98-EEDB-F6DE-25AB85BD0CDC}"/>
            </a:ext>
          </a:extLst>
        </xdr:cNvPr>
        <xdr:cNvPicPr>
          <a:picLocks noChangeAspect="1"/>
        </xdr:cNvPicPr>
      </xdr:nvPicPr>
      <xdr:blipFill>
        <a:blip xmlns:r="http://schemas.openxmlformats.org/officeDocument/2006/relationships" r:embed="rId2"/>
        <a:stretch>
          <a:fillRect/>
        </a:stretch>
      </xdr:blipFill>
      <xdr:spPr>
        <a:xfrm>
          <a:off x="20322887" y="7715251"/>
          <a:ext cx="3915321" cy="1370057"/>
        </a:xfrm>
        <a:prstGeom prst="rect">
          <a:avLst/>
        </a:prstGeom>
      </xdr:spPr>
    </xdr:pic>
    <xdr:clientData/>
  </xdr:twoCellAnchor>
  <xdr:twoCellAnchor editAs="oneCell">
    <xdr:from>
      <xdr:col>20</xdr:col>
      <xdr:colOff>51955</xdr:colOff>
      <xdr:row>34</xdr:row>
      <xdr:rowOff>8659</xdr:rowOff>
    </xdr:from>
    <xdr:to>
      <xdr:col>25</xdr:col>
      <xdr:colOff>207537</xdr:colOff>
      <xdr:row>37</xdr:row>
      <xdr:rowOff>41377</xdr:rowOff>
    </xdr:to>
    <xdr:pic>
      <xdr:nvPicPr>
        <xdr:cNvPr id="5" name="Picture 4">
          <a:extLst>
            <a:ext uri="{FF2B5EF4-FFF2-40B4-BE49-F238E27FC236}">
              <a16:creationId xmlns:a16="http://schemas.microsoft.com/office/drawing/2014/main" id="{46998DAA-FBD3-6049-6528-1DD56B7BC54F}"/>
            </a:ext>
          </a:extLst>
        </xdr:cNvPr>
        <xdr:cNvPicPr>
          <a:picLocks noChangeAspect="1"/>
        </xdr:cNvPicPr>
      </xdr:nvPicPr>
      <xdr:blipFill>
        <a:blip xmlns:r="http://schemas.openxmlformats.org/officeDocument/2006/relationships" r:embed="rId3"/>
        <a:stretch>
          <a:fillRect/>
        </a:stretch>
      </xdr:blipFill>
      <xdr:spPr>
        <a:xfrm>
          <a:off x="16149205" y="7723909"/>
          <a:ext cx="4182059" cy="1324160"/>
        </a:xfrm>
        <a:prstGeom prst="rect">
          <a:avLst/>
        </a:prstGeom>
      </xdr:spPr>
    </xdr:pic>
    <xdr:clientData/>
  </xdr:twoCellAnchor>
  <xdr:twoCellAnchor editAs="oneCell">
    <xdr:from>
      <xdr:col>20</xdr:col>
      <xdr:colOff>43295</xdr:colOff>
      <xdr:row>37</xdr:row>
      <xdr:rowOff>77932</xdr:rowOff>
    </xdr:from>
    <xdr:to>
      <xdr:col>30</xdr:col>
      <xdr:colOff>60613</xdr:colOff>
      <xdr:row>39</xdr:row>
      <xdr:rowOff>19093</xdr:rowOff>
    </xdr:to>
    <xdr:pic>
      <xdr:nvPicPr>
        <xdr:cNvPr id="6" name="Picture 5">
          <a:extLst>
            <a:ext uri="{FF2B5EF4-FFF2-40B4-BE49-F238E27FC236}">
              <a16:creationId xmlns:a16="http://schemas.microsoft.com/office/drawing/2014/main" id="{D92B5074-4502-4FA9-D397-D30DD2CB111B}"/>
            </a:ext>
          </a:extLst>
        </xdr:cNvPr>
        <xdr:cNvPicPr>
          <a:picLocks noChangeAspect="1"/>
        </xdr:cNvPicPr>
      </xdr:nvPicPr>
      <xdr:blipFill>
        <a:blip xmlns:r="http://schemas.openxmlformats.org/officeDocument/2006/relationships" r:embed="rId4"/>
        <a:stretch>
          <a:fillRect/>
        </a:stretch>
      </xdr:blipFill>
      <xdr:spPr>
        <a:xfrm>
          <a:off x="16140545" y="9057409"/>
          <a:ext cx="8070273" cy="304843"/>
        </a:xfrm>
        <a:prstGeom prst="rect">
          <a:avLst/>
        </a:prstGeom>
      </xdr:spPr>
    </xdr:pic>
    <xdr:clientData/>
  </xdr:twoCellAnchor>
  <xdr:twoCellAnchor editAs="oneCell">
    <xdr:from>
      <xdr:col>20</xdr:col>
      <xdr:colOff>76282</xdr:colOff>
      <xdr:row>38</xdr:row>
      <xdr:rowOff>139782</xdr:rowOff>
    </xdr:from>
    <xdr:to>
      <xdr:col>23</xdr:col>
      <xdr:colOff>356768</xdr:colOff>
      <xdr:row>45</xdr:row>
      <xdr:rowOff>303771</xdr:rowOff>
    </xdr:to>
    <xdr:pic>
      <xdr:nvPicPr>
        <xdr:cNvPr id="7" name="Picture 6">
          <a:extLst>
            <a:ext uri="{FF2B5EF4-FFF2-40B4-BE49-F238E27FC236}">
              <a16:creationId xmlns:a16="http://schemas.microsoft.com/office/drawing/2014/main" id="{AB3F91DF-296D-ACA4-025A-A6DDD96FC2DF}"/>
            </a:ext>
          </a:extLst>
        </xdr:cNvPr>
        <xdr:cNvPicPr>
          <a:picLocks noChangeAspect="1"/>
        </xdr:cNvPicPr>
      </xdr:nvPicPr>
      <xdr:blipFill>
        <a:blip xmlns:r="http://schemas.openxmlformats.org/officeDocument/2006/relationships" r:embed="rId5"/>
        <a:stretch>
          <a:fillRect/>
        </a:stretch>
      </xdr:blipFill>
      <xdr:spPr>
        <a:xfrm>
          <a:off x="16205282" y="9193068"/>
          <a:ext cx="2702557" cy="1960131"/>
        </a:xfrm>
        <a:prstGeom prst="rect">
          <a:avLst/>
        </a:prstGeom>
      </xdr:spPr>
    </xdr:pic>
    <xdr:clientData/>
  </xdr:twoCellAnchor>
  <xdr:twoCellAnchor editAs="oneCell">
    <xdr:from>
      <xdr:col>23</xdr:col>
      <xdr:colOff>117930</xdr:colOff>
      <xdr:row>38</xdr:row>
      <xdr:rowOff>181427</xdr:rowOff>
    </xdr:from>
    <xdr:to>
      <xdr:col>31</xdr:col>
      <xdr:colOff>339047</xdr:colOff>
      <xdr:row>43</xdr:row>
      <xdr:rowOff>163285</xdr:rowOff>
    </xdr:to>
    <xdr:pic>
      <xdr:nvPicPr>
        <xdr:cNvPr id="9" name="Picture 8">
          <a:extLst>
            <a:ext uri="{FF2B5EF4-FFF2-40B4-BE49-F238E27FC236}">
              <a16:creationId xmlns:a16="http://schemas.microsoft.com/office/drawing/2014/main" id="{B89499FA-9546-B6EB-27CD-9CBB4C733660}"/>
            </a:ext>
          </a:extLst>
        </xdr:cNvPr>
        <xdr:cNvPicPr>
          <a:picLocks noChangeAspect="1"/>
        </xdr:cNvPicPr>
      </xdr:nvPicPr>
      <xdr:blipFill>
        <a:blip xmlns:r="http://schemas.openxmlformats.org/officeDocument/2006/relationships" r:embed="rId6"/>
        <a:stretch>
          <a:fillRect/>
        </a:stretch>
      </xdr:blipFill>
      <xdr:spPr>
        <a:xfrm>
          <a:off x="18669001" y="9234713"/>
          <a:ext cx="6679975" cy="1242786"/>
        </a:xfrm>
        <a:prstGeom prst="rect">
          <a:avLst/>
        </a:prstGeom>
      </xdr:spPr>
    </xdr:pic>
    <xdr:clientData/>
  </xdr:twoCellAnchor>
  <xdr:twoCellAnchor editAs="oneCell">
    <xdr:from>
      <xdr:col>12</xdr:col>
      <xdr:colOff>23112</xdr:colOff>
      <xdr:row>1</xdr:row>
      <xdr:rowOff>181428</xdr:rowOff>
    </xdr:from>
    <xdr:to>
      <xdr:col>20</xdr:col>
      <xdr:colOff>22067</xdr:colOff>
      <xdr:row>23</xdr:row>
      <xdr:rowOff>72111</xdr:rowOff>
    </xdr:to>
    <xdr:pic>
      <xdr:nvPicPr>
        <xdr:cNvPr id="8" name="Picture 7">
          <a:extLst>
            <a:ext uri="{FF2B5EF4-FFF2-40B4-BE49-F238E27FC236}">
              <a16:creationId xmlns:a16="http://schemas.microsoft.com/office/drawing/2014/main" id="{F15AE175-C868-762A-829E-3DCF60759A71}"/>
            </a:ext>
          </a:extLst>
        </xdr:cNvPr>
        <xdr:cNvPicPr>
          <a:picLocks noChangeAspect="1"/>
        </xdr:cNvPicPr>
      </xdr:nvPicPr>
      <xdr:blipFill>
        <a:blip xmlns:r="http://schemas.openxmlformats.org/officeDocument/2006/relationships" r:embed="rId7"/>
        <a:stretch>
          <a:fillRect/>
        </a:stretch>
      </xdr:blipFill>
      <xdr:spPr>
        <a:xfrm>
          <a:off x="9693255" y="589642"/>
          <a:ext cx="6457812" cy="48255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2171700</xdr:colOff>
      <xdr:row>13</xdr:row>
      <xdr:rowOff>163830</xdr:rowOff>
    </xdr:from>
    <xdr:to>
      <xdr:col>9</xdr:col>
      <xdr:colOff>800100</xdr:colOff>
      <xdr:row>34</xdr:row>
      <xdr:rowOff>60960</xdr:rowOff>
    </xdr:to>
    <xdr:graphicFrame macro="">
      <xdr:nvGraphicFramePr>
        <xdr:cNvPr id="2" name="Chart 1">
          <a:extLst>
            <a:ext uri="{FF2B5EF4-FFF2-40B4-BE49-F238E27FC236}">
              <a16:creationId xmlns:a16="http://schemas.microsoft.com/office/drawing/2014/main" id="{C3D33616-0411-BD8E-4F4D-A2BD17DE9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0.1302</cdr:x>
      <cdr:y>0.43611</cdr:y>
    </cdr:from>
    <cdr:to>
      <cdr:x>0.98928</cdr:x>
      <cdr:y>0.43611</cdr:y>
    </cdr:to>
    <cdr:cxnSp macro="">
      <cdr:nvCxnSpPr>
        <cdr:cNvPr id="3" name="Straight Connector 2">
          <a:extLst xmlns:a="http://schemas.openxmlformats.org/drawingml/2006/main">
            <a:ext uri="{FF2B5EF4-FFF2-40B4-BE49-F238E27FC236}">
              <a16:creationId xmlns:a16="http://schemas.microsoft.com/office/drawing/2014/main" id="{F62FE6BB-9161-D2BE-8454-A17112A55470}"/>
            </a:ext>
          </a:extLst>
        </cdr:cNvPr>
        <cdr:cNvCxnSpPr/>
      </cdr:nvCxnSpPr>
      <cdr:spPr>
        <a:xfrm xmlns:a="http://schemas.openxmlformats.org/drawingml/2006/main">
          <a:off x="731759" y="1652650"/>
          <a:ext cx="4828257" cy="0"/>
        </a:xfrm>
        <a:prstGeom xmlns:a="http://schemas.openxmlformats.org/drawingml/2006/main" prst="line">
          <a:avLst/>
        </a:prstGeom>
        <a:ln xmlns:a="http://schemas.openxmlformats.org/drawingml/2006/main">
          <a:solidFill>
            <a:schemeClr val="accent4">
              <a:lumMod val="60000"/>
              <a:lumOff val="40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hreecement.com/"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1BFA-239C-4A83-A088-BA74B8A963D5}">
  <dimension ref="B2:L36"/>
  <sheetViews>
    <sheetView showGridLines="0" tabSelected="1" zoomScale="92" workbookViewId="0">
      <selection activeCell="G19" sqref="G19"/>
    </sheetView>
  </sheetViews>
  <sheetFormatPr defaultRowHeight="14.4" x14ac:dyDescent="0.3"/>
  <cols>
    <col min="3" max="3" width="13.88671875" customWidth="1"/>
    <col min="4" max="4" width="23.77734375" customWidth="1"/>
    <col min="10" max="10" width="9.44140625" customWidth="1"/>
    <col min="11" max="11" width="6.6640625" customWidth="1"/>
  </cols>
  <sheetData>
    <row r="2" spans="2:12" x14ac:dyDescent="0.3">
      <c r="B2" s="3"/>
      <c r="C2" s="3"/>
      <c r="D2" s="3"/>
      <c r="E2" s="3"/>
      <c r="F2" s="119"/>
      <c r="G2" s="3"/>
      <c r="H2" s="120"/>
      <c r="I2" s="120"/>
      <c r="J2" s="119"/>
      <c r="K2" s="120"/>
      <c r="L2" s="120"/>
    </row>
    <row r="3" spans="2:12" x14ac:dyDescent="0.3">
      <c r="B3" s="146" t="e" vm="1">
        <v>#VALUE!</v>
      </c>
      <c r="C3" s="146"/>
      <c r="D3" s="3"/>
      <c r="E3" s="3"/>
      <c r="F3" s="3"/>
      <c r="G3" s="3"/>
      <c r="H3" s="120"/>
      <c r="I3" s="120"/>
      <c r="J3" s="3"/>
      <c r="K3" s="120"/>
      <c r="L3" s="120"/>
    </row>
    <row r="4" spans="2:12" ht="14.4" customHeight="1" x14ac:dyDescent="0.85">
      <c r="B4" s="146"/>
      <c r="C4" s="146"/>
      <c r="D4" s="145" t="s">
        <v>445</v>
      </c>
      <c r="E4" s="145"/>
      <c r="F4" s="145"/>
      <c r="G4" s="145"/>
      <c r="H4" s="145"/>
      <c r="I4" s="145"/>
      <c r="J4" s="125"/>
      <c r="K4" s="121"/>
      <c r="L4" s="121"/>
    </row>
    <row r="5" spans="2:12" ht="14.4" customHeight="1" x14ac:dyDescent="0.85">
      <c r="B5" s="146"/>
      <c r="C5" s="146"/>
      <c r="D5" s="145"/>
      <c r="E5" s="145"/>
      <c r="F5" s="145"/>
      <c r="G5" s="145"/>
      <c r="H5" s="145"/>
      <c r="I5" s="145"/>
      <c r="J5" s="125"/>
      <c r="K5" s="120"/>
      <c r="L5" s="120"/>
    </row>
    <row r="6" spans="2:12" ht="14.4" customHeight="1" x14ac:dyDescent="0.85">
      <c r="B6" s="146"/>
      <c r="C6" s="146"/>
      <c r="D6" s="145"/>
      <c r="E6" s="145"/>
      <c r="F6" s="145"/>
      <c r="G6" s="145"/>
      <c r="H6" s="145"/>
      <c r="I6" s="145"/>
      <c r="J6" s="125"/>
      <c r="K6" s="120"/>
      <c r="L6" s="120"/>
    </row>
    <row r="7" spans="2:12" ht="18" x14ac:dyDescent="0.35">
      <c r="B7" s="146"/>
      <c r="C7" s="146"/>
      <c r="D7" s="149" t="s">
        <v>434</v>
      </c>
      <c r="E7" s="149"/>
      <c r="F7" s="149"/>
      <c r="G7" s="149"/>
      <c r="H7" s="149"/>
      <c r="I7" s="149"/>
      <c r="J7" s="119"/>
      <c r="K7" s="120"/>
      <c r="L7" s="120"/>
    </row>
    <row r="8" spans="2:12" x14ac:dyDescent="0.3">
      <c r="B8" s="3"/>
      <c r="C8" s="3"/>
      <c r="D8" s="3"/>
      <c r="E8" s="3"/>
      <c r="F8" s="119"/>
      <c r="G8" s="3"/>
      <c r="H8" s="120"/>
      <c r="I8" s="120"/>
      <c r="J8" s="119"/>
      <c r="K8" s="120"/>
      <c r="L8" s="120"/>
    </row>
    <row r="9" spans="2:12" x14ac:dyDescent="0.3">
      <c r="B9" s="3"/>
      <c r="C9" s="3"/>
      <c r="D9" s="3"/>
      <c r="E9" s="3"/>
      <c r="F9" s="119"/>
      <c r="G9" s="3"/>
      <c r="H9" s="120"/>
      <c r="I9" s="120"/>
      <c r="J9" s="119"/>
      <c r="K9" s="120"/>
      <c r="L9" s="120"/>
    </row>
    <row r="10" spans="2:12" x14ac:dyDescent="0.3">
      <c r="B10" s="122"/>
      <c r="C10" s="147" t="s">
        <v>518</v>
      </c>
      <c r="D10" s="147"/>
      <c r="E10" s="147"/>
      <c r="F10" s="147"/>
      <c r="G10" s="122"/>
      <c r="H10" s="83" t="s">
        <v>435</v>
      </c>
      <c r="I10" t="s">
        <v>436</v>
      </c>
      <c r="L10" s="122"/>
    </row>
    <row r="11" spans="2:12" x14ac:dyDescent="0.3">
      <c r="B11" s="122"/>
      <c r="C11" s="147" t="s">
        <v>517</v>
      </c>
      <c r="D11" s="147"/>
      <c r="E11" s="147"/>
      <c r="F11" s="147"/>
      <c r="G11" s="122"/>
      <c r="H11" t="s">
        <v>435</v>
      </c>
      <c r="I11" t="s">
        <v>437</v>
      </c>
      <c r="L11" s="122"/>
    </row>
    <row r="12" spans="2:12" x14ac:dyDescent="0.3">
      <c r="B12" s="122"/>
      <c r="C12" s="147" t="s">
        <v>516</v>
      </c>
      <c r="D12" s="147"/>
      <c r="E12" s="147"/>
      <c r="F12" s="147"/>
      <c r="G12" s="122"/>
      <c r="H12" s="93" t="s">
        <v>435</v>
      </c>
      <c r="I12" t="s">
        <v>438</v>
      </c>
      <c r="L12" s="122"/>
    </row>
    <row r="13" spans="2:12" x14ac:dyDescent="0.3">
      <c r="B13" s="122"/>
      <c r="C13" s="147" t="s">
        <v>514</v>
      </c>
      <c r="D13" s="147"/>
      <c r="E13" s="147"/>
      <c r="F13" s="147"/>
      <c r="G13" s="122"/>
      <c r="H13" s="122"/>
      <c r="I13" s="122"/>
      <c r="J13" s="122"/>
      <c r="K13" s="122"/>
      <c r="L13" s="122"/>
    </row>
    <row r="14" spans="2:12" x14ac:dyDescent="0.3">
      <c r="B14" s="122"/>
      <c r="C14" s="147" t="s">
        <v>446</v>
      </c>
      <c r="D14" s="147"/>
      <c r="E14" s="147"/>
      <c r="F14" s="147"/>
      <c r="G14" s="122"/>
      <c r="H14" s="122"/>
      <c r="I14" s="122"/>
      <c r="J14" s="122"/>
      <c r="K14" s="122"/>
      <c r="L14" s="122"/>
    </row>
    <row r="15" spans="2:12" x14ac:dyDescent="0.3">
      <c r="B15" s="122"/>
      <c r="C15" s="147" t="s">
        <v>515</v>
      </c>
      <c r="D15" s="147"/>
      <c r="E15" s="147"/>
      <c r="F15" s="147"/>
      <c r="G15" s="122"/>
      <c r="H15" s="122"/>
      <c r="I15" s="122"/>
      <c r="J15" s="122"/>
      <c r="K15" s="122"/>
      <c r="L15" s="122"/>
    </row>
    <row r="16" spans="2:12" x14ac:dyDescent="0.3">
      <c r="B16" s="122"/>
      <c r="C16" s="122"/>
      <c r="D16" s="122"/>
      <c r="E16" s="122"/>
      <c r="F16" s="122"/>
      <c r="G16" s="122"/>
      <c r="H16" s="122"/>
      <c r="I16" s="122"/>
      <c r="J16" s="122"/>
      <c r="K16" s="122"/>
      <c r="L16" s="122"/>
    </row>
    <row r="17" spans="2:12" ht="23.4" x14ac:dyDescent="0.45">
      <c r="B17" s="122"/>
      <c r="C17" s="122"/>
      <c r="D17" s="122"/>
      <c r="E17" s="148" t="s">
        <v>439</v>
      </c>
      <c r="F17" s="148"/>
      <c r="G17" s="131"/>
      <c r="H17" s="131"/>
      <c r="I17" s="122"/>
      <c r="J17" s="122"/>
      <c r="K17" s="122"/>
      <c r="L17" s="122"/>
    </row>
    <row r="18" spans="2:12" x14ac:dyDescent="0.3">
      <c r="B18" s="122"/>
      <c r="C18" s="123"/>
      <c r="D18" s="123"/>
      <c r="E18" s="123"/>
      <c r="F18" s="123"/>
      <c r="G18" s="122"/>
      <c r="H18" s="122"/>
      <c r="I18" s="122"/>
      <c r="J18" s="122"/>
      <c r="K18" s="122"/>
      <c r="L18" s="122"/>
    </row>
    <row r="19" spans="2:12" x14ac:dyDescent="0.3">
      <c r="B19" s="122"/>
      <c r="C19" s="124"/>
      <c r="D19" s="124" t="s">
        <v>386</v>
      </c>
      <c r="E19" s="123"/>
      <c r="F19" s="123"/>
      <c r="G19" s="122"/>
      <c r="H19" s="122"/>
      <c r="I19" s="122"/>
      <c r="J19" s="122"/>
      <c r="K19" s="122"/>
      <c r="L19" s="122"/>
    </row>
    <row r="20" spans="2:12" x14ac:dyDescent="0.3">
      <c r="B20" s="122"/>
      <c r="C20" s="123"/>
      <c r="D20" s="124" t="s">
        <v>440</v>
      </c>
      <c r="E20" s="123"/>
      <c r="F20" s="123"/>
      <c r="G20" s="122"/>
      <c r="H20" s="122"/>
      <c r="I20" s="122"/>
      <c r="J20" s="122"/>
      <c r="K20" s="122"/>
      <c r="L20" s="122"/>
    </row>
    <row r="21" spans="2:12" x14ac:dyDescent="0.3">
      <c r="B21" s="122"/>
      <c r="C21" s="123"/>
      <c r="D21" s="124" t="s">
        <v>0</v>
      </c>
      <c r="E21" s="123"/>
      <c r="F21" s="123"/>
      <c r="G21" s="122"/>
      <c r="H21" s="122"/>
      <c r="I21" s="122"/>
      <c r="J21" s="122"/>
      <c r="K21" s="122"/>
      <c r="L21" s="122"/>
    </row>
    <row r="22" spans="2:12" x14ac:dyDescent="0.3">
      <c r="B22" s="122"/>
      <c r="C22" s="123"/>
      <c r="D22" s="124" t="s">
        <v>441</v>
      </c>
      <c r="E22" s="123"/>
      <c r="F22" s="123"/>
      <c r="G22" s="122"/>
      <c r="H22" s="122"/>
      <c r="I22" s="122"/>
      <c r="J22" s="122"/>
      <c r="K22" s="122"/>
      <c r="L22" s="122"/>
    </row>
    <row r="23" spans="2:12" x14ac:dyDescent="0.3">
      <c r="B23" s="122"/>
      <c r="C23" s="123"/>
      <c r="D23" s="124" t="s">
        <v>322</v>
      </c>
      <c r="E23" s="123"/>
      <c r="F23" s="123"/>
      <c r="G23" s="122"/>
      <c r="H23" s="122"/>
      <c r="I23" s="122"/>
      <c r="J23" s="122"/>
      <c r="K23" s="122"/>
      <c r="L23" s="122"/>
    </row>
    <row r="24" spans="2:12" x14ac:dyDescent="0.3">
      <c r="B24" s="122"/>
      <c r="C24" s="123"/>
      <c r="D24" s="124" t="s">
        <v>336</v>
      </c>
      <c r="E24" s="123"/>
      <c r="F24" s="123"/>
      <c r="G24" s="122"/>
      <c r="H24" s="122"/>
      <c r="I24" s="122"/>
      <c r="J24" s="122"/>
      <c r="K24" s="122"/>
      <c r="L24" s="122"/>
    </row>
    <row r="25" spans="2:12" x14ac:dyDescent="0.3">
      <c r="B25" s="122"/>
      <c r="C25" s="123"/>
      <c r="D25" s="124" t="s">
        <v>332</v>
      </c>
      <c r="E25" s="123"/>
      <c r="F25" s="123"/>
      <c r="G25" s="122"/>
      <c r="H25" s="122"/>
      <c r="I25" s="122"/>
      <c r="J25" s="122"/>
      <c r="K25" s="122"/>
      <c r="L25" s="122"/>
    </row>
    <row r="26" spans="2:12" x14ac:dyDescent="0.3">
      <c r="B26" s="122"/>
      <c r="C26" s="123"/>
      <c r="D26" s="124" t="s">
        <v>492</v>
      </c>
      <c r="E26" s="123"/>
      <c r="F26" s="123"/>
      <c r="G26" s="122"/>
      <c r="H26" s="122"/>
      <c r="I26" s="122"/>
      <c r="J26" s="122"/>
      <c r="K26" s="122"/>
      <c r="L26" s="122"/>
    </row>
    <row r="27" spans="2:12" x14ac:dyDescent="0.3">
      <c r="B27" s="122"/>
      <c r="C27" s="123"/>
      <c r="D27" s="124" t="s">
        <v>442</v>
      </c>
      <c r="E27" s="123"/>
      <c r="F27" s="123"/>
      <c r="G27" s="122"/>
      <c r="H27" s="122"/>
      <c r="I27" s="122"/>
      <c r="J27" s="122"/>
      <c r="K27" s="122"/>
      <c r="L27" s="122"/>
    </row>
    <row r="28" spans="2:12" x14ac:dyDescent="0.3">
      <c r="B28" s="122"/>
      <c r="C28" s="123"/>
      <c r="D28" s="124" t="s">
        <v>385</v>
      </c>
      <c r="E28" s="123"/>
      <c r="F28" s="123"/>
      <c r="G28" s="122"/>
      <c r="H28" s="122"/>
      <c r="I28" s="122"/>
      <c r="J28" s="122"/>
      <c r="K28" s="122"/>
      <c r="L28" s="122"/>
    </row>
    <row r="29" spans="2:12" x14ac:dyDescent="0.3">
      <c r="B29" s="122"/>
      <c r="C29" s="123"/>
      <c r="D29" s="124" t="s">
        <v>443</v>
      </c>
      <c r="E29" s="123"/>
      <c r="F29" s="123"/>
      <c r="G29" s="122"/>
      <c r="H29" s="122"/>
      <c r="I29" s="122"/>
      <c r="J29" s="122"/>
      <c r="K29" s="122"/>
      <c r="L29" s="122"/>
    </row>
    <row r="30" spans="2:12" x14ac:dyDescent="0.3">
      <c r="B30" s="122"/>
      <c r="C30" s="123"/>
      <c r="D30" s="124" t="s">
        <v>294</v>
      </c>
      <c r="E30" s="123"/>
      <c r="F30" s="123"/>
      <c r="G30" s="122"/>
      <c r="H30" s="122"/>
      <c r="I30" s="122"/>
      <c r="J30" s="122"/>
      <c r="K30" s="122"/>
      <c r="L30" s="122"/>
    </row>
    <row r="31" spans="2:12" x14ac:dyDescent="0.3">
      <c r="B31" s="122"/>
      <c r="C31" s="123"/>
      <c r="D31" s="124" t="s">
        <v>444</v>
      </c>
      <c r="E31" s="123"/>
      <c r="F31" s="123"/>
      <c r="G31" s="122"/>
      <c r="H31" s="122"/>
      <c r="I31" s="122"/>
      <c r="J31" s="122"/>
      <c r="K31" s="122"/>
      <c r="L31" s="122"/>
    </row>
    <row r="32" spans="2:12" x14ac:dyDescent="0.3">
      <c r="B32" s="122"/>
      <c r="C32" s="123"/>
      <c r="D32" s="124" t="s">
        <v>511</v>
      </c>
      <c r="E32" s="123"/>
      <c r="F32" s="123"/>
      <c r="G32" s="122"/>
      <c r="H32" s="122"/>
      <c r="I32" s="122"/>
      <c r="J32" s="122"/>
      <c r="K32" s="122"/>
      <c r="L32" s="122"/>
    </row>
    <row r="33" spans="2:12" x14ac:dyDescent="0.3">
      <c r="B33" s="122"/>
      <c r="C33" s="123"/>
      <c r="D33" s="123"/>
      <c r="E33" s="123"/>
      <c r="F33" s="123"/>
      <c r="G33" s="122"/>
      <c r="H33" s="122"/>
      <c r="I33" s="122"/>
      <c r="J33" s="122"/>
      <c r="K33" s="122"/>
      <c r="L33" s="122"/>
    </row>
    <row r="34" spans="2:12" x14ac:dyDescent="0.3">
      <c r="B34" s="122"/>
      <c r="C34" s="123"/>
      <c r="D34" s="122"/>
      <c r="E34" s="123"/>
      <c r="F34" s="122"/>
      <c r="G34" s="122"/>
      <c r="H34" s="122"/>
      <c r="I34" s="122"/>
      <c r="J34" s="122"/>
      <c r="K34" s="122"/>
      <c r="L34" s="122"/>
    </row>
    <row r="35" spans="2:12" x14ac:dyDescent="0.3">
      <c r="B35" s="122"/>
      <c r="C35" s="122"/>
      <c r="D35" s="122"/>
      <c r="E35" s="122"/>
      <c r="F35" s="122"/>
      <c r="G35" s="122"/>
      <c r="H35" s="122"/>
      <c r="I35" s="122"/>
      <c r="J35" s="122"/>
      <c r="K35" s="122"/>
      <c r="L35" s="122"/>
    </row>
    <row r="36" spans="2:12" x14ac:dyDescent="0.3">
      <c r="B36" s="122"/>
      <c r="C36" s="122"/>
      <c r="D36" s="122"/>
      <c r="E36" s="122"/>
      <c r="F36" s="122"/>
      <c r="G36" s="122"/>
      <c r="H36" s="122"/>
      <c r="I36" s="122"/>
      <c r="J36" s="122"/>
      <c r="K36" s="122"/>
      <c r="L36" s="122"/>
    </row>
  </sheetData>
  <mergeCells count="10">
    <mergeCell ref="E17:F17"/>
    <mergeCell ref="C13:F13"/>
    <mergeCell ref="C14:F14"/>
    <mergeCell ref="C15:F15"/>
    <mergeCell ref="D7:I7"/>
    <mergeCell ref="D4:I6"/>
    <mergeCell ref="B3:C7"/>
    <mergeCell ref="C10:F10"/>
    <mergeCell ref="C11:F11"/>
    <mergeCell ref="C12:F12"/>
  </mergeCells>
  <hyperlinks>
    <hyperlink ref="D19" location="Assumptions!A1" display="Assumptions" xr:uid="{761E5089-0D9F-4AD5-BD84-10953A435BB1}"/>
    <hyperlink ref="D20" location="'Revenue Scenarios'!A1" display="Revenue Growth Scenarios" xr:uid="{894B0F70-3D7C-47BD-95E9-F17FBB26E6C6}"/>
    <hyperlink ref="D21" location="Historical!A1" display="Historical Information" xr:uid="{8B5414D0-EB41-4DC0-B00F-0BA0B6A39CC8}"/>
    <hyperlink ref="D22" location="'Comps Data'!A1" display="Comps Data" xr:uid="{40D6B5D6-D079-4C61-A701-DE6767709D87}"/>
    <hyperlink ref="D26" location="Schedules!A1" display="Schedules" xr:uid="{973E3F91-6C28-4DDE-B1C0-9CE3E53D3C51}"/>
    <hyperlink ref="D27" location="'Financial Statements'!A1" display="Financial Statements" xr:uid="{6AA34570-CD0A-462C-95C8-199887E77707}"/>
    <hyperlink ref="D28" location="DCF!A1" display="DCF Valuation" xr:uid="{AC30B99C-CD11-4A62-B3F6-E71B99CEB366}"/>
    <hyperlink ref="D29" location="DCF!A46" display="Sensitivity Analysis" xr:uid="{0F725706-E0CD-42AC-A957-7884B7F115C2}"/>
    <hyperlink ref="D30" location="'Comps Valuation'!A1" display="Comps Valuation" xr:uid="{56C1D2C1-D85F-424C-ABFF-5AAE41644A3D}"/>
    <hyperlink ref="D31" location="'Ratio Analysis'!A1" display="Ratio Analysis &amp; Interpretation" xr:uid="{CC30A4FD-8B1C-426E-AF70-C7C86C5CD9F6}"/>
    <hyperlink ref="D23" location="'Market Returns'!A1" display="Market Returns" xr:uid="{640D4C6D-9EE4-47EA-B1B4-1A5EF429AFAD}"/>
    <hyperlink ref="D24" location="WACC!A1" display="WACC" xr:uid="{1A9E7585-9D93-4655-9BE6-F0A12F913C7E}"/>
    <hyperlink ref="D25" location="Beta!A1" display="Beta" xr:uid="{E8C8C1AC-CAA5-4869-9B4D-D40DB05CCD63}"/>
    <hyperlink ref="D32" location="Summary!A1" display="Valuation Summary- Football Analysis" xr:uid="{5A1A9208-7869-4556-94CF-336DD1619DB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6004-4A11-4D34-8F96-372C02035EC2}">
  <dimension ref="A1"/>
  <sheetViews>
    <sheetView workbookViewId="0">
      <selection activeCell="D13" sqref="D13"/>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58522-B5BF-4DE5-8F34-BB784FA89F4F}">
  <dimension ref="A1:AD66"/>
  <sheetViews>
    <sheetView zoomScale="88" workbookViewId="0">
      <pane ySplit="2" topLeftCell="A3" activePane="bottomLeft" state="frozen"/>
      <selection activeCell="D13" sqref="D13"/>
      <selection pane="bottomLeft"/>
    </sheetView>
  </sheetViews>
  <sheetFormatPr defaultColWidth="11.77734375" defaultRowHeight="14.4" x14ac:dyDescent="0.3"/>
  <cols>
    <col min="1" max="3" width="1.33203125" customWidth="1"/>
    <col min="4" max="4" width="40.77734375" customWidth="1"/>
    <col min="5" max="6" width="12.77734375" style="59" customWidth="1"/>
    <col min="7" max="7" width="12.77734375" style="59" bestFit="1" customWidth="1"/>
    <col min="8" max="8" width="10.6640625" style="59" bestFit="1" customWidth="1"/>
    <col min="9" max="19" width="11.77734375" style="59"/>
  </cols>
  <sheetData>
    <row r="1" spans="1:20" ht="32.4" x14ac:dyDescent="0.6">
      <c r="A1" s="1" t="str">
        <f>Historical!A1</f>
        <v>Shree Cement Ltd.</v>
      </c>
      <c r="B1" s="2"/>
      <c r="C1" s="2"/>
      <c r="D1" s="2"/>
      <c r="E1" s="3"/>
      <c r="F1" s="3"/>
      <c r="G1" s="3"/>
      <c r="H1" s="14"/>
      <c r="I1" s="14"/>
      <c r="J1" s="14"/>
      <c r="K1" s="14"/>
      <c r="L1" s="14"/>
      <c r="M1" s="14"/>
      <c r="N1" s="14"/>
      <c r="O1" s="14"/>
      <c r="P1" s="14"/>
      <c r="Q1" s="14"/>
      <c r="R1" s="14"/>
      <c r="S1" s="14"/>
      <c r="T1" s="14"/>
    </row>
    <row r="2" spans="1:20" ht="15.6" x14ac:dyDescent="0.3">
      <c r="A2" s="4" t="s">
        <v>386</v>
      </c>
      <c r="B2" s="4"/>
      <c r="C2" s="4"/>
      <c r="D2" s="4"/>
      <c r="E2" s="5"/>
      <c r="F2" s="5"/>
      <c r="G2" s="5"/>
      <c r="H2" s="6"/>
      <c r="I2" s="6"/>
      <c r="J2" s="6"/>
      <c r="K2" s="6"/>
      <c r="L2" s="6"/>
      <c r="M2" s="6"/>
      <c r="N2" s="6"/>
      <c r="O2" s="6"/>
      <c r="P2" s="6"/>
      <c r="Q2" s="6"/>
      <c r="R2" s="6"/>
      <c r="S2" s="6"/>
      <c r="T2" s="6"/>
    </row>
    <row r="3" spans="1:20" x14ac:dyDescent="0.3">
      <c r="E3"/>
      <c r="F3"/>
      <c r="G3"/>
      <c r="H3"/>
      <c r="I3"/>
      <c r="J3"/>
      <c r="K3"/>
      <c r="L3"/>
      <c r="M3"/>
      <c r="N3"/>
      <c r="O3"/>
      <c r="P3"/>
      <c r="Q3"/>
      <c r="R3"/>
      <c r="S3"/>
    </row>
    <row r="4" spans="1:20" x14ac:dyDescent="0.3">
      <c r="D4" s="47" t="s">
        <v>447</v>
      </c>
      <c r="E4" s="152" t="str">
        <f>Cover!D4</f>
        <v>Shree Cement Ltd.</v>
      </c>
      <c r="F4" s="152"/>
      <c r="G4" s="152"/>
      <c r="H4" s="152"/>
      <c r="I4" s="152"/>
      <c r="J4" s="152"/>
      <c r="K4" s="152"/>
      <c r="L4" s="152"/>
      <c r="M4"/>
      <c r="N4"/>
      <c r="O4"/>
      <c r="P4"/>
      <c r="Q4"/>
      <c r="R4"/>
      <c r="S4"/>
    </row>
    <row r="5" spans="1:20" x14ac:dyDescent="0.3">
      <c r="D5" s="47" t="s">
        <v>448</v>
      </c>
      <c r="E5" s="152" t="s">
        <v>449</v>
      </c>
      <c r="F5" s="152"/>
      <c r="G5" s="152"/>
      <c r="H5" s="152"/>
      <c r="I5" s="152"/>
      <c r="J5" s="152"/>
      <c r="K5" s="152"/>
      <c r="L5" s="152"/>
      <c r="M5"/>
      <c r="N5"/>
      <c r="O5"/>
      <c r="P5"/>
      <c r="Q5"/>
      <c r="R5"/>
      <c r="S5"/>
    </row>
    <row r="6" spans="1:20" x14ac:dyDescent="0.3">
      <c r="D6" s="47" t="s">
        <v>450</v>
      </c>
      <c r="E6" s="152" t="s">
        <v>454</v>
      </c>
      <c r="F6" s="152"/>
      <c r="G6" s="152"/>
      <c r="H6" s="152"/>
      <c r="I6" s="152"/>
      <c r="J6" s="152"/>
      <c r="K6" s="152"/>
      <c r="L6" s="152"/>
      <c r="M6"/>
      <c r="N6"/>
      <c r="O6"/>
      <c r="P6"/>
      <c r="Q6"/>
      <c r="R6"/>
      <c r="S6"/>
    </row>
    <row r="7" spans="1:20" x14ac:dyDescent="0.3">
      <c r="D7" s="47" t="s">
        <v>451</v>
      </c>
      <c r="E7" s="152" t="s">
        <v>455</v>
      </c>
      <c r="F7" s="152"/>
      <c r="G7" s="152"/>
      <c r="H7" s="152"/>
      <c r="I7" s="152"/>
      <c r="J7" s="152"/>
      <c r="K7" s="152"/>
      <c r="L7" s="152"/>
      <c r="M7"/>
      <c r="N7"/>
      <c r="O7"/>
      <c r="P7"/>
      <c r="Q7"/>
      <c r="R7"/>
      <c r="S7"/>
    </row>
    <row r="8" spans="1:20" x14ac:dyDescent="0.3">
      <c r="D8" s="47" t="s">
        <v>452</v>
      </c>
      <c r="E8" s="152" t="s">
        <v>456</v>
      </c>
      <c r="F8" s="152"/>
      <c r="G8" s="152"/>
      <c r="H8" s="152"/>
      <c r="I8" s="152"/>
      <c r="J8" s="152"/>
      <c r="K8" s="152"/>
      <c r="L8" s="152"/>
      <c r="M8"/>
      <c r="N8"/>
      <c r="O8"/>
      <c r="P8"/>
      <c r="Q8"/>
      <c r="R8"/>
      <c r="S8"/>
    </row>
    <row r="9" spans="1:20" x14ac:dyDescent="0.3">
      <c r="D9" s="47" t="s">
        <v>453</v>
      </c>
      <c r="E9" s="154" t="s">
        <v>457</v>
      </c>
      <c r="F9" s="152"/>
      <c r="G9" s="152"/>
      <c r="H9" s="152"/>
      <c r="I9" s="152"/>
      <c r="J9" s="152"/>
      <c r="K9" s="152"/>
      <c r="L9" s="152"/>
      <c r="M9"/>
      <c r="N9"/>
      <c r="O9"/>
      <c r="P9"/>
      <c r="Q9"/>
      <c r="R9"/>
      <c r="S9"/>
    </row>
    <row r="10" spans="1:20" ht="85.8" customHeight="1" x14ac:dyDescent="0.3">
      <c r="D10" s="14" t="s">
        <v>447</v>
      </c>
      <c r="E10" s="155" t="s">
        <v>458</v>
      </c>
      <c r="F10" s="155"/>
      <c r="G10" s="155"/>
      <c r="H10" s="155"/>
      <c r="I10" s="155"/>
      <c r="J10" s="155"/>
      <c r="K10" s="155"/>
      <c r="L10" s="155"/>
      <c r="M10"/>
      <c r="N10"/>
      <c r="O10"/>
      <c r="P10"/>
      <c r="Q10"/>
      <c r="R10"/>
      <c r="S10"/>
    </row>
    <row r="11" spans="1:20" x14ac:dyDescent="0.3">
      <c r="D11" s="47" t="s">
        <v>393</v>
      </c>
      <c r="E11" s="156">
        <f>'Comps Data'!F5</f>
        <v>24890</v>
      </c>
      <c r="F11" s="156"/>
      <c r="G11" s="156"/>
      <c r="H11" s="156"/>
      <c r="I11" s="156"/>
      <c r="J11" s="156"/>
      <c r="K11" s="156"/>
      <c r="L11" s="156"/>
      <c r="M11"/>
      <c r="N11"/>
      <c r="O11"/>
      <c r="P11"/>
      <c r="Q11"/>
      <c r="R11"/>
      <c r="S11"/>
    </row>
    <row r="12" spans="1:20" x14ac:dyDescent="0.3">
      <c r="E12"/>
      <c r="F12"/>
      <c r="G12"/>
      <c r="H12"/>
      <c r="I12"/>
      <c r="J12"/>
      <c r="K12"/>
      <c r="L12"/>
      <c r="M12"/>
      <c r="N12"/>
      <c r="O12"/>
      <c r="P12"/>
      <c r="Q12"/>
      <c r="R12"/>
      <c r="S12"/>
    </row>
    <row r="13" spans="1:20" ht="15" thickBot="1" x14ac:dyDescent="0.35">
      <c r="E13"/>
      <c r="F13"/>
      <c r="G13"/>
      <c r="H13"/>
      <c r="I13"/>
      <c r="J13"/>
      <c r="K13"/>
      <c r="L13"/>
      <c r="M13" s="26"/>
      <c r="N13"/>
      <c r="O13"/>
      <c r="P13"/>
      <c r="Q13"/>
      <c r="R13"/>
      <c r="S13"/>
    </row>
    <row r="14" spans="1:20" ht="15" thickTop="1" x14ac:dyDescent="0.3">
      <c r="D14" s="153" t="s">
        <v>459</v>
      </c>
      <c r="E14" s="153"/>
      <c r="F14" s="153"/>
      <c r="G14" s="153"/>
      <c r="H14"/>
      <c r="I14"/>
      <c r="J14"/>
      <c r="K14"/>
      <c r="L14"/>
      <c r="M14"/>
      <c r="N14"/>
      <c r="O14"/>
      <c r="P14"/>
      <c r="Q14"/>
      <c r="R14"/>
      <c r="S14"/>
    </row>
    <row r="15" spans="1:20" x14ac:dyDescent="0.3">
      <c r="D15" s="157" t="s">
        <v>243</v>
      </c>
      <c r="E15" s="157"/>
      <c r="F15" s="157">
        <v>1</v>
      </c>
      <c r="G15" s="157"/>
      <c r="H15"/>
      <c r="I15"/>
      <c r="J15"/>
      <c r="K15"/>
      <c r="L15"/>
      <c r="M15"/>
      <c r="N15"/>
      <c r="O15"/>
      <c r="P15"/>
      <c r="Q15"/>
      <c r="R15"/>
      <c r="S15"/>
    </row>
    <row r="16" spans="1:20" x14ac:dyDescent="0.3">
      <c r="E16"/>
      <c r="F16"/>
      <c r="G16"/>
      <c r="H16"/>
      <c r="I16"/>
      <c r="J16"/>
      <c r="K16"/>
      <c r="L16"/>
      <c r="M16"/>
      <c r="N16"/>
      <c r="O16"/>
      <c r="P16"/>
      <c r="Q16"/>
      <c r="R16"/>
      <c r="S16"/>
    </row>
    <row r="17" spans="4:19" x14ac:dyDescent="0.3">
      <c r="E17"/>
      <c r="F17"/>
      <c r="G17"/>
      <c r="H17"/>
      <c r="I17"/>
      <c r="J17"/>
      <c r="K17"/>
      <c r="L17"/>
      <c r="M17"/>
      <c r="N17"/>
      <c r="O17"/>
      <c r="P17"/>
      <c r="Q17"/>
      <c r="R17"/>
      <c r="S17"/>
    </row>
    <row r="18" spans="4:19" x14ac:dyDescent="0.3">
      <c r="D18" s="153" t="s">
        <v>460</v>
      </c>
      <c r="E18" s="153"/>
      <c r="F18" s="153"/>
      <c r="G18" s="153"/>
      <c r="H18"/>
      <c r="I18"/>
      <c r="J18"/>
      <c r="K18"/>
      <c r="L18"/>
      <c r="M18"/>
      <c r="N18"/>
      <c r="O18"/>
      <c r="P18"/>
      <c r="Q18"/>
      <c r="R18"/>
      <c r="S18"/>
    </row>
    <row r="19" spans="4:19" x14ac:dyDescent="0.3">
      <c r="D19" s="126" t="s">
        <v>247</v>
      </c>
      <c r="E19" s="126"/>
      <c r="F19" s="126"/>
      <c r="G19" s="126" t="s">
        <v>461</v>
      </c>
      <c r="H19"/>
      <c r="I19"/>
      <c r="J19"/>
      <c r="K19"/>
      <c r="L19"/>
      <c r="M19"/>
      <c r="N19"/>
      <c r="O19"/>
      <c r="P19"/>
      <c r="Q19"/>
      <c r="R19"/>
      <c r="S19"/>
    </row>
    <row r="20" spans="4:19" x14ac:dyDescent="0.3">
      <c r="D20" t="s">
        <v>462</v>
      </c>
      <c r="E20" t="s">
        <v>463</v>
      </c>
      <c r="F20"/>
      <c r="G20" s="128">
        <v>36081421</v>
      </c>
      <c r="H20"/>
      <c r="I20"/>
      <c r="J20"/>
      <c r="K20"/>
      <c r="L20"/>
      <c r="M20"/>
      <c r="N20"/>
      <c r="O20"/>
      <c r="P20"/>
      <c r="Q20"/>
      <c r="R20"/>
      <c r="S20"/>
    </row>
    <row r="21" spans="4:19" x14ac:dyDescent="0.3">
      <c r="D21" t="s">
        <v>464</v>
      </c>
      <c r="E21" t="s">
        <v>465</v>
      </c>
      <c r="F21"/>
      <c r="G21" s="83">
        <v>10</v>
      </c>
      <c r="H21"/>
      <c r="I21"/>
      <c r="J21"/>
      <c r="K21"/>
      <c r="L21"/>
      <c r="M21"/>
      <c r="N21"/>
      <c r="O21"/>
      <c r="P21"/>
      <c r="Q21"/>
      <c r="R21"/>
      <c r="S21"/>
    </row>
    <row r="22" spans="4:19" x14ac:dyDescent="0.3">
      <c r="D22" t="s">
        <v>393</v>
      </c>
      <c r="E22" t="s">
        <v>465</v>
      </c>
      <c r="F22"/>
      <c r="G22" s="49">
        <f>E11</f>
        <v>24890</v>
      </c>
      <c r="H22"/>
      <c r="I22"/>
      <c r="J22"/>
      <c r="K22"/>
      <c r="L22"/>
      <c r="M22"/>
      <c r="N22"/>
      <c r="O22"/>
      <c r="P22"/>
      <c r="Q22"/>
      <c r="R22"/>
      <c r="S22"/>
    </row>
    <row r="23" spans="4:19" x14ac:dyDescent="0.3">
      <c r="D23" t="s">
        <v>466</v>
      </c>
      <c r="E23" t="s">
        <v>469</v>
      </c>
      <c r="F23"/>
      <c r="G23" s="127">
        <f>'Comps Valuation'!J17</f>
        <v>89806.656868999999</v>
      </c>
      <c r="H23"/>
      <c r="I23"/>
      <c r="J23"/>
      <c r="K23"/>
      <c r="L23"/>
      <c r="M23"/>
      <c r="N23"/>
      <c r="O23"/>
      <c r="P23"/>
      <c r="Q23"/>
      <c r="R23"/>
      <c r="S23"/>
    </row>
    <row r="24" spans="4:19" x14ac:dyDescent="0.3">
      <c r="E24"/>
      <c r="F24"/>
      <c r="G24"/>
      <c r="H24"/>
      <c r="I24"/>
      <c r="J24"/>
      <c r="K24"/>
      <c r="L24"/>
      <c r="M24"/>
      <c r="N24"/>
      <c r="O24"/>
      <c r="P24"/>
      <c r="Q24"/>
      <c r="R24"/>
      <c r="S24"/>
    </row>
    <row r="25" spans="4:19" x14ac:dyDescent="0.3">
      <c r="E25"/>
      <c r="F25"/>
      <c r="G25"/>
      <c r="H25"/>
      <c r="I25"/>
      <c r="J25"/>
      <c r="K25"/>
      <c r="L25"/>
      <c r="M25"/>
      <c r="N25"/>
      <c r="O25"/>
      <c r="P25"/>
      <c r="Q25"/>
      <c r="R25"/>
      <c r="S25"/>
    </row>
    <row r="26" spans="4:19" x14ac:dyDescent="0.3">
      <c r="D26" s="153" t="s">
        <v>386</v>
      </c>
      <c r="E26" s="153"/>
      <c r="F26" s="153"/>
      <c r="G26" s="153"/>
      <c r="H26"/>
      <c r="I26"/>
      <c r="J26"/>
      <c r="K26"/>
      <c r="L26"/>
      <c r="M26"/>
      <c r="N26"/>
      <c r="O26"/>
      <c r="P26"/>
      <c r="Q26"/>
      <c r="R26"/>
      <c r="S26"/>
    </row>
    <row r="27" spans="4:19" x14ac:dyDescent="0.3">
      <c r="D27" t="s">
        <v>467</v>
      </c>
      <c r="E27" t="s">
        <v>206</v>
      </c>
      <c r="F27"/>
      <c r="G27" s="89">
        <f>DCF!E11</f>
        <v>0.04</v>
      </c>
      <c r="H27"/>
      <c r="I27"/>
      <c r="J27"/>
      <c r="K27"/>
      <c r="L27"/>
      <c r="M27"/>
      <c r="N27"/>
      <c r="O27"/>
      <c r="P27"/>
      <c r="Q27"/>
      <c r="R27"/>
      <c r="S27"/>
    </row>
    <row r="28" spans="4:19" x14ac:dyDescent="0.3">
      <c r="D28" t="s">
        <v>468</v>
      </c>
      <c r="E28" t="s">
        <v>206</v>
      </c>
      <c r="F28"/>
      <c r="G28" s="129">
        <f>'Market Returns'!I11</f>
        <v>6.9290000000000004E-2</v>
      </c>
      <c r="H28"/>
      <c r="I28"/>
      <c r="J28"/>
      <c r="K28"/>
      <c r="L28"/>
      <c r="M28"/>
      <c r="N28"/>
      <c r="O28"/>
      <c r="P28"/>
      <c r="Q28"/>
      <c r="R28"/>
      <c r="S28"/>
    </row>
    <row r="29" spans="4:19" x14ac:dyDescent="0.3">
      <c r="D29" t="s">
        <v>307</v>
      </c>
      <c r="E29" t="s">
        <v>206</v>
      </c>
      <c r="F29"/>
      <c r="G29" s="89">
        <f>'Comps Valuation'!Q17</f>
        <v>0.24651100000000001</v>
      </c>
      <c r="H29"/>
      <c r="I29"/>
      <c r="J29"/>
      <c r="K29"/>
      <c r="L29"/>
      <c r="M29"/>
      <c r="N29"/>
      <c r="O29"/>
      <c r="P29"/>
      <c r="Q29"/>
      <c r="R29"/>
      <c r="S29"/>
    </row>
    <row r="30" spans="4:19" x14ac:dyDescent="0.3">
      <c r="E30"/>
      <c r="F30"/>
      <c r="G30"/>
      <c r="H30"/>
      <c r="I30"/>
      <c r="J30"/>
      <c r="K30"/>
      <c r="L30"/>
      <c r="M30"/>
      <c r="N30"/>
      <c r="O30"/>
      <c r="P30"/>
      <c r="Q30"/>
      <c r="R30"/>
      <c r="S30"/>
    </row>
    <row r="31" spans="4:19" x14ac:dyDescent="0.3">
      <c r="E31"/>
      <c r="F31"/>
      <c r="G31"/>
      <c r="H31"/>
      <c r="I31"/>
      <c r="J31"/>
      <c r="K31"/>
      <c r="L31"/>
      <c r="M31"/>
      <c r="N31"/>
      <c r="O31"/>
      <c r="P31"/>
      <c r="Q31"/>
      <c r="R31"/>
      <c r="S31"/>
    </row>
    <row r="32" spans="4:19" x14ac:dyDescent="0.3">
      <c r="D32" s="47" t="s">
        <v>470</v>
      </c>
      <c r="E32" s="153" t="s">
        <v>386</v>
      </c>
      <c r="F32" s="153"/>
      <c r="G32" s="153"/>
      <c r="H32" s="153"/>
      <c r="I32" s="153"/>
      <c r="J32" s="153"/>
      <c r="K32" s="153"/>
      <c r="L32" s="153"/>
      <c r="M32" s="153"/>
      <c r="N32" s="153"/>
      <c r="O32" s="153"/>
      <c r="P32" s="153"/>
      <c r="Q32" s="153"/>
      <c r="R32" s="153"/>
      <c r="S32" s="153"/>
    </row>
    <row r="33" spans="4:30" ht="61.8" customHeight="1" x14ac:dyDescent="0.3">
      <c r="D33" s="151" t="s">
        <v>471</v>
      </c>
      <c r="E33" s="150" t="s">
        <v>507</v>
      </c>
      <c r="F33" s="150"/>
      <c r="G33" s="150"/>
      <c r="H33" s="150"/>
      <c r="I33" s="150"/>
      <c r="J33" s="150"/>
      <c r="K33" s="150"/>
      <c r="L33" s="150"/>
      <c r="M33" s="150"/>
      <c r="N33" s="150"/>
      <c r="O33" s="150"/>
      <c r="P33" s="150"/>
      <c r="Q33" s="150"/>
      <c r="R33" s="150"/>
      <c r="S33" s="150"/>
    </row>
    <row r="34" spans="4:30" ht="16.2" customHeight="1" x14ac:dyDescent="0.3">
      <c r="D34" s="151"/>
      <c r="E34" s="150" t="s">
        <v>513</v>
      </c>
      <c r="F34" s="150"/>
      <c r="G34" s="150"/>
      <c r="H34" s="150"/>
      <c r="I34" s="150"/>
      <c r="J34" s="150"/>
      <c r="K34" s="150"/>
      <c r="L34" s="150"/>
      <c r="M34" s="150"/>
      <c r="N34" s="150"/>
      <c r="O34" s="150"/>
      <c r="P34" s="150"/>
      <c r="Q34" s="150"/>
      <c r="R34" s="150"/>
      <c r="S34" s="150"/>
    </row>
    <row r="35" spans="4:30" ht="45" customHeight="1" x14ac:dyDescent="0.3">
      <c r="D35" s="151" t="s">
        <v>472</v>
      </c>
      <c r="E35" s="150" t="s">
        <v>473</v>
      </c>
      <c r="F35" s="150"/>
      <c r="G35" s="150"/>
      <c r="H35" s="150"/>
      <c r="I35" s="150"/>
      <c r="J35" s="150"/>
      <c r="K35" s="150"/>
      <c r="L35" s="150"/>
      <c r="M35" s="150"/>
      <c r="N35" s="150"/>
      <c r="O35" s="150"/>
      <c r="P35" s="150"/>
      <c r="Q35" s="150"/>
      <c r="R35" s="150"/>
      <c r="S35" s="150"/>
    </row>
    <row r="36" spans="4:30" ht="28.2" customHeight="1" x14ac:dyDescent="0.3">
      <c r="D36" s="151"/>
      <c r="E36" s="150" t="s">
        <v>506</v>
      </c>
      <c r="F36" s="150"/>
      <c r="G36" s="150"/>
      <c r="H36" s="150"/>
      <c r="I36" s="150"/>
      <c r="J36" s="150"/>
      <c r="K36" s="150"/>
      <c r="L36" s="150"/>
      <c r="M36" s="150"/>
      <c r="N36" s="150"/>
      <c r="O36" s="150"/>
      <c r="P36" s="150"/>
      <c r="Q36" s="150"/>
      <c r="R36" s="150"/>
      <c r="S36" s="150"/>
    </row>
    <row r="37" spans="4:30" ht="28.8" customHeight="1" x14ac:dyDescent="0.3">
      <c r="D37" s="151"/>
      <c r="E37" s="150" t="s">
        <v>474</v>
      </c>
      <c r="F37" s="150"/>
      <c r="G37" s="150"/>
      <c r="H37" s="150"/>
      <c r="I37" s="150"/>
      <c r="J37" s="150"/>
      <c r="K37" s="150"/>
      <c r="L37" s="150"/>
      <c r="M37" s="150"/>
      <c r="N37" s="150"/>
      <c r="O37" s="150"/>
      <c r="P37" s="150"/>
      <c r="Q37" s="150"/>
      <c r="R37" s="150"/>
      <c r="S37" s="150"/>
    </row>
    <row r="38" spans="4:30" ht="14.4" customHeight="1" x14ac:dyDescent="0.3">
      <c r="D38" s="151"/>
      <c r="E38" s="150" t="s">
        <v>475</v>
      </c>
      <c r="F38" s="150"/>
      <c r="G38" s="150"/>
      <c r="H38" s="150"/>
      <c r="I38" s="150"/>
      <c r="J38" s="150"/>
      <c r="K38" s="150"/>
      <c r="L38" s="150"/>
      <c r="M38" s="150"/>
      <c r="N38" s="150"/>
      <c r="O38" s="150"/>
      <c r="P38" s="150"/>
      <c r="Q38" s="150"/>
      <c r="R38" s="150"/>
      <c r="S38" s="150"/>
    </row>
    <row r="39" spans="4:30" ht="14.4" customHeight="1" x14ac:dyDescent="0.3">
      <c r="D39" s="151"/>
      <c r="E39" s="150" t="s">
        <v>499</v>
      </c>
      <c r="F39" s="150"/>
      <c r="G39" s="150"/>
      <c r="H39" s="150"/>
      <c r="I39" s="150"/>
      <c r="J39" s="150"/>
      <c r="K39" s="150"/>
      <c r="L39" s="150"/>
      <c r="M39" s="150"/>
      <c r="N39" s="150"/>
      <c r="O39" s="150"/>
      <c r="P39" s="150"/>
      <c r="Q39" s="150"/>
      <c r="R39" s="150"/>
      <c r="S39" s="150"/>
    </row>
    <row r="40" spans="4:30" ht="28.2" customHeight="1" x14ac:dyDescent="0.3">
      <c r="D40" s="151" t="s">
        <v>476</v>
      </c>
      <c r="E40" s="150" t="s">
        <v>477</v>
      </c>
      <c r="F40" s="150"/>
      <c r="G40" s="150"/>
      <c r="H40" s="150"/>
      <c r="I40" s="150"/>
      <c r="J40" s="150"/>
      <c r="K40" s="150"/>
      <c r="L40" s="150"/>
      <c r="M40" s="150"/>
      <c r="N40" s="150"/>
      <c r="O40" s="150"/>
      <c r="P40" s="150"/>
      <c r="Q40" s="150"/>
      <c r="R40" s="150"/>
      <c r="S40" s="150"/>
    </row>
    <row r="41" spans="4:30" ht="28.8" customHeight="1" x14ac:dyDescent="0.3">
      <c r="D41" s="151"/>
      <c r="E41" s="150" t="s">
        <v>478</v>
      </c>
      <c r="F41" s="150"/>
      <c r="G41" s="150"/>
      <c r="H41" s="150"/>
      <c r="I41" s="150"/>
      <c r="J41" s="150"/>
      <c r="K41" s="150"/>
      <c r="L41" s="150"/>
      <c r="M41" s="150"/>
      <c r="N41" s="150"/>
      <c r="O41" s="150"/>
      <c r="P41" s="150"/>
      <c r="Q41" s="150"/>
      <c r="R41" s="150"/>
      <c r="S41" s="150"/>
    </row>
    <row r="42" spans="4:30" ht="14.4" customHeight="1" x14ac:dyDescent="0.3">
      <c r="D42" s="151"/>
      <c r="E42" s="150" t="s">
        <v>479</v>
      </c>
      <c r="F42" s="150"/>
      <c r="G42" s="150"/>
      <c r="H42" s="150"/>
      <c r="I42" s="150"/>
      <c r="J42" s="150"/>
      <c r="K42" s="150"/>
      <c r="L42" s="150"/>
      <c r="M42" s="150"/>
      <c r="N42" s="150"/>
      <c r="O42" s="150"/>
      <c r="P42" s="150"/>
      <c r="Q42" s="150"/>
      <c r="R42" s="150"/>
      <c r="S42" s="150"/>
    </row>
    <row r="43" spans="4:30" ht="14.4" customHeight="1" x14ac:dyDescent="0.3">
      <c r="D43" s="151"/>
      <c r="E43" s="150" t="s">
        <v>501</v>
      </c>
      <c r="F43" s="150"/>
      <c r="G43" s="150"/>
      <c r="H43" s="150"/>
      <c r="I43" s="150"/>
      <c r="J43" s="150"/>
      <c r="K43" s="150"/>
      <c r="L43" s="150"/>
      <c r="M43" s="150"/>
      <c r="N43" s="150"/>
      <c r="O43" s="150"/>
      <c r="P43" s="150"/>
      <c r="Q43" s="150"/>
      <c r="R43" s="150"/>
      <c r="S43" s="150"/>
      <c r="X43" s="138"/>
      <c r="Y43" s="138"/>
      <c r="Z43" s="138"/>
      <c r="AA43" s="138"/>
      <c r="AB43" s="138"/>
      <c r="AC43" s="138"/>
      <c r="AD43" s="138"/>
    </row>
    <row r="44" spans="4:30" x14ac:dyDescent="0.3">
      <c r="D44" s="151"/>
      <c r="E44" s="150" t="s">
        <v>480</v>
      </c>
      <c r="F44" s="150"/>
      <c r="G44" s="150"/>
      <c r="H44" s="150"/>
      <c r="I44" s="150"/>
      <c r="J44" s="150"/>
      <c r="K44" s="150"/>
      <c r="L44" s="150"/>
      <c r="M44" s="150"/>
      <c r="N44" s="150"/>
      <c r="O44" s="150"/>
      <c r="P44" s="150"/>
      <c r="Q44" s="150"/>
      <c r="R44" s="150"/>
      <c r="S44" s="150"/>
      <c r="X44" s="138"/>
      <c r="Y44" s="138"/>
      <c r="Z44" s="138"/>
      <c r="AA44" s="138"/>
      <c r="AB44" s="138"/>
      <c r="AC44" s="138"/>
      <c r="AD44" s="138"/>
    </row>
    <row r="45" spans="4:30" ht="28.2" customHeight="1" x14ac:dyDescent="0.3">
      <c r="D45" s="151"/>
      <c r="E45" s="150" t="s">
        <v>481</v>
      </c>
      <c r="F45" s="150"/>
      <c r="G45" s="150"/>
      <c r="H45" s="150"/>
      <c r="I45" s="150"/>
      <c r="J45" s="150"/>
      <c r="K45" s="150"/>
      <c r="L45" s="150"/>
      <c r="M45" s="150"/>
      <c r="N45" s="150"/>
      <c r="O45" s="150"/>
      <c r="P45" s="150"/>
      <c r="Q45" s="150"/>
      <c r="R45" s="150"/>
      <c r="S45" s="150"/>
      <c r="W45" s="68" t="s">
        <v>508</v>
      </c>
      <c r="X45" s="138"/>
      <c r="Y45" s="158" t="s">
        <v>509</v>
      </c>
      <c r="Z45" s="159"/>
      <c r="AA45" s="159"/>
      <c r="AB45" s="159"/>
      <c r="AC45" s="138"/>
      <c r="AD45" s="138"/>
    </row>
    <row r="46" spans="4:30" ht="28.2" customHeight="1" x14ac:dyDescent="0.3">
      <c r="D46" s="151"/>
      <c r="E46" s="150" t="s">
        <v>482</v>
      </c>
      <c r="F46" s="150"/>
      <c r="G46" s="150"/>
      <c r="H46" s="150"/>
      <c r="I46" s="150"/>
      <c r="J46" s="150"/>
      <c r="K46" s="150"/>
      <c r="L46" s="150"/>
      <c r="M46" s="150"/>
      <c r="N46" s="150"/>
      <c r="O46" s="150"/>
      <c r="P46" s="150"/>
      <c r="Q46" s="150"/>
      <c r="R46" s="150"/>
      <c r="S46" s="150"/>
    </row>
    <row r="47" spans="4:30" ht="30" customHeight="1" x14ac:dyDescent="0.3">
      <c r="D47" s="151"/>
      <c r="E47" s="150" t="s">
        <v>483</v>
      </c>
      <c r="F47" s="150"/>
      <c r="G47" s="150"/>
      <c r="H47" s="150"/>
      <c r="I47" s="150"/>
      <c r="J47" s="150"/>
      <c r="K47" s="150"/>
      <c r="L47" s="150"/>
      <c r="M47" s="150"/>
      <c r="N47" s="150"/>
      <c r="O47" s="150"/>
      <c r="P47" s="150"/>
      <c r="Q47" s="150"/>
      <c r="R47" s="150"/>
      <c r="S47" s="150"/>
    </row>
    <row r="48" spans="4:30" ht="13.8" customHeight="1" x14ac:dyDescent="0.3">
      <c r="D48" s="151"/>
      <c r="E48" s="150" t="s">
        <v>490</v>
      </c>
      <c r="F48" s="150"/>
      <c r="G48" s="150"/>
      <c r="H48" s="150"/>
      <c r="I48" s="150"/>
      <c r="J48" s="150"/>
      <c r="K48" s="150"/>
      <c r="L48" s="150"/>
      <c r="M48" s="150"/>
      <c r="N48" s="150"/>
      <c r="O48" s="150"/>
      <c r="P48" s="150"/>
      <c r="Q48" s="150"/>
      <c r="R48" s="150"/>
      <c r="S48" s="150"/>
    </row>
    <row r="49" spans="4:19" ht="13.8" customHeight="1" x14ac:dyDescent="0.3">
      <c r="D49" s="151"/>
      <c r="E49" s="150" t="s">
        <v>491</v>
      </c>
      <c r="F49" s="150"/>
      <c r="G49" s="150"/>
      <c r="H49" s="150"/>
      <c r="I49" s="150"/>
      <c r="J49" s="150"/>
      <c r="K49" s="150"/>
      <c r="L49" s="150"/>
      <c r="M49" s="150"/>
      <c r="N49" s="150"/>
      <c r="O49" s="150"/>
      <c r="P49" s="150"/>
      <c r="Q49" s="150"/>
      <c r="R49" s="150"/>
      <c r="S49" s="150"/>
    </row>
    <row r="50" spans="4:19" ht="28.8" customHeight="1" x14ac:dyDescent="0.3">
      <c r="D50" s="151"/>
      <c r="E50" s="150" t="s">
        <v>502</v>
      </c>
      <c r="F50" s="150"/>
      <c r="G50" s="150"/>
      <c r="H50" s="150"/>
      <c r="I50" s="150"/>
      <c r="J50" s="150"/>
      <c r="K50" s="150"/>
      <c r="L50" s="150"/>
      <c r="M50" s="150"/>
      <c r="N50" s="150"/>
      <c r="O50" s="150"/>
      <c r="P50" s="150"/>
      <c r="Q50" s="150"/>
      <c r="R50" s="150"/>
      <c r="S50" s="150"/>
    </row>
    <row r="51" spans="4:19" ht="28.8" customHeight="1" x14ac:dyDescent="0.3">
      <c r="D51" s="130" t="s">
        <v>484</v>
      </c>
      <c r="E51" s="150" t="s">
        <v>485</v>
      </c>
      <c r="F51" s="150"/>
      <c r="G51" s="150"/>
      <c r="H51" s="150"/>
      <c r="I51" s="150"/>
      <c r="J51" s="150"/>
      <c r="K51" s="150"/>
      <c r="L51" s="150"/>
      <c r="M51" s="150"/>
      <c r="N51" s="150"/>
      <c r="O51" s="150"/>
      <c r="P51" s="150"/>
      <c r="Q51" s="150"/>
      <c r="R51" s="150"/>
      <c r="S51" s="150"/>
    </row>
    <row r="52" spans="4:19" ht="28.2" customHeight="1" x14ac:dyDescent="0.3">
      <c r="D52" s="151" t="s">
        <v>487</v>
      </c>
      <c r="E52" s="150" t="s">
        <v>488</v>
      </c>
      <c r="F52" s="150"/>
      <c r="G52" s="150"/>
      <c r="H52" s="150"/>
      <c r="I52" s="150"/>
      <c r="J52" s="150"/>
      <c r="K52" s="150"/>
      <c r="L52" s="150"/>
      <c r="M52" s="150"/>
      <c r="N52" s="150"/>
      <c r="O52" s="150"/>
      <c r="P52" s="150"/>
      <c r="Q52" s="150"/>
      <c r="R52" s="150"/>
      <c r="S52" s="150"/>
    </row>
    <row r="53" spans="4:19" ht="14.4" customHeight="1" x14ac:dyDescent="0.3">
      <c r="D53" s="151"/>
      <c r="E53" s="150" t="s">
        <v>503</v>
      </c>
      <c r="F53" s="150"/>
      <c r="G53" s="150"/>
      <c r="H53" s="150"/>
      <c r="I53" s="150"/>
      <c r="J53" s="150"/>
      <c r="K53" s="150"/>
      <c r="L53" s="150"/>
      <c r="M53" s="150"/>
      <c r="N53" s="150"/>
      <c r="O53" s="150"/>
      <c r="P53" s="150"/>
      <c r="Q53" s="150"/>
      <c r="R53" s="150"/>
      <c r="S53" s="150"/>
    </row>
    <row r="54" spans="4:19" ht="14.4" customHeight="1" x14ac:dyDescent="0.3">
      <c r="D54" s="151"/>
      <c r="E54" s="150" t="s">
        <v>512</v>
      </c>
      <c r="F54" s="150"/>
      <c r="G54" s="150"/>
      <c r="H54" s="150"/>
      <c r="I54" s="150"/>
      <c r="J54" s="150"/>
      <c r="K54" s="150"/>
      <c r="L54" s="150"/>
      <c r="M54" s="150"/>
      <c r="N54" s="150"/>
      <c r="O54" s="150"/>
      <c r="P54" s="150"/>
      <c r="Q54" s="150"/>
      <c r="R54" s="150"/>
      <c r="S54" s="150"/>
    </row>
    <row r="55" spans="4:19" ht="14.4" customHeight="1" x14ac:dyDescent="0.3">
      <c r="D55" s="151"/>
      <c r="E55" s="150" t="s">
        <v>489</v>
      </c>
      <c r="F55" s="150"/>
      <c r="G55" s="150"/>
      <c r="H55" s="150"/>
      <c r="I55" s="150"/>
      <c r="J55" s="150"/>
      <c r="K55" s="150"/>
      <c r="L55" s="150"/>
      <c r="M55" s="150"/>
      <c r="N55" s="150"/>
      <c r="O55" s="150"/>
      <c r="P55" s="150"/>
      <c r="Q55" s="150"/>
      <c r="R55" s="150"/>
      <c r="S55" s="150"/>
    </row>
    <row r="56" spans="4:19" ht="15.6" customHeight="1" x14ac:dyDescent="0.3">
      <c r="D56" s="151" t="s">
        <v>493</v>
      </c>
      <c r="E56" s="150" t="s">
        <v>495</v>
      </c>
      <c r="F56" s="150"/>
      <c r="G56" s="150"/>
      <c r="H56" s="150"/>
      <c r="I56" s="150"/>
      <c r="J56" s="150"/>
      <c r="K56" s="150"/>
      <c r="L56" s="150"/>
      <c r="M56" s="150"/>
      <c r="N56" s="150"/>
      <c r="O56" s="150"/>
      <c r="P56" s="150"/>
      <c r="Q56" s="150"/>
      <c r="R56" s="150"/>
      <c r="S56" s="150"/>
    </row>
    <row r="57" spans="4:19" x14ac:dyDescent="0.3">
      <c r="D57" s="151"/>
      <c r="E57" s="150" t="s">
        <v>494</v>
      </c>
      <c r="F57" s="150"/>
      <c r="G57" s="150"/>
      <c r="H57" s="150"/>
      <c r="I57" s="150"/>
      <c r="J57" s="150"/>
      <c r="K57" s="150"/>
      <c r="L57" s="150"/>
      <c r="M57" s="150"/>
      <c r="N57" s="150"/>
      <c r="O57" s="150"/>
      <c r="P57" s="150"/>
      <c r="Q57" s="150"/>
      <c r="R57" s="150"/>
      <c r="S57" s="150"/>
    </row>
    <row r="58" spans="4:19" x14ac:dyDescent="0.3">
      <c r="D58" s="151"/>
      <c r="E58" s="150" t="s">
        <v>505</v>
      </c>
      <c r="F58" s="150"/>
      <c r="G58" s="150"/>
      <c r="H58" s="150"/>
      <c r="I58" s="150"/>
      <c r="J58" s="150"/>
      <c r="K58" s="150"/>
      <c r="L58" s="150"/>
      <c r="M58" s="150"/>
      <c r="N58" s="150"/>
      <c r="O58" s="150"/>
      <c r="P58" s="150"/>
      <c r="Q58" s="150"/>
      <c r="R58" s="150"/>
      <c r="S58" s="150"/>
    </row>
    <row r="59" spans="4:19" x14ac:dyDescent="0.3">
      <c r="E59" s="150"/>
      <c r="F59" s="150"/>
      <c r="G59" s="150"/>
      <c r="H59" s="150"/>
      <c r="I59" s="150"/>
      <c r="J59" s="150"/>
      <c r="K59" s="150"/>
      <c r="L59" s="150"/>
      <c r="M59" s="150"/>
      <c r="N59" s="150"/>
      <c r="O59" s="150"/>
      <c r="P59" s="150"/>
      <c r="Q59" s="150"/>
      <c r="R59" s="150"/>
      <c r="S59" s="150"/>
    </row>
    <row r="60" spans="4:19" x14ac:dyDescent="0.3">
      <c r="E60" s="150"/>
      <c r="F60" s="150"/>
      <c r="G60" s="150"/>
      <c r="H60" s="150"/>
      <c r="I60" s="150"/>
      <c r="J60" s="150"/>
      <c r="K60" s="150"/>
      <c r="L60" s="150"/>
      <c r="M60" s="150"/>
      <c r="N60" s="150"/>
      <c r="O60" s="150"/>
      <c r="P60" s="150"/>
      <c r="Q60" s="150"/>
      <c r="R60" s="150"/>
      <c r="S60" s="150"/>
    </row>
    <row r="61" spans="4:19" x14ac:dyDescent="0.3">
      <c r="D61" s="134" t="s">
        <v>504</v>
      </c>
      <c r="E61" s="150"/>
      <c r="F61" s="150"/>
      <c r="G61" s="150"/>
      <c r="H61" s="150"/>
      <c r="I61" s="150"/>
      <c r="J61" s="150"/>
      <c r="K61" s="150"/>
      <c r="L61" s="150"/>
      <c r="M61" s="150"/>
      <c r="N61" s="150"/>
      <c r="O61" s="150"/>
      <c r="P61" s="150"/>
      <c r="Q61" s="150"/>
      <c r="R61" s="150"/>
      <c r="S61" s="150"/>
    </row>
    <row r="62" spans="4:19" x14ac:dyDescent="0.3">
      <c r="E62" s="150"/>
      <c r="F62" s="150"/>
      <c r="G62" s="150"/>
      <c r="H62" s="150"/>
      <c r="I62" s="150"/>
      <c r="J62" s="150"/>
      <c r="K62" s="150"/>
      <c r="L62" s="150"/>
      <c r="M62" s="150"/>
      <c r="N62" s="150"/>
      <c r="O62" s="150"/>
      <c r="P62" s="150"/>
      <c r="Q62" s="150"/>
      <c r="R62" s="150"/>
      <c r="S62" s="150"/>
    </row>
    <row r="63" spans="4:19" x14ac:dyDescent="0.3">
      <c r="E63" s="150"/>
      <c r="F63" s="150"/>
      <c r="G63" s="150"/>
      <c r="H63" s="150"/>
      <c r="I63" s="150"/>
      <c r="J63" s="150"/>
      <c r="K63" s="150"/>
      <c r="L63" s="150"/>
      <c r="M63" s="150"/>
      <c r="N63" s="150"/>
      <c r="O63" s="150"/>
      <c r="P63" s="150"/>
      <c r="Q63" s="150"/>
      <c r="R63" s="150"/>
      <c r="S63" s="150"/>
    </row>
    <row r="64" spans="4:19" x14ac:dyDescent="0.3">
      <c r="E64" s="150"/>
      <c r="F64" s="150"/>
      <c r="G64" s="150"/>
      <c r="H64" s="150"/>
      <c r="I64" s="150"/>
      <c r="J64" s="150"/>
      <c r="K64" s="150"/>
      <c r="L64" s="150"/>
      <c r="M64" s="150"/>
      <c r="N64" s="150"/>
      <c r="O64" s="150"/>
      <c r="P64" s="150"/>
      <c r="Q64" s="150"/>
      <c r="R64" s="150"/>
      <c r="S64" s="150"/>
    </row>
    <row r="65" spans="5:19" x14ac:dyDescent="0.3">
      <c r="E65" s="150"/>
      <c r="F65" s="150"/>
      <c r="G65" s="150"/>
      <c r="H65" s="150"/>
      <c r="I65" s="150"/>
      <c r="J65" s="150"/>
      <c r="K65" s="150"/>
      <c r="L65" s="150"/>
      <c r="M65" s="150"/>
      <c r="N65" s="150"/>
      <c r="O65" s="150"/>
      <c r="P65" s="150"/>
      <c r="Q65" s="150"/>
      <c r="R65" s="150"/>
      <c r="S65" s="150"/>
    </row>
    <row r="66" spans="5:19" x14ac:dyDescent="0.3">
      <c r="E66" s="150"/>
      <c r="F66" s="150"/>
      <c r="G66" s="150"/>
      <c r="H66" s="150"/>
      <c r="I66" s="150"/>
      <c r="J66" s="150"/>
      <c r="K66" s="150"/>
      <c r="L66" s="150"/>
      <c r="M66" s="150"/>
      <c r="N66" s="150"/>
      <c r="O66" s="150"/>
      <c r="P66" s="150"/>
      <c r="Q66" s="150"/>
      <c r="R66" s="150"/>
      <c r="S66" s="150"/>
    </row>
  </sheetData>
  <mergeCells count="54">
    <mergeCell ref="D52:D55"/>
    <mergeCell ref="D56:D58"/>
    <mergeCell ref="Y45:AB45"/>
    <mergeCell ref="D33:D34"/>
    <mergeCell ref="E34:S34"/>
    <mergeCell ref="E39:S39"/>
    <mergeCell ref="E41:S41"/>
    <mergeCell ref="E42:S42"/>
    <mergeCell ref="E50:S50"/>
    <mergeCell ref="D40:D50"/>
    <mergeCell ref="E43:S43"/>
    <mergeCell ref="E44:S44"/>
    <mergeCell ref="E45:S45"/>
    <mergeCell ref="E46:S46"/>
    <mergeCell ref="E47:S47"/>
    <mergeCell ref="E49:S49"/>
    <mergeCell ref="E48:S48"/>
    <mergeCell ref="E66:S66"/>
    <mergeCell ref="E60:S60"/>
    <mergeCell ref="E61:S61"/>
    <mergeCell ref="E62:S62"/>
    <mergeCell ref="E63:S63"/>
    <mergeCell ref="E64:S64"/>
    <mergeCell ref="E59:S59"/>
    <mergeCell ref="E65:S65"/>
    <mergeCell ref="E51:S51"/>
    <mergeCell ref="E52:S52"/>
    <mergeCell ref="E53:S53"/>
    <mergeCell ref="E54:S54"/>
    <mergeCell ref="E55:S55"/>
    <mergeCell ref="E56:S56"/>
    <mergeCell ref="E57:S57"/>
    <mergeCell ref="E58:S58"/>
    <mergeCell ref="E4:L4"/>
    <mergeCell ref="E5:L5"/>
    <mergeCell ref="E6:L6"/>
    <mergeCell ref="E7:L7"/>
    <mergeCell ref="E8:L8"/>
    <mergeCell ref="D18:G18"/>
    <mergeCell ref="D26:G26"/>
    <mergeCell ref="E40:S40"/>
    <mergeCell ref="E9:L9"/>
    <mergeCell ref="E10:L10"/>
    <mergeCell ref="E11:L11"/>
    <mergeCell ref="D14:G14"/>
    <mergeCell ref="D15:E15"/>
    <mergeCell ref="F15:G15"/>
    <mergeCell ref="E32:S32"/>
    <mergeCell ref="E33:S33"/>
    <mergeCell ref="E35:S35"/>
    <mergeCell ref="E36:S36"/>
    <mergeCell ref="E37:S37"/>
    <mergeCell ref="D35:D39"/>
    <mergeCell ref="E38:S38"/>
  </mergeCells>
  <hyperlinks>
    <hyperlink ref="E9" r:id="rId1" xr:uid="{0A3533CB-47FA-4B55-A830-43C705F65267}"/>
    <hyperlink ref="D61" location="Cover!A1" display="Back to Cover" xr:uid="{56564F85-CD82-42F1-BD29-8C2A2F470976}"/>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09F3B-853B-4DB3-9B78-8E418D9258F8}">
  <dimension ref="A1:Z37"/>
  <sheetViews>
    <sheetView workbookViewId="0">
      <pane ySplit="2" topLeftCell="A3" activePane="bottomLeft" state="frozen"/>
      <selection activeCell="D13" sqref="D13"/>
      <selection pane="bottomLeft"/>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1.77734375" customWidth="1"/>
    <col min="9" max="10" width="11.77734375" style="59" customWidth="1"/>
    <col min="21" max="21" width="34.33203125" customWidth="1"/>
  </cols>
  <sheetData>
    <row r="1" spans="1:26" ht="32.4" x14ac:dyDescent="0.6">
      <c r="A1" s="1" t="str">
        <f>Historical!A1</f>
        <v>Shree Cement Ltd.</v>
      </c>
      <c r="B1" s="2"/>
      <c r="C1" s="2"/>
      <c r="D1" s="2"/>
      <c r="E1" s="3"/>
      <c r="F1" s="3"/>
      <c r="G1" s="3"/>
      <c r="H1" s="160" t="s">
        <v>149</v>
      </c>
      <c r="I1" s="160"/>
      <c r="J1" s="160"/>
      <c r="K1" s="160"/>
      <c r="L1" s="160"/>
      <c r="M1" s="160"/>
      <c r="N1" s="160"/>
      <c r="O1" s="160"/>
      <c r="P1" s="160"/>
      <c r="Q1" s="160"/>
    </row>
    <row r="2" spans="1:26" ht="15.6" x14ac:dyDescent="0.3">
      <c r="A2" s="4" t="s">
        <v>240</v>
      </c>
      <c r="B2" s="4"/>
      <c r="C2" s="4"/>
      <c r="D2" s="4"/>
      <c r="E2" s="5"/>
      <c r="F2" s="5"/>
      <c r="G2" s="5"/>
      <c r="H2" s="7">
        <f>'Financial Statements'!M2</f>
        <v>2026</v>
      </c>
      <c r="I2" s="58">
        <f>'Financial Statements'!N2</f>
        <v>2027</v>
      </c>
      <c r="J2" s="58">
        <f>'Financial Statements'!O2</f>
        <v>2028</v>
      </c>
      <c r="K2" s="7">
        <f>'Financial Statements'!P2</f>
        <v>2029</v>
      </c>
      <c r="L2" s="7">
        <f>'Financial Statements'!Q2</f>
        <v>2030</v>
      </c>
      <c r="M2" s="7">
        <f>'Financial Statements'!R2</f>
        <v>2031</v>
      </c>
      <c r="N2" s="7">
        <f>'Financial Statements'!S2</f>
        <v>2032</v>
      </c>
      <c r="O2" s="7">
        <f>'Financial Statements'!T2</f>
        <v>2033</v>
      </c>
      <c r="P2" s="7">
        <f>'Financial Statements'!U2</f>
        <v>2034</v>
      </c>
      <c r="Q2" s="7">
        <f>'Financial Statements'!V2</f>
        <v>2035</v>
      </c>
    </row>
    <row r="3" spans="1:26" ht="15" thickBot="1" x14ac:dyDescent="0.35">
      <c r="U3" s="50" t="s">
        <v>247</v>
      </c>
      <c r="V3" s="50" t="s">
        <v>248</v>
      </c>
      <c r="W3" s="50" t="s">
        <v>249</v>
      </c>
      <c r="X3" s="50" t="s">
        <v>250</v>
      </c>
      <c r="Y3" s="50" t="s">
        <v>251</v>
      </c>
      <c r="Z3" s="50" t="s">
        <v>252</v>
      </c>
    </row>
    <row r="4" spans="1:26" ht="15" thickBot="1" x14ac:dyDescent="0.35">
      <c r="D4" s="47" t="s">
        <v>241</v>
      </c>
      <c r="E4" s="47" t="s">
        <v>245</v>
      </c>
      <c r="U4" s="51" t="s">
        <v>253</v>
      </c>
      <c r="V4" s="52">
        <v>13559.77</v>
      </c>
      <c r="W4" s="52">
        <v>15009.56</v>
      </c>
      <c r="X4" s="52">
        <v>17852.330000000002</v>
      </c>
      <c r="Y4" s="52">
        <v>20403.8</v>
      </c>
      <c r="Z4" s="52">
        <v>19282.830000000002</v>
      </c>
    </row>
    <row r="5" spans="1:26" ht="15" thickBot="1" x14ac:dyDescent="0.35">
      <c r="D5" t="s">
        <v>243</v>
      </c>
      <c r="E5" s="91">
        <v>7.4999999999999997E-2</v>
      </c>
      <c r="H5" s="40">
        <f>E5</f>
        <v>7.4999999999999997E-2</v>
      </c>
      <c r="I5" s="60">
        <f>H5*(1-$E$8)</f>
        <v>7.0125000000000007E-2</v>
      </c>
      <c r="J5" s="60">
        <f t="shared" ref="J5:Q5" si="0">I5*(1-$E$8)</f>
        <v>6.5566875000000011E-2</v>
      </c>
      <c r="K5" s="40">
        <f t="shared" si="0"/>
        <v>6.1305028125000015E-2</v>
      </c>
      <c r="L5" s="40">
        <f t="shared" si="0"/>
        <v>5.7320201296875019E-2</v>
      </c>
      <c r="M5" s="40">
        <f t="shared" si="0"/>
        <v>5.3594388212578142E-2</v>
      </c>
      <c r="N5" s="40">
        <f t="shared" si="0"/>
        <v>5.0110752978760567E-2</v>
      </c>
      <c r="O5" s="40">
        <f t="shared" si="0"/>
        <v>4.6853554035141132E-2</v>
      </c>
      <c r="P5" s="40">
        <f t="shared" si="0"/>
        <v>4.3808073022856962E-2</v>
      </c>
      <c r="Q5" s="40">
        <f t="shared" si="0"/>
        <v>4.0960548276371266E-2</v>
      </c>
      <c r="U5" s="51" t="s">
        <v>254</v>
      </c>
      <c r="V5" s="53"/>
      <c r="W5" s="53"/>
      <c r="X5" s="53"/>
      <c r="Y5" s="53"/>
      <c r="Z5" s="53"/>
    </row>
    <row r="6" spans="1:26" ht="15" thickBot="1" x14ac:dyDescent="0.35">
      <c r="D6" t="s">
        <v>244</v>
      </c>
      <c r="E6" s="57">
        <f>E5-2.5%</f>
        <v>4.9999999999999996E-2</v>
      </c>
      <c r="H6" s="40">
        <f>E6</f>
        <v>4.9999999999999996E-2</v>
      </c>
      <c r="I6" s="60">
        <f>H6*(1-$E$8)</f>
        <v>4.675E-2</v>
      </c>
      <c r="J6" s="60">
        <f>I6*(1-$E$8)</f>
        <v>4.371125E-2</v>
      </c>
      <c r="K6" s="40">
        <f t="shared" ref="K6:Q6" si="1">J6*(1-$E$8)</f>
        <v>4.0870018750000001E-2</v>
      </c>
      <c r="L6" s="40">
        <f t="shared" si="1"/>
        <v>3.8213467531250003E-2</v>
      </c>
      <c r="M6" s="40">
        <f t="shared" si="1"/>
        <v>3.5729592141718752E-2</v>
      </c>
      <c r="N6" s="40">
        <f t="shared" si="1"/>
        <v>3.3407168652507035E-2</v>
      </c>
      <c r="O6" s="40">
        <f t="shared" si="1"/>
        <v>3.123570269009408E-2</v>
      </c>
      <c r="P6" s="40">
        <f t="shared" si="1"/>
        <v>2.9205382015237966E-2</v>
      </c>
      <c r="Q6" s="40">
        <f t="shared" si="1"/>
        <v>2.7307032184247501E-2</v>
      </c>
      <c r="U6" s="54" t="s">
        <v>255</v>
      </c>
      <c r="V6" s="54" t="s">
        <v>256</v>
      </c>
      <c r="W6" s="55">
        <v>14073.93</v>
      </c>
      <c r="X6" s="55">
        <v>16516.36</v>
      </c>
      <c r="Y6" s="55">
        <v>18460.16</v>
      </c>
      <c r="Z6" s="55">
        <v>17854.509999999998</v>
      </c>
    </row>
    <row r="7" spans="1:26" ht="15" thickBot="1" x14ac:dyDescent="0.35">
      <c r="D7" t="s">
        <v>242</v>
      </c>
      <c r="E7" s="57">
        <f>E5+2.5%</f>
        <v>0.1</v>
      </c>
      <c r="H7" s="40">
        <f>E7</f>
        <v>0.1</v>
      </c>
      <c r="I7" s="60">
        <f>H7*(1-$E$8)</f>
        <v>9.3500000000000014E-2</v>
      </c>
      <c r="J7" s="60">
        <f t="shared" ref="J7:Q7" si="2">I7*(1-$E$8)</f>
        <v>8.7422500000000014E-2</v>
      </c>
      <c r="K7" s="40">
        <f t="shared" si="2"/>
        <v>8.1740037500000015E-2</v>
      </c>
      <c r="L7" s="40">
        <f t="shared" si="2"/>
        <v>7.642693506250002E-2</v>
      </c>
      <c r="M7" s="40">
        <f t="shared" si="2"/>
        <v>7.1459184283437518E-2</v>
      </c>
      <c r="N7" s="40">
        <f t="shared" si="2"/>
        <v>6.6814337305014085E-2</v>
      </c>
      <c r="O7" s="40">
        <f t="shared" si="2"/>
        <v>6.2471405380188173E-2</v>
      </c>
      <c r="P7" s="40">
        <f t="shared" si="2"/>
        <v>5.8410764030475945E-2</v>
      </c>
      <c r="Q7" s="40">
        <f t="shared" si="2"/>
        <v>5.4614064368495009E-2</v>
      </c>
      <c r="U7" s="54" t="s">
        <v>257</v>
      </c>
      <c r="V7" s="54">
        <v>26.84</v>
      </c>
      <c r="W7" s="54">
        <v>27.74</v>
      </c>
      <c r="X7" s="54">
        <v>31.82</v>
      </c>
      <c r="Y7" s="54">
        <v>35.54</v>
      </c>
      <c r="Z7" s="54">
        <v>36.06</v>
      </c>
    </row>
    <row r="8" spans="1:26" x14ac:dyDescent="0.3">
      <c r="D8" t="s">
        <v>246</v>
      </c>
      <c r="E8" s="91">
        <v>6.5000000000000002E-2</v>
      </c>
      <c r="U8" t="s">
        <v>264</v>
      </c>
      <c r="V8" s="39">
        <f>V6/V4</f>
        <v>0.96002144579148463</v>
      </c>
      <c r="W8" s="39">
        <f t="shared" ref="W8:Z8" si="3">W6/W4</f>
        <v>0.93766439522544298</v>
      </c>
      <c r="X8" s="39">
        <f t="shared" si="3"/>
        <v>0.92516551060841912</v>
      </c>
      <c r="Y8" s="39">
        <f t="shared" si="3"/>
        <v>0.90474127368431378</v>
      </c>
      <c r="Z8" s="39">
        <f t="shared" si="3"/>
        <v>0.92592788506666279</v>
      </c>
    </row>
    <row r="9" spans="1:26" ht="15" thickBot="1" x14ac:dyDescent="0.35">
      <c r="U9" s="51" t="s">
        <v>258</v>
      </c>
      <c r="V9" s="53"/>
      <c r="W9" s="53"/>
      <c r="X9" s="53"/>
      <c r="Y9" s="53"/>
      <c r="Z9" s="53"/>
    </row>
    <row r="10" spans="1:26" ht="15" thickBot="1" x14ac:dyDescent="0.35">
      <c r="U10" s="54" t="s">
        <v>255</v>
      </c>
      <c r="V10" s="54" t="s">
        <v>259</v>
      </c>
      <c r="W10" s="54">
        <v>399.82</v>
      </c>
      <c r="X10" s="54">
        <v>826.56</v>
      </c>
      <c r="Y10" s="55">
        <v>1611.99</v>
      </c>
      <c r="Z10" s="55">
        <v>1098.1600000000001</v>
      </c>
    </row>
    <row r="11" spans="1:26" ht="15" thickBot="1" x14ac:dyDescent="0.35">
      <c r="D11" s="134" t="s">
        <v>504</v>
      </c>
      <c r="U11" s="54" t="s">
        <v>260</v>
      </c>
      <c r="V11" s="56" t="s">
        <v>261</v>
      </c>
      <c r="W11" s="56" t="s">
        <v>261</v>
      </c>
      <c r="X11" s="56" t="s">
        <v>261</v>
      </c>
      <c r="Y11" s="56" t="s">
        <v>261</v>
      </c>
      <c r="Z11" s="56" t="s">
        <v>261</v>
      </c>
    </row>
    <row r="12" spans="1:26" x14ac:dyDescent="0.3">
      <c r="U12" t="s">
        <v>264</v>
      </c>
      <c r="V12" s="39">
        <f>V10/V4</f>
        <v>7.8157667866047883E-3</v>
      </c>
      <c r="W12" s="39">
        <f t="shared" ref="W12:Z12" si="4">W10/W4</f>
        <v>2.6637689579174874E-2</v>
      </c>
      <c r="X12" s="39">
        <f t="shared" si="4"/>
        <v>4.6299838732535188E-2</v>
      </c>
      <c r="Y12" s="39">
        <f t="shared" si="4"/>
        <v>7.9004401140963937E-2</v>
      </c>
      <c r="Z12" s="39">
        <f t="shared" si="4"/>
        <v>5.6950146840479325E-2</v>
      </c>
    </row>
    <row r="13" spans="1:26" ht="15" thickBot="1" x14ac:dyDescent="0.35">
      <c r="G13" s="26"/>
      <c r="H13" s="59"/>
      <c r="J13"/>
      <c r="T13" s="51" t="s">
        <v>262</v>
      </c>
      <c r="U13" s="53"/>
      <c r="V13" s="53"/>
      <c r="W13" s="53"/>
      <c r="X13" s="53"/>
      <c r="Y13" s="53"/>
    </row>
    <row r="14" spans="1:26" ht="15.6" thickTop="1" thickBot="1" x14ac:dyDescent="0.35">
      <c r="H14" s="59"/>
      <c r="J14"/>
      <c r="T14" s="54" t="s">
        <v>255</v>
      </c>
      <c r="U14" s="54" t="s">
        <v>263</v>
      </c>
      <c r="V14" s="54">
        <v>535.80999999999995</v>
      </c>
      <c r="W14" s="54">
        <v>509.41</v>
      </c>
      <c r="X14" s="54">
        <v>331.65</v>
      </c>
      <c r="Y14" s="54">
        <v>330.16</v>
      </c>
    </row>
    <row r="15" spans="1:26" x14ac:dyDescent="0.3">
      <c r="H15" s="59"/>
      <c r="J15"/>
      <c r="U15" s="39">
        <f>U14/V4</f>
        <v>3.2162787421910546E-2</v>
      </c>
      <c r="V15" s="39">
        <f>V14/W4</f>
        <v>3.5697915195382138E-2</v>
      </c>
      <c r="W15" s="39">
        <f>W14/X4</f>
        <v>2.8534650659045625E-2</v>
      </c>
      <c r="X15" s="39">
        <f>X14/Y4</f>
        <v>1.6254325174722355E-2</v>
      </c>
      <c r="Y15" s="39">
        <f>Y14/Z4</f>
        <v>1.712196809285774E-2</v>
      </c>
    </row>
    <row r="18" spans="9:10" x14ac:dyDescent="0.3">
      <c r="I18"/>
      <c r="J18"/>
    </row>
    <row r="19" spans="9:10" x14ac:dyDescent="0.3">
      <c r="I19"/>
      <c r="J19"/>
    </row>
    <row r="20" spans="9:10" x14ac:dyDescent="0.3">
      <c r="I20"/>
      <c r="J20"/>
    </row>
    <row r="21" spans="9:10" x14ac:dyDescent="0.3">
      <c r="I21"/>
      <c r="J21"/>
    </row>
    <row r="22" spans="9:10" x14ac:dyDescent="0.3">
      <c r="I22"/>
      <c r="J22"/>
    </row>
    <row r="23" spans="9:10" x14ac:dyDescent="0.3">
      <c r="I23"/>
      <c r="J23"/>
    </row>
    <row r="24" spans="9:10" x14ac:dyDescent="0.3">
      <c r="I24"/>
      <c r="J24"/>
    </row>
    <row r="25" spans="9:10" x14ac:dyDescent="0.3">
      <c r="I25"/>
      <c r="J25"/>
    </row>
    <row r="26" spans="9:10" x14ac:dyDescent="0.3">
      <c r="I26"/>
      <c r="J26"/>
    </row>
    <row r="27" spans="9:10" x14ac:dyDescent="0.3">
      <c r="I27"/>
      <c r="J27"/>
    </row>
    <row r="28" spans="9:10" x14ac:dyDescent="0.3">
      <c r="I28"/>
      <c r="J28"/>
    </row>
    <row r="29" spans="9:10" x14ac:dyDescent="0.3">
      <c r="I29"/>
      <c r="J29"/>
    </row>
    <row r="30" spans="9:10" x14ac:dyDescent="0.3">
      <c r="I30"/>
      <c r="J30"/>
    </row>
    <row r="31" spans="9:10" x14ac:dyDescent="0.3">
      <c r="I31"/>
      <c r="J31"/>
    </row>
    <row r="32" spans="9:10" x14ac:dyDescent="0.3">
      <c r="I32"/>
      <c r="J32"/>
    </row>
    <row r="33" spans="9:10" x14ac:dyDescent="0.3">
      <c r="I33"/>
      <c r="J33"/>
    </row>
    <row r="34" spans="9:10" x14ac:dyDescent="0.3">
      <c r="I34"/>
      <c r="J34"/>
    </row>
    <row r="35" spans="9:10" x14ac:dyDescent="0.3">
      <c r="I35"/>
      <c r="J35"/>
    </row>
    <row r="36" spans="9:10" x14ac:dyDescent="0.3">
      <c r="I36"/>
      <c r="J36"/>
    </row>
    <row r="37" spans="9:10" x14ac:dyDescent="0.3">
      <c r="I37"/>
      <c r="J37"/>
    </row>
  </sheetData>
  <mergeCells count="1">
    <mergeCell ref="H1:Q1"/>
  </mergeCells>
  <hyperlinks>
    <hyperlink ref="D11" location="Cover!A1" display="Back to Cover" xr:uid="{36978793-3D0C-43CA-9BB5-E39A8566F0AB}"/>
  </hyperlinks>
  <pageMargins left="0.7" right="0.7" top="0.75" bottom="0.75" header="0.3" footer="0.3"/>
  <ignoredErrors>
    <ignoredError sqref="V6:Z7 U14 V1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A6C84-3100-44A5-8DE5-F3DA2CB9665C}">
  <sheetPr>
    <tabColor rgb="FFBBB2F0"/>
  </sheetPr>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F1275-E2EB-455E-B61D-7DD0CE02E2AF}">
  <sheetPr>
    <tabColor rgb="FFBBB2F0"/>
  </sheetPr>
  <dimension ref="A1:L156"/>
  <sheetViews>
    <sheetView zoomScale="91" workbookViewId="0">
      <pane ySplit="2" topLeftCell="A3" activePane="bottomLeft" state="frozen"/>
      <selection activeCell="Q14" sqref="Q14"/>
      <selection pane="bottomLeft"/>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0.6640625" bestFit="1" customWidth="1"/>
  </cols>
  <sheetData>
    <row r="1" spans="1:12" ht="32.4" x14ac:dyDescent="0.6">
      <c r="A1" s="1" t="str">
        <f>Cover!D4</f>
        <v>Shree Cement Ltd.</v>
      </c>
      <c r="B1" s="2"/>
      <c r="C1" s="2"/>
      <c r="D1" s="2"/>
      <c r="E1" s="3"/>
      <c r="F1" s="3"/>
      <c r="G1" s="3"/>
      <c r="H1" s="14"/>
      <c r="I1" s="14"/>
      <c r="J1" s="14"/>
      <c r="K1" s="14"/>
      <c r="L1" s="14"/>
    </row>
    <row r="2" spans="1:12" ht="15.6" x14ac:dyDescent="0.3">
      <c r="A2" s="4" t="s">
        <v>209</v>
      </c>
      <c r="B2" s="4"/>
      <c r="C2" s="4"/>
      <c r="D2" s="4"/>
      <c r="E2" s="5"/>
      <c r="F2" s="5"/>
      <c r="G2" s="5"/>
      <c r="H2" s="6">
        <v>2021</v>
      </c>
      <c r="I2" s="6">
        <f t="shared" ref="I2:L2" si="0">H2+1</f>
        <v>2022</v>
      </c>
      <c r="J2" s="6">
        <f t="shared" si="0"/>
        <v>2023</v>
      </c>
      <c r="K2" s="6">
        <f t="shared" si="0"/>
        <v>2024</v>
      </c>
      <c r="L2" s="6">
        <f t="shared" si="0"/>
        <v>2025</v>
      </c>
    </row>
    <row r="4" spans="1:12" x14ac:dyDescent="0.3">
      <c r="A4" s="8" t="s">
        <v>18</v>
      </c>
      <c r="B4" s="8"/>
      <c r="C4" s="8"/>
      <c r="D4" s="8"/>
      <c r="E4" s="8"/>
      <c r="F4" s="8"/>
      <c r="G4" s="8"/>
      <c r="H4" s="8"/>
      <c r="I4" s="8"/>
      <c r="J4" s="8"/>
      <c r="K4" s="8"/>
      <c r="L4" s="8"/>
    </row>
    <row r="5" spans="1:12" x14ac:dyDescent="0.3">
      <c r="A5" s="9"/>
      <c r="B5" s="9"/>
      <c r="C5" s="10" t="s">
        <v>19</v>
      </c>
      <c r="D5" s="9"/>
      <c r="E5" s="9"/>
      <c r="F5" s="9"/>
      <c r="G5" s="9"/>
      <c r="H5" s="9"/>
      <c r="I5" s="9"/>
      <c r="J5" s="9"/>
      <c r="K5" s="9"/>
      <c r="L5" s="9"/>
    </row>
    <row r="6" spans="1:12" x14ac:dyDescent="0.3">
      <c r="A6" s="9"/>
      <c r="B6" s="9"/>
      <c r="C6" s="9"/>
      <c r="D6" t="s">
        <v>20</v>
      </c>
      <c r="E6" s="11"/>
      <c r="F6" s="9"/>
      <c r="G6" s="12"/>
      <c r="H6" s="12"/>
      <c r="I6" s="31"/>
      <c r="J6" s="12"/>
      <c r="K6" s="12"/>
    </row>
    <row r="7" spans="1:12" x14ac:dyDescent="0.3">
      <c r="D7" t="s">
        <v>21</v>
      </c>
      <c r="F7" s="37" t="s">
        <v>208</v>
      </c>
      <c r="H7" s="32">
        <v>17034.22</v>
      </c>
      <c r="I7" s="32">
        <v>18763.91</v>
      </c>
      <c r="J7" s="32">
        <v>22396.54</v>
      </c>
      <c r="K7" s="32">
        <v>20403.8</v>
      </c>
      <c r="L7" s="32">
        <v>19282.830000000002</v>
      </c>
    </row>
    <row r="8" spans="1:12" x14ac:dyDescent="0.3">
      <c r="D8" t="s">
        <v>22</v>
      </c>
      <c r="H8" s="32">
        <v>3474.45</v>
      </c>
      <c r="I8" s="32">
        <v>3754.35</v>
      </c>
      <c r="J8" s="32">
        <v>4544.21</v>
      </c>
      <c r="K8" s="32">
        <v>0</v>
      </c>
      <c r="L8" s="32">
        <v>0</v>
      </c>
    </row>
    <row r="9" spans="1:12" s="10" customFormat="1" x14ac:dyDescent="0.3">
      <c r="D9" s="13" t="s">
        <v>23</v>
      </c>
      <c r="E9" s="13"/>
      <c r="F9" s="13"/>
      <c r="G9" s="13"/>
      <c r="H9" s="20">
        <f>H7-H8</f>
        <v>13559.77</v>
      </c>
      <c r="I9" s="20">
        <f t="shared" ref="I9:L9" si="1">I7-I8</f>
        <v>15009.56</v>
      </c>
      <c r="J9" s="20">
        <f t="shared" si="1"/>
        <v>17852.330000000002</v>
      </c>
      <c r="K9" s="20">
        <f t="shared" si="1"/>
        <v>20403.8</v>
      </c>
      <c r="L9" s="20">
        <f t="shared" si="1"/>
        <v>19282.830000000002</v>
      </c>
    </row>
    <row r="10" spans="1:12" x14ac:dyDescent="0.3">
      <c r="D10" t="s">
        <v>1</v>
      </c>
      <c r="H10" s="32">
        <v>438.26</v>
      </c>
      <c r="I10" s="32">
        <v>545.89</v>
      </c>
      <c r="J10" s="32">
        <v>459.08</v>
      </c>
      <c r="K10" s="32">
        <v>598.12</v>
      </c>
      <c r="L10" s="32">
        <v>589.22</v>
      </c>
    </row>
    <row r="11" spans="1:12" x14ac:dyDescent="0.3">
      <c r="D11" s="13" t="s">
        <v>24</v>
      </c>
      <c r="E11" s="13"/>
      <c r="F11" s="13"/>
      <c r="G11" s="13"/>
      <c r="H11" s="20">
        <f>SUM(H9:H10)</f>
        <v>13998.03</v>
      </c>
      <c r="I11" s="20">
        <f t="shared" ref="I11:L11" si="2">SUM(I9:I10)</f>
        <v>15555.449999999999</v>
      </c>
      <c r="J11" s="20">
        <f t="shared" si="2"/>
        <v>18311.410000000003</v>
      </c>
      <c r="K11" s="20">
        <f t="shared" si="2"/>
        <v>21001.919999999998</v>
      </c>
      <c r="L11" s="20">
        <f t="shared" si="2"/>
        <v>19872.050000000003</v>
      </c>
    </row>
    <row r="12" spans="1:12" s="10" customFormat="1" x14ac:dyDescent="0.3">
      <c r="D12" s="10" t="s">
        <v>25</v>
      </c>
      <c r="H12" s="33"/>
      <c r="I12" s="33"/>
      <c r="J12" s="33"/>
      <c r="K12" s="33"/>
      <c r="L12" s="33"/>
    </row>
    <row r="13" spans="1:12" x14ac:dyDescent="0.3">
      <c r="D13" t="s">
        <v>26</v>
      </c>
      <c r="H13" s="32">
        <v>976.37</v>
      </c>
      <c r="I13" s="32">
        <v>1129.8900000000001</v>
      </c>
      <c r="J13" s="32">
        <v>1417.72</v>
      </c>
      <c r="K13" s="32">
        <v>2014.99</v>
      </c>
      <c r="L13" s="32">
        <v>1940.1</v>
      </c>
    </row>
    <row r="14" spans="1:12" x14ac:dyDescent="0.3">
      <c r="D14" t="s">
        <v>27</v>
      </c>
      <c r="H14" s="32">
        <v>43.66</v>
      </c>
      <c r="I14" s="32">
        <v>87.51</v>
      </c>
      <c r="J14" s="32">
        <v>90.04</v>
      </c>
      <c r="K14" s="32">
        <v>10.18</v>
      </c>
      <c r="L14" s="32">
        <v>18.79</v>
      </c>
    </row>
    <row r="15" spans="1:12" x14ac:dyDescent="0.3">
      <c r="D15" t="s">
        <v>28</v>
      </c>
      <c r="H15" s="32">
        <v>49.6</v>
      </c>
      <c r="I15" s="32">
        <v>-179.21</v>
      </c>
      <c r="J15" s="32">
        <v>-75.319999999999993</v>
      </c>
      <c r="K15" s="32">
        <v>-87.81</v>
      </c>
      <c r="L15" s="32">
        <v>49.07</v>
      </c>
    </row>
    <row r="16" spans="1:12" x14ac:dyDescent="0.3">
      <c r="D16" t="s">
        <v>29</v>
      </c>
      <c r="H16" s="32">
        <v>869.22</v>
      </c>
      <c r="I16" s="32">
        <v>913.46</v>
      </c>
      <c r="J16" s="32">
        <v>977.77</v>
      </c>
      <c r="K16" s="32">
        <v>1064.43</v>
      </c>
      <c r="L16" s="32">
        <v>1147.83</v>
      </c>
    </row>
    <row r="17" spans="4:12" x14ac:dyDescent="0.3">
      <c r="D17" t="s">
        <v>30</v>
      </c>
      <c r="H17" s="32">
        <v>2397.9</v>
      </c>
      <c r="I17" s="32">
        <v>3620.18</v>
      </c>
      <c r="J17" s="32">
        <v>6080.66</v>
      </c>
      <c r="K17" s="32">
        <v>6254.54</v>
      </c>
      <c r="L17" s="32">
        <v>5011.84</v>
      </c>
    </row>
    <row r="18" spans="4:12" x14ac:dyDescent="0.3">
      <c r="D18" t="s">
        <v>31</v>
      </c>
      <c r="H18" s="32">
        <v>2294.31</v>
      </c>
      <c r="I18" s="32">
        <v>2469.0700000000002</v>
      </c>
      <c r="J18" s="32">
        <v>2782.46</v>
      </c>
      <c r="K18" s="32">
        <v>3238.1</v>
      </c>
      <c r="L18" s="32">
        <v>3412.37</v>
      </c>
    </row>
    <row r="19" spans="4:12" x14ac:dyDescent="0.3">
      <c r="D19" t="s">
        <v>497</v>
      </c>
      <c r="H19" s="32">
        <v>815.88</v>
      </c>
      <c r="I19" s="32">
        <v>829.89</v>
      </c>
      <c r="J19" s="32">
        <v>1001.17</v>
      </c>
      <c r="K19" s="32">
        <v>912.43</v>
      </c>
      <c r="L19" s="32">
        <v>972.39</v>
      </c>
    </row>
    <row r="20" spans="4:12" x14ac:dyDescent="0.3">
      <c r="D20" t="s">
        <v>16</v>
      </c>
      <c r="H20" s="32">
        <v>251.29</v>
      </c>
      <c r="I20" s="32">
        <v>216.12</v>
      </c>
      <c r="J20" s="32">
        <v>262.87</v>
      </c>
      <c r="K20" s="32">
        <v>258.33999999999997</v>
      </c>
      <c r="L20" s="32">
        <v>204.96</v>
      </c>
    </row>
    <row r="21" spans="4:12" x14ac:dyDescent="0.3">
      <c r="D21" t="s">
        <v>32</v>
      </c>
      <c r="H21" s="32">
        <v>1262.3399999999999</v>
      </c>
      <c r="I21" s="32">
        <v>1145.8800000000001</v>
      </c>
      <c r="J21" s="32">
        <v>1660.67</v>
      </c>
      <c r="K21" s="32">
        <v>1897.32</v>
      </c>
      <c r="L21" s="32">
        <v>3006.78</v>
      </c>
    </row>
    <row r="22" spans="4:12" x14ac:dyDescent="0.3">
      <c r="D22" t="s">
        <v>33</v>
      </c>
      <c r="H22" s="32">
        <v>2048.65</v>
      </c>
      <c r="I22" s="32">
        <v>2459.12</v>
      </c>
      <c r="J22" s="32">
        <v>2681.44</v>
      </c>
      <c r="K22" s="32">
        <v>2514.54</v>
      </c>
      <c r="L22" s="32">
        <v>2844.49</v>
      </c>
    </row>
    <row r="23" spans="4:12" x14ac:dyDescent="0.3">
      <c r="D23" t="s">
        <v>34</v>
      </c>
      <c r="H23" s="32">
        <v>-15.27</v>
      </c>
      <c r="I23" s="32">
        <v>-28.28</v>
      </c>
      <c r="J23" s="32">
        <v>-63.11</v>
      </c>
      <c r="K23" s="32">
        <v>-34.340000000000003</v>
      </c>
      <c r="L23" s="32">
        <v>-48.08</v>
      </c>
    </row>
    <row r="24" spans="4:12" s="10" customFormat="1" x14ac:dyDescent="0.3">
      <c r="D24" s="10" t="s">
        <v>35</v>
      </c>
      <c r="H24" s="21">
        <f>SUM(H13:H23)</f>
        <v>10993.949999999999</v>
      </c>
      <c r="I24" s="21">
        <f t="shared" ref="I24:L24" si="3">SUM(I13:I23)</f>
        <v>12663.63</v>
      </c>
      <c r="J24" s="21">
        <f t="shared" si="3"/>
        <v>16816.37</v>
      </c>
      <c r="K24" s="21">
        <f t="shared" si="3"/>
        <v>18042.72</v>
      </c>
      <c r="L24" s="21">
        <f t="shared" si="3"/>
        <v>18560.539999999997</v>
      </c>
    </row>
    <row r="25" spans="4:12" s="10" customFormat="1" x14ac:dyDescent="0.3">
      <c r="D25" s="13" t="s">
        <v>36</v>
      </c>
      <c r="E25" s="13"/>
      <c r="F25" s="13"/>
      <c r="G25" s="13"/>
      <c r="H25" s="20">
        <f>H11-H24</f>
        <v>3004.0800000000017</v>
      </c>
      <c r="I25" s="20">
        <f t="shared" ref="I25:L25" si="4">I11-I24</f>
        <v>2891.8199999999997</v>
      </c>
      <c r="J25" s="20">
        <f t="shared" si="4"/>
        <v>1495.0400000000045</v>
      </c>
      <c r="K25" s="20">
        <f t="shared" si="4"/>
        <v>2959.1999999999971</v>
      </c>
      <c r="L25" s="20">
        <f t="shared" si="4"/>
        <v>1311.5100000000057</v>
      </c>
    </row>
    <row r="26" spans="4:12" x14ac:dyDescent="0.3">
      <c r="D26" s="10" t="s">
        <v>42</v>
      </c>
      <c r="H26" s="32"/>
      <c r="I26" s="32"/>
      <c r="J26" s="32"/>
      <c r="K26" s="32"/>
      <c r="L26" s="32"/>
    </row>
    <row r="27" spans="4:12" x14ac:dyDescent="0.3">
      <c r="D27" t="s">
        <v>37</v>
      </c>
      <c r="H27" s="32">
        <v>765.27</v>
      </c>
      <c r="I27" s="32">
        <v>547.92999999999995</v>
      </c>
      <c r="J27" s="32">
        <v>252.25</v>
      </c>
      <c r="K27" s="32">
        <v>511.94</v>
      </c>
      <c r="L27" s="32">
        <v>336.21</v>
      </c>
    </row>
    <row r="28" spans="4:12" x14ac:dyDescent="0.3">
      <c r="D28" t="s">
        <v>38</v>
      </c>
      <c r="H28" s="32">
        <v>-10.27</v>
      </c>
      <c r="I28" s="32">
        <v>-104.53</v>
      </c>
      <c r="J28" s="32">
        <v>-154.31</v>
      </c>
      <c r="K28" s="32">
        <v>0</v>
      </c>
      <c r="L28" s="32">
        <v>-0.06</v>
      </c>
    </row>
    <row r="29" spans="4:12" x14ac:dyDescent="0.3">
      <c r="D29" t="s">
        <v>39</v>
      </c>
      <c r="H29" s="32">
        <v>-40.51</v>
      </c>
      <c r="I29" s="32">
        <v>111.81</v>
      </c>
      <c r="J29" s="32">
        <v>127.96</v>
      </c>
      <c r="K29" s="32">
        <v>51.1</v>
      </c>
      <c r="L29" s="32">
        <v>-148.44</v>
      </c>
    </row>
    <row r="30" spans="4:12" s="10" customFormat="1" x14ac:dyDescent="0.3">
      <c r="D30" s="10" t="s">
        <v>43</v>
      </c>
      <c r="H30" s="21">
        <v>714.49</v>
      </c>
      <c r="I30" s="21">
        <v>555.21</v>
      </c>
      <c r="J30" s="21">
        <v>225.89999999999998</v>
      </c>
      <c r="K30" s="21">
        <v>563.04</v>
      </c>
      <c r="L30" s="21">
        <v>187.70999999999998</v>
      </c>
    </row>
    <row r="31" spans="4:12" s="10" customFormat="1" ht="15" thickBot="1" x14ac:dyDescent="0.35">
      <c r="D31" s="15" t="s">
        <v>40</v>
      </c>
      <c r="E31" s="15"/>
      <c r="F31" s="15"/>
      <c r="G31" s="15"/>
      <c r="H31" s="22">
        <f>H25-H30</f>
        <v>2289.590000000002</v>
      </c>
      <c r="I31" s="22">
        <f t="shared" ref="I31:L31" si="5">I25-I30</f>
        <v>2336.6099999999997</v>
      </c>
      <c r="J31" s="22">
        <f t="shared" si="5"/>
        <v>1269.1400000000044</v>
      </c>
      <c r="K31" s="22">
        <f t="shared" si="5"/>
        <v>2396.1599999999971</v>
      </c>
      <c r="L31" s="22">
        <f t="shared" si="5"/>
        <v>1123.8000000000056</v>
      </c>
    </row>
    <row r="32" spans="4:12" ht="15" thickTop="1" x14ac:dyDescent="0.3">
      <c r="H32" s="32"/>
      <c r="I32" s="32"/>
      <c r="J32" s="32"/>
      <c r="K32" s="32"/>
      <c r="L32" s="32"/>
    </row>
    <row r="33" spans="1:12" x14ac:dyDescent="0.3">
      <c r="H33" s="32"/>
      <c r="I33" s="32"/>
      <c r="J33" s="32"/>
      <c r="K33" s="32"/>
      <c r="L33" s="32"/>
    </row>
    <row r="34" spans="1:12" x14ac:dyDescent="0.3">
      <c r="A34" s="8" t="s">
        <v>2</v>
      </c>
      <c r="B34" s="8"/>
      <c r="C34" s="8"/>
      <c r="D34" s="8"/>
      <c r="E34" s="8"/>
      <c r="F34" s="8"/>
      <c r="G34" s="8"/>
      <c r="H34" s="34"/>
      <c r="I34" s="34"/>
      <c r="J34" s="34"/>
      <c r="K34" s="34"/>
      <c r="L34" s="34"/>
    </row>
    <row r="35" spans="1:12" x14ac:dyDescent="0.3">
      <c r="B35" s="10" t="s">
        <v>3</v>
      </c>
      <c r="H35" s="32"/>
      <c r="I35" s="32"/>
      <c r="J35" s="32"/>
      <c r="K35" s="32"/>
      <c r="L35" s="32"/>
    </row>
    <row r="36" spans="1:12" x14ac:dyDescent="0.3">
      <c r="C36" s="10" t="s">
        <v>44</v>
      </c>
      <c r="H36" s="32"/>
      <c r="I36" s="32"/>
      <c r="J36" s="32"/>
      <c r="K36" s="32"/>
      <c r="L36" s="32"/>
    </row>
    <row r="37" spans="1:12" x14ac:dyDescent="0.3">
      <c r="D37" t="s">
        <v>45</v>
      </c>
      <c r="F37" s="10" t="str">
        <f>F7</f>
        <v>₹ in Cr</v>
      </c>
      <c r="H37" s="32">
        <v>5714.5</v>
      </c>
      <c r="I37" s="32">
        <v>6724.19</v>
      </c>
      <c r="J37" s="32">
        <v>6793.74</v>
      </c>
      <c r="K37" s="32">
        <v>8834.9500000000007</v>
      </c>
      <c r="L37" s="32">
        <v>8548.17</v>
      </c>
    </row>
    <row r="38" spans="1:12" x14ac:dyDescent="0.3">
      <c r="D38" t="s">
        <v>46</v>
      </c>
      <c r="H38" s="32">
        <v>996.54</v>
      </c>
      <c r="I38" s="32">
        <v>1053.52</v>
      </c>
      <c r="J38" s="32">
        <v>2796.61</v>
      </c>
      <c r="K38" s="32">
        <v>1929.67</v>
      </c>
      <c r="L38" s="32">
        <v>3796.22</v>
      </c>
    </row>
    <row r="39" spans="1:12" x14ac:dyDescent="0.3">
      <c r="D39" t="s">
        <v>4</v>
      </c>
      <c r="H39" s="32">
        <v>60.25</v>
      </c>
      <c r="I39" s="32">
        <v>57.25</v>
      </c>
      <c r="J39" s="32">
        <v>74.67</v>
      </c>
      <c r="K39" s="32">
        <v>123.45</v>
      </c>
      <c r="L39" s="32">
        <v>93.24</v>
      </c>
    </row>
    <row r="40" spans="1:12" x14ac:dyDescent="0.3">
      <c r="D40" t="s">
        <v>47</v>
      </c>
      <c r="H40" s="32">
        <v>441.5</v>
      </c>
      <c r="I40" s="32">
        <v>500.8</v>
      </c>
      <c r="J40" s="32">
        <v>612.46</v>
      </c>
      <c r="K40" s="32">
        <v>632.51</v>
      </c>
      <c r="L40" s="32">
        <v>673.31</v>
      </c>
    </row>
    <row r="41" spans="1:12" x14ac:dyDescent="0.3">
      <c r="D41" s="10" t="s">
        <v>7</v>
      </c>
      <c r="H41" s="32"/>
      <c r="I41" s="32"/>
      <c r="J41" s="32"/>
      <c r="K41" s="32"/>
      <c r="L41" s="32"/>
    </row>
    <row r="42" spans="1:12" x14ac:dyDescent="0.3">
      <c r="D42" t="s">
        <v>67</v>
      </c>
      <c r="H42" s="32">
        <v>4699.03</v>
      </c>
      <c r="I42" s="32">
        <v>5506.34</v>
      </c>
      <c r="J42" s="32">
        <v>5285.25</v>
      </c>
      <c r="K42" s="32">
        <v>2291.79</v>
      </c>
      <c r="L42" s="32">
        <v>1396.47</v>
      </c>
    </row>
    <row r="43" spans="1:12" x14ac:dyDescent="0.3">
      <c r="D43" t="s">
        <v>68</v>
      </c>
      <c r="H43" s="32">
        <v>4.46</v>
      </c>
      <c r="I43" s="32">
        <v>4.3499999999999996</v>
      </c>
      <c r="J43" s="32">
        <v>3.67</v>
      </c>
      <c r="K43" s="32">
        <v>3.41</v>
      </c>
      <c r="L43" s="32">
        <v>2.84</v>
      </c>
    </row>
    <row r="44" spans="1:12" x14ac:dyDescent="0.3">
      <c r="D44" t="s">
        <v>69</v>
      </c>
      <c r="H44" s="32">
        <v>130.07</v>
      </c>
      <c r="I44" s="32">
        <v>137.53</v>
      </c>
      <c r="J44" s="32">
        <v>143.30000000000001</v>
      </c>
      <c r="K44" s="32">
        <v>113.81</v>
      </c>
      <c r="L44" s="32">
        <v>144.35</v>
      </c>
    </row>
    <row r="45" spans="1:12" x14ac:dyDescent="0.3">
      <c r="D45" t="s">
        <v>49</v>
      </c>
      <c r="H45" s="32">
        <v>786.08</v>
      </c>
      <c r="I45" s="32">
        <v>674.39</v>
      </c>
      <c r="J45" s="32">
        <v>682.28</v>
      </c>
      <c r="K45" s="32">
        <v>658.15</v>
      </c>
      <c r="L45" s="32">
        <v>803.82</v>
      </c>
    </row>
    <row r="46" spans="1:12" x14ac:dyDescent="0.3">
      <c r="D46" t="s">
        <v>50</v>
      </c>
      <c r="H46" s="32">
        <v>102.03</v>
      </c>
      <c r="I46" s="32">
        <v>27.35</v>
      </c>
      <c r="J46" s="32">
        <v>173.1</v>
      </c>
      <c r="K46" s="32">
        <v>200.5</v>
      </c>
      <c r="L46" s="32">
        <v>302.86</v>
      </c>
    </row>
    <row r="47" spans="1:12" x14ac:dyDescent="0.3">
      <c r="D47" t="s">
        <v>51</v>
      </c>
      <c r="H47" s="32">
        <v>391.38</v>
      </c>
      <c r="I47" s="32">
        <v>592.83000000000004</v>
      </c>
      <c r="J47" s="32">
        <v>800.93</v>
      </c>
      <c r="K47" s="32">
        <v>953.02</v>
      </c>
      <c r="L47" s="32">
        <v>628.13</v>
      </c>
    </row>
    <row r="48" spans="1:12" s="10" customFormat="1" x14ac:dyDescent="0.3">
      <c r="D48" s="13" t="s">
        <v>60</v>
      </c>
      <c r="E48" s="13"/>
      <c r="F48" s="13"/>
      <c r="G48" s="13"/>
      <c r="H48" s="20">
        <f>SUM(H37:H47)</f>
        <v>13325.839999999998</v>
      </c>
      <c r="I48" s="20">
        <f t="shared" ref="I48:L48" si="6">SUM(I37:I47)</f>
        <v>15278.55</v>
      </c>
      <c r="J48" s="20">
        <f t="shared" si="6"/>
        <v>17366.009999999998</v>
      </c>
      <c r="K48" s="20">
        <f t="shared" si="6"/>
        <v>15741.260000000002</v>
      </c>
      <c r="L48" s="20">
        <f t="shared" si="6"/>
        <v>16389.41</v>
      </c>
    </row>
    <row r="49" spans="2:12" x14ac:dyDescent="0.3">
      <c r="C49" s="10" t="s">
        <v>5</v>
      </c>
      <c r="H49" s="32"/>
      <c r="I49" s="32"/>
      <c r="J49" s="32"/>
      <c r="K49" s="32"/>
      <c r="L49" s="32"/>
    </row>
    <row r="50" spans="2:12" x14ac:dyDescent="0.3">
      <c r="D50" t="s">
        <v>6</v>
      </c>
      <c r="H50" s="32">
        <v>1715.72</v>
      </c>
      <c r="I50" s="32">
        <v>2497.02</v>
      </c>
      <c r="J50" s="32">
        <v>2759.68</v>
      </c>
      <c r="K50" s="32">
        <v>3555.07</v>
      </c>
      <c r="L50" s="32">
        <v>2443.64</v>
      </c>
    </row>
    <row r="51" spans="2:12" x14ac:dyDescent="0.3">
      <c r="D51" s="10" t="s">
        <v>7</v>
      </c>
      <c r="H51" s="32"/>
      <c r="I51" s="32"/>
      <c r="J51" s="32"/>
      <c r="K51" s="32"/>
      <c r="L51" s="32"/>
    </row>
    <row r="52" spans="2:12" x14ac:dyDescent="0.3">
      <c r="D52" t="s">
        <v>67</v>
      </c>
      <c r="H52" s="32">
        <v>3801.47</v>
      </c>
      <c r="I52" s="32">
        <v>3526.3</v>
      </c>
      <c r="J52" s="32">
        <v>3397.89</v>
      </c>
      <c r="K52" s="32">
        <v>5264.04</v>
      </c>
      <c r="L52" s="32">
        <v>6452.56</v>
      </c>
    </row>
    <row r="53" spans="2:12" x14ac:dyDescent="0.3">
      <c r="D53" t="s">
        <v>70</v>
      </c>
      <c r="H53" s="32">
        <v>679.43</v>
      </c>
      <c r="I53" s="32">
        <v>788.29</v>
      </c>
      <c r="J53" s="32">
        <v>1211.57</v>
      </c>
      <c r="K53" s="32">
        <v>1286.53</v>
      </c>
      <c r="L53" s="32">
        <v>1401.46</v>
      </c>
    </row>
    <row r="54" spans="2:12" x14ac:dyDescent="0.3">
      <c r="D54" t="s">
        <v>71</v>
      </c>
      <c r="H54" s="32">
        <v>472.14</v>
      </c>
      <c r="I54" s="32">
        <v>148.56</v>
      </c>
      <c r="J54" s="32">
        <v>46.17</v>
      </c>
      <c r="K54" s="32">
        <v>262.36</v>
      </c>
      <c r="L54" s="32">
        <v>141.15</v>
      </c>
    </row>
    <row r="55" spans="2:12" x14ac:dyDescent="0.3">
      <c r="D55" t="s">
        <v>72</v>
      </c>
      <c r="H55" s="32">
        <v>236.21</v>
      </c>
      <c r="I55" s="32">
        <v>141.09</v>
      </c>
      <c r="J55" s="32">
        <v>114.76</v>
      </c>
      <c r="K55" s="32">
        <v>159.44999999999999</v>
      </c>
      <c r="L55" s="32">
        <v>152.43</v>
      </c>
    </row>
    <row r="56" spans="2:12" x14ac:dyDescent="0.3">
      <c r="D56" t="s">
        <v>73</v>
      </c>
      <c r="H56" s="32">
        <v>21.23</v>
      </c>
      <c r="I56" s="32">
        <v>25.34</v>
      </c>
      <c r="J56" s="32">
        <v>6.93</v>
      </c>
      <c r="K56" s="32">
        <v>3.64</v>
      </c>
      <c r="L56" s="32">
        <v>3.13</v>
      </c>
    </row>
    <row r="57" spans="2:12" x14ac:dyDescent="0.3">
      <c r="D57" t="s">
        <v>74</v>
      </c>
      <c r="H57" s="32">
        <v>191.61</v>
      </c>
      <c r="I57" s="32">
        <v>236.27</v>
      </c>
      <c r="J57" s="32">
        <v>315.87</v>
      </c>
      <c r="K57" s="32">
        <v>236.89</v>
      </c>
      <c r="L57" s="32">
        <v>143.91999999999999</v>
      </c>
    </row>
    <row r="58" spans="2:12" x14ac:dyDescent="0.3">
      <c r="D58" t="s">
        <v>52</v>
      </c>
      <c r="H58" s="32">
        <v>1069.52</v>
      </c>
      <c r="I58" s="32">
        <v>1107.46</v>
      </c>
      <c r="J58" s="32">
        <v>1115.06</v>
      </c>
      <c r="K58" s="32">
        <v>1444.23</v>
      </c>
      <c r="L58" s="32">
        <v>1364.06</v>
      </c>
    </row>
    <row r="59" spans="2:12" x14ac:dyDescent="0.3">
      <c r="D59" s="13" t="s">
        <v>61</v>
      </c>
      <c r="E59" s="16"/>
      <c r="F59" s="16"/>
      <c r="G59" s="16"/>
      <c r="H59" s="20">
        <f>SUM(H50:H58)</f>
        <v>8187.33</v>
      </c>
      <c r="I59" s="20">
        <f t="shared" ref="I59:L59" si="7">SUM(I50:I58)</f>
        <v>8470.3300000000017</v>
      </c>
      <c r="J59" s="20">
        <f t="shared" si="7"/>
        <v>8967.93</v>
      </c>
      <c r="K59" s="20">
        <f t="shared" si="7"/>
        <v>12212.210000000001</v>
      </c>
      <c r="L59" s="20">
        <f t="shared" si="7"/>
        <v>12102.349999999999</v>
      </c>
    </row>
    <row r="60" spans="2:12" x14ac:dyDescent="0.3">
      <c r="D60" s="8" t="s">
        <v>75</v>
      </c>
      <c r="E60" s="17"/>
      <c r="F60" s="17"/>
      <c r="G60" s="17"/>
      <c r="H60" s="23">
        <f>H48+H59</f>
        <v>21513.17</v>
      </c>
      <c r="I60" s="23">
        <f t="shared" ref="I60:L60" si="8">I48+I59</f>
        <v>23748.880000000001</v>
      </c>
      <c r="J60" s="23">
        <f t="shared" si="8"/>
        <v>26333.94</v>
      </c>
      <c r="K60" s="23">
        <f t="shared" si="8"/>
        <v>27953.47</v>
      </c>
      <c r="L60" s="23">
        <f t="shared" si="8"/>
        <v>28491.759999999998</v>
      </c>
    </row>
    <row r="61" spans="2:12" x14ac:dyDescent="0.3">
      <c r="B61" s="10" t="s">
        <v>8</v>
      </c>
      <c r="H61" s="32"/>
      <c r="I61" s="32"/>
      <c r="J61" s="32"/>
      <c r="K61" s="32"/>
      <c r="L61" s="32"/>
    </row>
    <row r="62" spans="2:12" x14ac:dyDescent="0.3">
      <c r="C62" s="10" t="s">
        <v>9</v>
      </c>
      <c r="H62" s="32"/>
      <c r="I62" s="32"/>
      <c r="J62" s="32"/>
      <c r="K62" s="32"/>
      <c r="L62" s="32"/>
    </row>
    <row r="63" spans="2:12" x14ac:dyDescent="0.3">
      <c r="D63" t="s">
        <v>10</v>
      </c>
      <c r="H63" s="32">
        <v>36.08</v>
      </c>
      <c r="I63" s="32">
        <v>36.08</v>
      </c>
      <c r="J63" s="32">
        <v>36.08</v>
      </c>
      <c r="K63" s="32">
        <v>36.08</v>
      </c>
      <c r="L63" s="32">
        <v>36.08</v>
      </c>
    </row>
    <row r="64" spans="2:12" x14ac:dyDescent="0.3">
      <c r="D64" t="s">
        <v>53</v>
      </c>
      <c r="H64" s="32">
        <v>15361.33</v>
      </c>
      <c r="I64" s="32">
        <v>17424.2</v>
      </c>
      <c r="J64" s="32">
        <v>18600.32</v>
      </c>
      <c r="K64" s="32">
        <v>20666.84</v>
      </c>
      <c r="L64" s="32">
        <v>21501.67</v>
      </c>
    </row>
    <row r="65" spans="2:12" x14ac:dyDescent="0.3">
      <c r="D65" s="10" t="s">
        <v>54</v>
      </c>
      <c r="H65" s="21">
        <f>SUM(H63:H64)</f>
        <v>15397.41</v>
      </c>
      <c r="I65" s="21">
        <f t="shared" ref="I65:L65" si="9">SUM(I63:I64)</f>
        <v>17460.280000000002</v>
      </c>
      <c r="J65" s="21">
        <f t="shared" si="9"/>
        <v>18636.400000000001</v>
      </c>
      <c r="K65" s="21">
        <f t="shared" si="9"/>
        <v>20702.920000000002</v>
      </c>
      <c r="L65" s="21">
        <f t="shared" si="9"/>
        <v>21537.75</v>
      </c>
    </row>
    <row r="66" spans="2:12" x14ac:dyDescent="0.3">
      <c r="D66" t="s">
        <v>41</v>
      </c>
      <c r="H66" s="32">
        <v>51.16</v>
      </c>
      <c r="I66" s="32">
        <v>50.29</v>
      </c>
      <c r="J66" s="32">
        <v>40.56</v>
      </c>
      <c r="K66" s="32">
        <v>41.12</v>
      </c>
      <c r="L66" s="32">
        <v>40.770000000000003</v>
      </c>
    </row>
    <row r="67" spans="2:12" x14ac:dyDescent="0.3">
      <c r="D67" s="13" t="s">
        <v>59</v>
      </c>
      <c r="E67" s="16"/>
      <c r="F67" s="16"/>
      <c r="G67" s="16"/>
      <c r="H67" s="20">
        <f>SUM(H65:H66)</f>
        <v>15448.57</v>
      </c>
      <c r="I67" s="20">
        <f t="shared" ref="I67:L67" si="10">SUM(I65:I66)</f>
        <v>17510.570000000003</v>
      </c>
      <c r="J67" s="20">
        <f t="shared" si="10"/>
        <v>18676.960000000003</v>
      </c>
      <c r="K67" s="20">
        <f t="shared" si="10"/>
        <v>20744.04</v>
      </c>
      <c r="L67" s="20">
        <f t="shared" si="10"/>
        <v>21578.52</v>
      </c>
    </row>
    <row r="68" spans="2:12" x14ac:dyDescent="0.3">
      <c r="B68" s="10" t="s">
        <v>55</v>
      </c>
      <c r="H68" s="32"/>
      <c r="I68" s="32"/>
      <c r="J68" s="32"/>
      <c r="K68" s="32"/>
      <c r="L68" s="32"/>
    </row>
    <row r="69" spans="2:12" x14ac:dyDescent="0.3">
      <c r="C69" s="10" t="s">
        <v>56</v>
      </c>
      <c r="H69" s="32"/>
      <c r="I69" s="32"/>
      <c r="J69" s="32"/>
      <c r="K69" s="32"/>
      <c r="L69" s="32"/>
    </row>
    <row r="70" spans="2:12" x14ac:dyDescent="0.3">
      <c r="D70" t="s">
        <v>11</v>
      </c>
      <c r="H70" s="32"/>
      <c r="I70" s="32"/>
      <c r="J70" s="32"/>
      <c r="K70" s="32"/>
      <c r="L70" s="32"/>
    </row>
    <row r="71" spans="2:12" x14ac:dyDescent="0.3">
      <c r="D71" t="s">
        <v>76</v>
      </c>
      <c r="H71" s="32">
        <v>1331.55</v>
      </c>
      <c r="I71" s="32">
        <v>1298.3399999999999</v>
      </c>
      <c r="J71" s="32">
        <v>580.87</v>
      </c>
      <c r="K71" s="32">
        <v>713.08</v>
      </c>
      <c r="L71" s="32">
        <v>726.6</v>
      </c>
    </row>
    <row r="72" spans="2:12" x14ac:dyDescent="0.3">
      <c r="D72" t="s">
        <v>77</v>
      </c>
      <c r="H72" s="32">
        <v>83.95</v>
      </c>
      <c r="I72" s="32">
        <v>87.64</v>
      </c>
      <c r="J72" s="32">
        <v>137.66</v>
      </c>
      <c r="K72" s="32">
        <v>141.65</v>
      </c>
      <c r="L72" s="32">
        <v>184.3</v>
      </c>
    </row>
    <row r="73" spans="2:12" x14ac:dyDescent="0.3">
      <c r="D73" t="s">
        <v>78</v>
      </c>
      <c r="H73" s="32">
        <v>174.28</v>
      </c>
      <c r="I73" s="32">
        <v>136.15</v>
      </c>
      <c r="J73" s="32">
        <v>172.41</v>
      </c>
      <c r="K73" s="32">
        <v>142.72</v>
      </c>
      <c r="L73" s="32">
        <v>124.33</v>
      </c>
    </row>
    <row r="74" spans="2:12" x14ac:dyDescent="0.3">
      <c r="D74" t="s">
        <v>13</v>
      </c>
      <c r="H74" s="32">
        <v>31.75</v>
      </c>
      <c r="I74" s="32">
        <v>29.74</v>
      </c>
      <c r="J74" s="32">
        <v>33.92</v>
      </c>
      <c r="K74" s="32">
        <v>30.72</v>
      </c>
      <c r="L74" s="32">
        <v>34.11</v>
      </c>
    </row>
    <row r="75" spans="2:12" x14ac:dyDescent="0.3">
      <c r="D75" t="s">
        <v>80</v>
      </c>
      <c r="H75" s="32">
        <v>0</v>
      </c>
      <c r="I75" s="32">
        <v>0</v>
      </c>
      <c r="J75" s="32">
        <v>0</v>
      </c>
      <c r="K75" s="32">
        <v>28.88</v>
      </c>
      <c r="L75" s="32">
        <v>27.45</v>
      </c>
    </row>
    <row r="76" spans="2:12" x14ac:dyDescent="0.3">
      <c r="D76" t="s">
        <v>81</v>
      </c>
      <c r="H76" s="32">
        <v>0</v>
      </c>
      <c r="I76" s="32">
        <v>0</v>
      </c>
      <c r="J76" s="32">
        <v>0</v>
      </c>
      <c r="K76" s="32">
        <v>24.55</v>
      </c>
      <c r="L76" s="32">
        <v>60.32</v>
      </c>
    </row>
    <row r="77" spans="2:12" s="10" customFormat="1" x14ac:dyDescent="0.3">
      <c r="D77" s="13" t="s">
        <v>66</v>
      </c>
      <c r="E77" s="13"/>
      <c r="F77" s="13"/>
      <c r="G77" s="13"/>
      <c r="H77" s="20">
        <f>SUM(H71:H76)</f>
        <v>1621.53</v>
      </c>
      <c r="I77" s="20">
        <f t="shared" ref="I77:L77" si="11">SUM(I71:I76)</f>
        <v>1551.8700000000001</v>
      </c>
      <c r="J77" s="20">
        <f t="shared" si="11"/>
        <v>924.8599999999999</v>
      </c>
      <c r="K77" s="20">
        <f t="shared" si="11"/>
        <v>1081.6000000000001</v>
      </c>
      <c r="L77" s="20">
        <f t="shared" si="11"/>
        <v>1157.1099999999999</v>
      </c>
    </row>
    <row r="78" spans="2:12" x14ac:dyDescent="0.3">
      <c r="C78" s="10" t="s">
        <v>12</v>
      </c>
      <c r="H78" s="32"/>
      <c r="I78" s="32"/>
      <c r="J78" s="32"/>
      <c r="K78" s="32"/>
      <c r="L78" s="32"/>
    </row>
    <row r="79" spans="2:12" x14ac:dyDescent="0.3">
      <c r="D79" t="s">
        <v>11</v>
      </c>
      <c r="H79" s="32"/>
      <c r="I79" s="32"/>
      <c r="J79" s="32"/>
      <c r="K79" s="32"/>
      <c r="L79" s="32"/>
    </row>
    <row r="80" spans="2:12" x14ac:dyDescent="0.3">
      <c r="D80" t="s">
        <v>76</v>
      </c>
      <c r="H80" s="32">
        <v>802.3</v>
      </c>
      <c r="I80" s="32">
        <v>715.84</v>
      </c>
      <c r="J80" s="32">
        <v>1958.97</v>
      </c>
      <c r="K80" s="32">
        <v>761.84</v>
      </c>
      <c r="L80" s="32">
        <v>90.32</v>
      </c>
    </row>
    <row r="81" spans="1:12" x14ac:dyDescent="0.3">
      <c r="D81" t="s">
        <v>77</v>
      </c>
      <c r="H81" s="32">
        <v>12.08</v>
      </c>
      <c r="I81" s="32">
        <v>27.4</v>
      </c>
      <c r="J81" s="32">
        <v>47.17</v>
      </c>
      <c r="K81" s="32">
        <v>38.979999999999997</v>
      </c>
      <c r="L81" s="32">
        <v>44.91</v>
      </c>
    </row>
    <row r="82" spans="1:12" x14ac:dyDescent="0.3">
      <c r="D82" s="10" t="s">
        <v>62</v>
      </c>
      <c r="H82" s="32"/>
      <c r="I82" s="32"/>
      <c r="J82" s="32"/>
      <c r="K82" s="32"/>
      <c r="L82" s="32"/>
    </row>
    <row r="83" spans="1:12" x14ac:dyDescent="0.3">
      <c r="D83" t="s">
        <v>63</v>
      </c>
      <c r="H83" s="32">
        <v>4.08</v>
      </c>
      <c r="I83" s="32">
        <v>6.51</v>
      </c>
      <c r="J83" s="32">
        <v>12.3</v>
      </c>
      <c r="K83" s="32">
        <v>16.100000000000001</v>
      </c>
      <c r="L83" s="32">
        <v>18.61</v>
      </c>
    </row>
    <row r="84" spans="1:12" x14ac:dyDescent="0.3">
      <c r="D84" t="s">
        <v>64</v>
      </c>
      <c r="H84" s="32">
        <v>878.89</v>
      </c>
      <c r="I84" s="32">
        <v>883.86</v>
      </c>
      <c r="J84" s="32">
        <v>1183.7</v>
      </c>
      <c r="K84" s="32">
        <v>1198.1300000000001</v>
      </c>
      <c r="L84" s="32">
        <v>1342.42</v>
      </c>
    </row>
    <row r="85" spans="1:12" x14ac:dyDescent="0.3">
      <c r="D85" t="s">
        <v>57</v>
      </c>
      <c r="H85" s="32">
        <v>1254.32</v>
      </c>
      <c r="I85" s="32">
        <v>1391.77</v>
      </c>
      <c r="J85" s="32">
        <v>1538.75</v>
      </c>
      <c r="K85" s="32">
        <v>1683.5</v>
      </c>
      <c r="L85" s="32">
        <v>1806.34</v>
      </c>
    </row>
    <row r="86" spans="1:12" x14ac:dyDescent="0.3">
      <c r="D86" t="s">
        <v>58</v>
      </c>
      <c r="H86" s="32">
        <v>1415.01</v>
      </c>
      <c r="I86" s="32">
        <v>1338.47</v>
      </c>
      <c r="J86" s="32">
        <v>1666.79</v>
      </c>
      <c r="K86" s="32">
        <v>2020.09</v>
      </c>
      <c r="L86" s="32">
        <v>2032.01</v>
      </c>
    </row>
    <row r="87" spans="1:12" x14ac:dyDescent="0.3">
      <c r="D87" t="s">
        <v>13</v>
      </c>
      <c r="H87" s="32">
        <v>8.3000000000000007</v>
      </c>
      <c r="I87" s="32">
        <v>8.41</v>
      </c>
      <c r="J87" s="32">
        <v>10.26</v>
      </c>
      <c r="K87" s="32">
        <v>11.71</v>
      </c>
      <c r="L87" s="32">
        <v>14.67</v>
      </c>
    </row>
    <row r="88" spans="1:12" x14ac:dyDescent="0.3">
      <c r="D88" t="s">
        <v>14</v>
      </c>
      <c r="H88" s="32">
        <v>68.09</v>
      </c>
      <c r="I88" s="32">
        <v>314.18</v>
      </c>
      <c r="J88" s="32">
        <v>314.18</v>
      </c>
      <c r="K88" s="32">
        <v>397.48</v>
      </c>
      <c r="L88" s="32">
        <v>406.85</v>
      </c>
    </row>
    <row r="89" spans="1:12" s="10" customFormat="1" x14ac:dyDescent="0.3">
      <c r="D89" s="13" t="s">
        <v>65</v>
      </c>
      <c r="E89" s="13"/>
      <c r="F89" s="13"/>
      <c r="G89" s="13"/>
      <c r="H89" s="20">
        <f>SUM(H80:H88)</f>
        <v>4443.0700000000006</v>
      </c>
      <c r="I89" s="20">
        <f t="shared" ref="I89:L89" si="12">SUM(I80:I88)</f>
        <v>4686.4400000000005</v>
      </c>
      <c r="J89" s="20">
        <f t="shared" si="12"/>
        <v>6732.1200000000008</v>
      </c>
      <c r="K89" s="20">
        <f t="shared" si="12"/>
        <v>6127.83</v>
      </c>
      <c r="L89" s="20">
        <f t="shared" si="12"/>
        <v>5756.13</v>
      </c>
    </row>
    <row r="90" spans="1:12" s="10" customFormat="1" x14ac:dyDescent="0.3">
      <c r="D90" s="10" t="s">
        <v>82</v>
      </c>
      <c r="H90" s="21">
        <f>H77+H89</f>
        <v>6064.6</v>
      </c>
      <c r="I90" s="21">
        <f t="shared" ref="I90:L90" si="13">I77+I89</f>
        <v>6238.31</v>
      </c>
      <c r="J90" s="21">
        <f t="shared" si="13"/>
        <v>7656.9800000000005</v>
      </c>
      <c r="K90" s="21">
        <f t="shared" si="13"/>
        <v>7209.43</v>
      </c>
      <c r="L90" s="21">
        <f t="shared" si="13"/>
        <v>6913.24</v>
      </c>
    </row>
    <row r="91" spans="1:12" s="10" customFormat="1" ht="15" thickBot="1" x14ac:dyDescent="0.35">
      <c r="D91" s="15" t="s">
        <v>79</v>
      </c>
      <c r="E91" s="15"/>
      <c r="F91" s="15"/>
      <c r="G91" s="15"/>
      <c r="H91" s="22">
        <f>H67+H90</f>
        <v>21513.17</v>
      </c>
      <c r="I91" s="22">
        <f t="shared" ref="I91:L91" si="14">I67+I90</f>
        <v>23748.880000000005</v>
      </c>
      <c r="J91" s="22">
        <f t="shared" si="14"/>
        <v>26333.940000000002</v>
      </c>
      <c r="K91" s="22">
        <f t="shared" si="14"/>
        <v>27953.47</v>
      </c>
      <c r="L91" s="22">
        <f t="shared" si="14"/>
        <v>28491.760000000002</v>
      </c>
    </row>
    <row r="92" spans="1:12" ht="15" thickTop="1" x14ac:dyDescent="0.3">
      <c r="H92" s="32"/>
      <c r="I92" s="32"/>
      <c r="J92" s="32"/>
      <c r="K92" s="33"/>
      <c r="L92" s="32"/>
    </row>
    <row r="93" spans="1:12" x14ac:dyDescent="0.3">
      <c r="H93" s="32"/>
      <c r="I93" s="32"/>
      <c r="J93" s="33"/>
      <c r="K93" s="32"/>
      <c r="L93" s="32"/>
    </row>
    <row r="94" spans="1:12" x14ac:dyDescent="0.3">
      <c r="A94" s="8" t="s">
        <v>15</v>
      </c>
      <c r="B94" s="8"/>
      <c r="C94" s="8"/>
      <c r="D94" s="8"/>
      <c r="E94" s="8"/>
      <c r="F94" s="8"/>
      <c r="G94" s="8"/>
      <c r="H94" s="34"/>
      <c r="I94" s="34"/>
      <c r="J94" s="34"/>
      <c r="K94" s="34"/>
      <c r="L94" s="34"/>
    </row>
    <row r="95" spans="1:12" x14ac:dyDescent="0.3">
      <c r="C95" s="10" t="s">
        <v>136</v>
      </c>
      <c r="H95" s="32"/>
      <c r="I95" s="32"/>
      <c r="J95" s="32"/>
      <c r="K95" s="32"/>
      <c r="L95" s="32"/>
    </row>
    <row r="96" spans="1:12" x14ac:dyDescent="0.3">
      <c r="D96" t="s">
        <v>83</v>
      </c>
      <c r="F96" s="10" t="str">
        <f>F7</f>
        <v>₹ in Cr</v>
      </c>
      <c r="H96" s="32">
        <v>3004.08</v>
      </c>
      <c r="I96" s="32">
        <v>2891.82</v>
      </c>
      <c r="J96" s="32">
        <v>1495.04</v>
      </c>
      <c r="K96" s="32">
        <v>2959.2</v>
      </c>
      <c r="L96" s="32">
        <v>1311.51</v>
      </c>
    </row>
    <row r="97" spans="4:12" x14ac:dyDescent="0.3">
      <c r="D97" t="s">
        <v>84</v>
      </c>
      <c r="H97" s="32"/>
      <c r="I97" s="32"/>
      <c r="J97" s="32"/>
      <c r="K97" s="32"/>
      <c r="L97" s="32"/>
    </row>
    <row r="98" spans="4:12" x14ac:dyDescent="0.3">
      <c r="D98" t="s">
        <v>32</v>
      </c>
      <c r="H98" s="32">
        <v>1262.3399999999999</v>
      </c>
      <c r="I98" s="32">
        <v>1145.8800000000001</v>
      </c>
      <c r="J98" s="32">
        <v>1660.67</v>
      </c>
      <c r="K98" s="32">
        <v>1897.32</v>
      </c>
      <c r="L98" s="32">
        <v>3006.78</v>
      </c>
    </row>
    <row r="99" spans="4:12" x14ac:dyDescent="0.3">
      <c r="D99" t="s">
        <v>85</v>
      </c>
      <c r="H99" s="32">
        <v>2.33</v>
      </c>
      <c r="I99" s="32">
        <v>1.43</v>
      </c>
      <c r="J99" s="32">
        <v>-3.43</v>
      </c>
      <c r="K99" s="32">
        <v>-0.56000000000000005</v>
      </c>
      <c r="L99" s="32">
        <v>-0.55000000000000004</v>
      </c>
    </row>
    <row r="100" spans="4:12" x14ac:dyDescent="0.3">
      <c r="D100" t="s">
        <v>86</v>
      </c>
      <c r="H100" s="32">
        <v>0</v>
      </c>
      <c r="I100" s="32">
        <v>0.05</v>
      </c>
      <c r="J100" s="32">
        <v>0.57999999999999996</v>
      </c>
      <c r="K100" s="32">
        <v>1.51</v>
      </c>
      <c r="L100" s="32">
        <v>0.17</v>
      </c>
    </row>
    <row r="101" spans="4:12" x14ac:dyDescent="0.3">
      <c r="D101" t="s">
        <v>87</v>
      </c>
      <c r="H101" s="32">
        <v>20.65</v>
      </c>
      <c r="I101" s="32">
        <v>5.99</v>
      </c>
      <c r="J101" s="32">
        <v>0.18</v>
      </c>
      <c r="K101" s="32">
        <v>-1.1399999999999999</v>
      </c>
      <c r="L101" s="32">
        <v>17.29</v>
      </c>
    </row>
    <row r="102" spans="4:12" x14ac:dyDescent="0.3">
      <c r="D102" t="s">
        <v>131</v>
      </c>
      <c r="H102" s="32">
        <v>0</v>
      </c>
      <c r="I102" s="32">
        <v>0</v>
      </c>
      <c r="J102" s="32">
        <v>0</v>
      </c>
      <c r="K102" s="32">
        <v>0</v>
      </c>
      <c r="L102" s="32">
        <v>10.41</v>
      </c>
    </row>
    <row r="103" spans="4:12" x14ac:dyDescent="0.3">
      <c r="D103" t="s">
        <v>132</v>
      </c>
      <c r="H103" s="32">
        <v>0</v>
      </c>
      <c r="I103" s="32">
        <v>0</v>
      </c>
      <c r="J103" s="32">
        <v>-14</v>
      </c>
      <c r="K103" s="32">
        <v>0</v>
      </c>
      <c r="L103" s="32">
        <v>-12.42</v>
      </c>
    </row>
    <row r="104" spans="4:12" x14ac:dyDescent="0.3">
      <c r="D104" t="s">
        <v>88</v>
      </c>
      <c r="H104" s="32">
        <v>-35.130000000000003</v>
      </c>
      <c r="I104" s="32">
        <v>-102.53</v>
      </c>
      <c r="J104" s="32">
        <v>1.88</v>
      </c>
      <c r="K104" s="32">
        <v>16.5</v>
      </c>
      <c r="L104" s="32">
        <v>-18.02</v>
      </c>
    </row>
    <row r="105" spans="4:12" x14ac:dyDescent="0.3">
      <c r="D105" t="s">
        <v>89</v>
      </c>
      <c r="H105" s="32">
        <v>-156.59</v>
      </c>
      <c r="I105" s="32">
        <v>-114.74</v>
      </c>
      <c r="J105" s="32">
        <v>-131.07</v>
      </c>
      <c r="K105" s="32">
        <v>-327.36</v>
      </c>
      <c r="L105" s="32">
        <v>-380.44</v>
      </c>
    </row>
    <row r="106" spans="4:12" x14ac:dyDescent="0.3">
      <c r="D106" t="s">
        <v>90</v>
      </c>
      <c r="H106" s="32">
        <v>-229.94</v>
      </c>
      <c r="I106" s="32">
        <v>-315.73</v>
      </c>
      <c r="J106" s="32">
        <v>-306.27999999999997</v>
      </c>
      <c r="K106" s="32">
        <v>-270.98</v>
      </c>
      <c r="L106" s="32">
        <v>-181.16</v>
      </c>
    </row>
    <row r="107" spans="4:12" x14ac:dyDescent="0.3">
      <c r="D107" t="s">
        <v>133</v>
      </c>
      <c r="H107" s="32">
        <v>0</v>
      </c>
      <c r="I107" s="32">
        <v>-0.06</v>
      </c>
      <c r="J107" s="32">
        <v>0</v>
      </c>
      <c r="K107" s="32">
        <v>-1.77</v>
      </c>
      <c r="L107" s="32">
        <v>0</v>
      </c>
    </row>
    <row r="108" spans="4:12" x14ac:dyDescent="0.3">
      <c r="D108" t="s">
        <v>122</v>
      </c>
      <c r="H108" s="32">
        <v>-9.16</v>
      </c>
      <c r="I108" s="32">
        <v>-6.32</v>
      </c>
      <c r="J108" s="32">
        <v>-6.14</v>
      </c>
      <c r="K108" s="32">
        <v>-6.15</v>
      </c>
      <c r="L108" s="32">
        <v>-2.44</v>
      </c>
    </row>
    <row r="109" spans="4:12" x14ac:dyDescent="0.3">
      <c r="D109" t="s">
        <v>123</v>
      </c>
      <c r="H109" s="32">
        <v>-3.72</v>
      </c>
      <c r="I109" s="32">
        <v>-5.0599999999999996</v>
      </c>
      <c r="J109" s="32">
        <v>-6.76</v>
      </c>
      <c r="K109" s="32">
        <v>-7.95</v>
      </c>
      <c r="L109" s="32">
        <v>-6.08</v>
      </c>
    </row>
    <row r="110" spans="4:12" x14ac:dyDescent="0.3">
      <c r="D110" t="s">
        <v>16</v>
      </c>
      <c r="H110" s="32">
        <v>251.29</v>
      </c>
      <c r="I110" s="32">
        <v>216.12</v>
      </c>
      <c r="J110" s="32">
        <v>262.87</v>
      </c>
      <c r="K110" s="32">
        <v>258.33999999999997</v>
      </c>
      <c r="L110" s="32">
        <v>204.96</v>
      </c>
    </row>
    <row r="111" spans="4:12" x14ac:dyDescent="0.3">
      <c r="D111" s="10" t="s">
        <v>91</v>
      </c>
      <c r="H111" s="21">
        <f>SUM(H96:H110)</f>
        <v>4106.1499999999996</v>
      </c>
      <c r="I111" s="21">
        <f t="shared" ref="I111:L111" si="15">SUM(I96:I110)</f>
        <v>3716.85</v>
      </c>
      <c r="J111" s="21">
        <f t="shared" si="15"/>
        <v>2953.5399999999995</v>
      </c>
      <c r="K111" s="21">
        <f t="shared" si="15"/>
        <v>4516.96</v>
      </c>
      <c r="L111" s="21">
        <f t="shared" si="15"/>
        <v>3950.0099999999993</v>
      </c>
    </row>
    <row r="112" spans="4:12" x14ac:dyDescent="0.3">
      <c r="D112" t="s">
        <v>84</v>
      </c>
      <c r="H112" s="32"/>
      <c r="I112" s="32"/>
      <c r="J112" s="33"/>
      <c r="K112" s="32"/>
      <c r="L112" s="32"/>
    </row>
    <row r="113" spans="3:12" x14ac:dyDescent="0.3">
      <c r="D113" t="s">
        <v>92</v>
      </c>
      <c r="H113" s="32">
        <v>416.99</v>
      </c>
      <c r="I113" s="32">
        <v>-99.57</v>
      </c>
      <c r="J113" s="32">
        <v>-606.22</v>
      </c>
      <c r="K113" s="32">
        <v>-456.42</v>
      </c>
      <c r="L113" s="32">
        <v>-43.03</v>
      </c>
    </row>
    <row r="114" spans="3:12" x14ac:dyDescent="0.3">
      <c r="D114" t="s">
        <v>93</v>
      </c>
      <c r="H114" s="32">
        <v>-8.9700000000000006</v>
      </c>
      <c r="I114" s="32">
        <v>-772.32</v>
      </c>
      <c r="J114" s="32">
        <v>-235.02</v>
      </c>
      <c r="K114" s="32">
        <v>-790.49</v>
      </c>
      <c r="L114" s="32">
        <v>1120.5</v>
      </c>
    </row>
    <row r="115" spans="3:12" x14ac:dyDescent="0.3">
      <c r="D115" t="s">
        <v>94</v>
      </c>
      <c r="H115" s="32">
        <v>484.68</v>
      </c>
      <c r="I115" s="32">
        <v>24.23</v>
      </c>
      <c r="J115" s="32">
        <v>789.65</v>
      </c>
      <c r="K115" s="32">
        <v>521.63</v>
      </c>
      <c r="L115" s="32">
        <v>328.37</v>
      </c>
    </row>
    <row r="116" spans="3:12" x14ac:dyDescent="0.3">
      <c r="D116" s="10" t="s">
        <v>95</v>
      </c>
      <c r="H116" s="21">
        <f>SUM(H111:H115)</f>
        <v>4998.8499999999995</v>
      </c>
      <c r="I116" s="21">
        <f t="shared" ref="I116:L116" si="16">SUM(I111:I115)</f>
        <v>2869.1899999999996</v>
      </c>
      <c r="J116" s="21">
        <f t="shared" si="16"/>
        <v>2901.95</v>
      </c>
      <c r="K116" s="21">
        <f t="shared" si="16"/>
        <v>3791.6800000000003</v>
      </c>
      <c r="L116" s="21">
        <f t="shared" si="16"/>
        <v>5355.8499999999995</v>
      </c>
    </row>
    <row r="117" spans="3:12" x14ac:dyDescent="0.3">
      <c r="D117" t="s">
        <v>96</v>
      </c>
      <c r="H117" s="32">
        <v>-745.06</v>
      </c>
      <c r="I117" s="32">
        <v>-201.33</v>
      </c>
      <c r="J117" s="32">
        <v>-333.21</v>
      </c>
      <c r="K117" s="32">
        <v>-444.19</v>
      </c>
      <c r="L117" s="32">
        <v>-435.52</v>
      </c>
    </row>
    <row r="118" spans="3:12" x14ac:dyDescent="0.3">
      <c r="D118" s="13" t="s">
        <v>97</v>
      </c>
      <c r="E118" s="16"/>
      <c r="F118" s="16"/>
      <c r="G118" s="16"/>
      <c r="H118" s="20">
        <f>SUM(H116:H117)</f>
        <v>4253.7899999999991</v>
      </c>
      <c r="I118" s="20">
        <f t="shared" ref="I118:L118" si="17">SUM(I116:I117)</f>
        <v>2667.8599999999997</v>
      </c>
      <c r="J118" s="20">
        <f t="shared" si="17"/>
        <v>2568.7399999999998</v>
      </c>
      <c r="K118" s="20">
        <f t="shared" si="17"/>
        <v>3347.4900000000002</v>
      </c>
      <c r="L118" s="20">
        <f t="shared" si="17"/>
        <v>4920.33</v>
      </c>
    </row>
    <row r="119" spans="3:12" x14ac:dyDescent="0.3">
      <c r="C119" s="10" t="s">
        <v>135</v>
      </c>
      <c r="H119" s="32"/>
      <c r="I119" s="32"/>
      <c r="J119" s="32"/>
      <c r="K119" s="32"/>
      <c r="L119" s="32"/>
    </row>
    <row r="120" spans="3:12" x14ac:dyDescent="0.3">
      <c r="D120" t="s">
        <v>124</v>
      </c>
      <c r="H120" s="32">
        <v>-1121.3800000000001</v>
      </c>
      <c r="I120" s="32">
        <v>-2215.84</v>
      </c>
      <c r="J120" s="32">
        <v>-3291.38</v>
      </c>
      <c r="K120" s="32">
        <v>-3140.3</v>
      </c>
      <c r="L120" s="32">
        <v>-4093.38</v>
      </c>
    </row>
    <row r="121" spans="3:12" x14ac:dyDescent="0.3">
      <c r="D121" t="s">
        <v>98</v>
      </c>
      <c r="H121" s="32">
        <v>5.46</v>
      </c>
      <c r="I121" s="32">
        <v>8.8000000000000007</v>
      </c>
      <c r="J121" s="32">
        <v>35.340000000000003</v>
      </c>
      <c r="K121" s="32">
        <v>30.85</v>
      </c>
      <c r="L121" s="32">
        <v>21.35</v>
      </c>
    </row>
    <row r="122" spans="3:12" x14ac:dyDescent="0.3">
      <c r="D122" t="s">
        <v>99</v>
      </c>
      <c r="H122" s="32">
        <v>-13.2</v>
      </c>
      <c r="I122" s="32">
        <v>-2.38</v>
      </c>
      <c r="J122" s="32">
        <v>-23.07</v>
      </c>
      <c r="K122" s="32">
        <v>-60.05</v>
      </c>
      <c r="L122" s="32">
        <v>-11.34</v>
      </c>
    </row>
    <row r="123" spans="3:12" x14ac:dyDescent="0.3">
      <c r="D123" t="s">
        <v>125</v>
      </c>
      <c r="H123" s="32">
        <v>-753.82</v>
      </c>
      <c r="I123" s="32">
        <v>361.63</v>
      </c>
      <c r="J123" s="32">
        <v>255.8</v>
      </c>
      <c r="K123" s="32">
        <v>41.14</v>
      </c>
      <c r="L123" s="32">
        <v>-861.78</v>
      </c>
    </row>
    <row r="124" spans="3:12" x14ac:dyDescent="0.3">
      <c r="D124" t="s">
        <v>129</v>
      </c>
      <c r="H124" s="32">
        <v>0</v>
      </c>
      <c r="I124" s="32">
        <v>0</v>
      </c>
      <c r="J124" s="32">
        <v>0</v>
      </c>
      <c r="K124" s="32">
        <v>-10.039999999999999</v>
      </c>
      <c r="L124" s="32">
        <v>0</v>
      </c>
    </row>
    <row r="125" spans="3:12" x14ac:dyDescent="0.3">
      <c r="D125" t="s">
        <v>130</v>
      </c>
      <c r="H125" s="32">
        <v>0</v>
      </c>
      <c r="I125" s="32">
        <v>0</v>
      </c>
      <c r="J125" s="32">
        <v>0</v>
      </c>
      <c r="K125" s="32">
        <v>10.039999999999999</v>
      </c>
      <c r="L125" s="32">
        <v>0</v>
      </c>
    </row>
    <row r="126" spans="3:12" x14ac:dyDescent="0.3">
      <c r="D126" t="s">
        <v>100</v>
      </c>
      <c r="H126" s="32">
        <v>-2110.41</v>
      </c>
      <c r="I126" s="32">
        <v>-1149.32</v>
      </c>
      <c r="J126" s="32">
        <v>-97.37</v>
      </c>
      <c r="K126" s="32">
        <v>-226.19</v>
      </c>
      <c r="L126" s="32">
        <v>-127.22</v>
      </c>
    </row>
    <row r="127" spans="3:12" x14ac:dyDescent="0.3">
      <c r="D127" t="s">
        <v>101</v>
      </c>
      <c r="H127" s="32">
        <v>890.4</v>
      </c>
      <c r="I127" s="32">
        <v>450.24</v>
      </c>
      <c r="J127" s="32">
        <v>330.67</v>
      </c>
      <c r="K127" s="32">
        <v>1607.13</v>
      </c>
      <c r="L127" s="32">
        <v>1095.3800000000001</v>
      </c>
    </row>
    <row r="128" spans="3:12" x14ac:dyDescent="0.3">
      <c r="D128" s="9" t="s">
        <v>102</v>
      </c>
      <c r="E128" s="9"/>
      <c r="F128" s="9"/>
      <c r="G128" s="9"/>
      <c r="H128" s="32">
        <v>-0.03</v>
      </c>
      <c r="I128" s="32">
        <v>0</v>
      </c>
      <c r="J128" s="32">
        <v>0</v>
      </c>
      <c r="K128" s="32">
        <v>0</v>
      </c>
      <c r="L128" s="32">
        <v>0</v>
      </c>
    </row>
    <row r="129" spans="3:12" x14ac:dyDescent="0.3">
      <c r="D129" s="9" t="s">
        <v>103</v>
      </c>
      <c r="E129" s="9"/>
      <c r="F129" s="9"/>
      <c r="G129" s="9"/>
      <c r="H129" s="32">
        <v>-16.75</v>
      </c>
      <c r="I129" s="32">
        <v>-21.2</v>
      </c>
      <c r="J129" s="32">
        <v>0</v>
      </c>
      <c r="K129" s="32">
        <v>0</v>
      </c>
      <c r="L129" s="32">
        <v>0</v>
      </c>
    </row>
    <row r="130" spans="3:12" x14ac:dyDescent="0.3">
      <c r="D130" t="s">
        <v>126</v>
      </c>
      <c r="H130" s="32">
        <v>0</v>
      </c>
      <c r="I130" s="32">
        <v>17.2</v>
      </c>
      <c r="J130" s="32">
        <v>18.77</v>
      </c>
      <c r="K130" s="32">
        <v>1.98</v>
      </c>
      <c r="L130" s="32">
        <v>0</v>
      </c>
    </row>
    <row r="131" spans="3:12" x14ac:dyDescent="0.3">
      <c r="D131" t="s">
        <v>104</v>
      </c>
      <c r="H131" s="32">
        <v>-270.45</v>
      </c>
      <c r="I131" s="32">
        <v>-37.28</v>
      </c>
      <c r="J131" s="32">
        <v>-74.08</v>
      </c>
      <c r="K131" s="32">
        <v>-54.63</v>
      </c>
      <c r="L131" s="32">
        <v>-74.72</v>
      </c>
    </row>
    <row r="132" spans="3:12" x14ac:dyDescent="0.3">
      <c r="D132" t="s">
        <v>105</v>
      </c>
      <c r="H132" s="32">
        <v>524.66</v>
      </c>
      <c r="I132" s="32">
        <v>163.07</v>
      </c>
      <c r="J132" s="32">
        <v>67.959999999999994</v>
      </c>
      <c r="K132" s="32">
        <v>31.77</v>
      </c>
      <c r="L132" s="32">
        <v>81.05</v>
      </c>
    </row>
    <row r="133" spans="3:12" x14ac:dyDescent="0.3">
      <c r="D133" t="s">
        <v>106</v>
      </c>
      <c r="H133" s="32">
        <v>2.19</v>
      </c>
      <c r="I133" s="32">
        <v>0.05</v>
      </c>
      <c r="J133" s="32">
        <v>-0.25</v>
      </c>
      <c r="K133" s="32">
        <v>0.18</v>
      </c>
      <c r="L133" s="32">
        <v>1.03</v>
      </c>
    </row>
    <row r="134" spans="3:12" s="9" customFormat="1" x14ac:dyDescent="0.3">
      <c r="D134" s="9" t="s">
        <v>107</v>
      </c>
      <c r="H134" s="32">
        <v>0</v>
      </c>
      <c r="I134" s="32">
        <v>-29.42</v>
      </c>
      <c r="J134" s="32">
        <v>0</v>
      </c>
      <c r="K134" s="32">
        <v>0</v>
      </c>
      <c r="L134" s="32">
        <v>0</v>
      </c>
    </row>
    <row r="135" spans="3:12" x14ac:dyDescent="0.3">
      <c r="D135" t="s">
        <v>108</v>
      </c>
      <c r="H135" s="32">
        <v>9.16</v>
      </c>
      <c r="I135" s="32">
        <v>6.32</v>
      </c>
      <c r="J135" s="32">
        <v>6.14</v>
      </c>
      <c r="K135" s="32">
        <v>6.15</v>
      </c>
      <c r="L135" s="32">
        <v>2.44</v>
      </c>
    </row>
    <row r="136" spans="3:12" x14ac:dyDescent="0.3">
      <c r="D136" t="s">
        <v>109</v>
      </c>
      <c r="H136" s="32">
        <v>209.13</v>
      </c>
      <c r="I136" s="32">
        <v>296.76</v>
      </c>
      <c r="J136" s="32">
        <v>356.98</v>
      </c>
      <c r="K136" s="32">
        <v>343.51</v>
      </c>
      <c r="L136" s="32">
        <v>239.56</v>
      </c>
    </row>
    <row r="137" spans="3:12" x14ac:dyDescent="0.3">
      <c r="D137" s="13" t="s">
        <v>110</v>
      </c>
      <c r="E137" s="16"/>
      <c r="F137" s="16"/>
      <c r="G137" s="16"/>
      <c r="H137" s="20">
        <f>SUM(H120:H136)</f>
        <v>-2645.04</v>
      </c>
      <c r="I137" s="20">
        <f t="shared" ref="I137:L137" si="18">SUM(I120:I136)</f>
        <v>-2151.37</v>
      </c>
      <c r="J137" s="20">
        <f t="shared" si="18"/>
        <v>-2414.4899999999998</v>
      </c>
      <c r="K137" s="20">
        <f t="shared" si="18"/>
        <v>-1418.4600000000005</v>
      </c>
      <c r="L137" s="20">
        <f t="shared" si="18"/>
        <v>-3727.63</v>
      </c>
    </row>
    <row r="138" spans="3:12" x14ac:dyDescent="0.3">
      <c r="C138" s="10" t="s">
        <v>134</v>
      </c>
      <c r="H138" s="32"/>
      <c r="I138" s="32"/>
      <c r="J138" s="32"/>
      <c r="K138" s="32"/>
      <c r="L138" s="32"/>
    </row>
    <row r="139" spans="3:12" x14ac:dyDescent="0.3">
      <c r="D139" t="s">
        <v>119</v>
      </c>
      <c r="H139" s="32">
        <v>-6.53</v>
      </c>
      <c r="I139" s="32">
        <v>-0.81</v>
      </c>
      <c r="J139" s="32">
        <v>-0.87</v>
      </c>
      <c r="K139" s="32">
        <v>-0.19</v>
      </c>
      <c r="L139" s="32">
        <v>-0.85</v>
      </c>
    </row>
    <row r="140" spans="3:12" x14ac:dyDescent="0.3">
      <c r="D140" t="s">
        <v>111</v>
      </c>
      <c r="H140" s="32">
        <v>0</v>
      </c>
      <c r="I140" s="32">
        <v>322.27999999999997</v>
      </c>
      <c r="J140" s="32">
        <v>193.63</v>
      </c>
      <c r="K140" s="32">
        <v>698.57</v>
      </c>
      <c r="L140" s="32">
        <v>24.52</v>
      </c>
    </row>
    <row r="141" spans="3:12" x14ac:dyDescent="0.3">
      <c r="D141" t="s">
        <v>112</v>
      </c>
      <c r="H141" s="32">
        <v>-710.3</v>
      </c>
      <c r="I141" s="32">
        <v>-290.17</v>
      </c>
      <c r="J141" s="32">
        <v>-378.93</v>
      </c>
      <c r="K141" s="32">
        <v>-1168.49</v>
      </c>
      <c r="L141" s="32">
        <v>-256.01</v>
      </c>
    </row>
    <row r="142" spans="3:12" x14ac:dyDescent="0.3">
      <c r="C142" s="10"/>
      <c r="D142" t="s">
        <v>113</v>
      </c>
      <c r="H142" s="32">
        <v>-61.55</v>
      </c>
      <c r="I142" s="32">
        <v>-98.38</v>
      </c>
      <c r="J142" s="32">
        <v>-147.61000000000001</v>
      </c>
      <c r="K142" s="32">
        <v>-148.9</v>
      </c>
      <c r="L142" s="32">
        <v>-127.29</v>
      </c>
    </row>
    <row r="143" spans="3:12" x14ac:dyDescent="0.3">
      <c r="C143" s="10"/>
      <c r="D143" t="s">
        <v>127</v>
      </c>
      <c r="H143" s="32">
        <v>0</v>
      </c>
      <c r="I143" s="32">
        <v>0</v>
      </c>
      <c r="J143" s="32">
        <v>72.67</v>
      </c>
      <c r="K143" s="32">
        <v>20.7</v>
      </c>
      <c r="L143" s="32">
        <v>0</v>
      </c>
    </row>
    <row r="144" spans="3:12" x14ac:dyDescent="0.3">
      <c r="C144" s="10"/>
      <c r="D144" t="s">
        <v>128</v>
      </c>
      <c r="H144" s="32">
        <v>0</v>
      </c>
      <c r="I144" s="32">
        <v>0</v>
      </c>
      <c r="J144" s="32">
        <v>-72.67</v>
      </c>
      <c r="K144" s="32">
        <v>-20.7</v>
      </c>
      <c r="L144" s="32">
        <v>0</v>
      </c>
    </row>
    <row r="145" spans="1:12" x14ac:dyDescent="0.3">
      <c r="D145" t="s">
        <v>120</v>
      </c>
      <c r="H145" s="32">
        <v>-189.15</v>
      </c>
      <c r="I145" s="32">
        <v>-188.91</v>
      </c>
      <c r="J145" s="32">
        <v>640.14</v>
      </c>
      <c r="K145" s="32">
        <v>-492.3</v>
      </c>
      <c r="L145" s="32">
        <v>-366.32</v>
      </c>
    </row>
    <row r="146" spans="1:12" x14ac:dyDescent="0.3">
      <c r="D146" t="s">
        <v>114</v>
      </c>
      <c r="H146" s="32">
        <v>-253.98</v>
      </c>
      <c r="I146" s="32">
        <v>-209.06</v>
      </c>
      <c r="J146" s="32">
        <v>-258.55</v>
      </c>
      <c r="K146" s="32">
        <v>-219.77</v>
      </c>
      <c r="L146" s="32">
        <v>-190.43</v>
      </c>
    </row>
    <row r="147" spans="1:12" x14ac:dyDescent="0.3">
      <c r="D147" t="s">
        <v>17</v>
      </c>
      <c r="H147" s="32">
        <v>-11.13</v>
      </c>
      <c r="I147" s="32">
        <v>-384.33</v>
      </c>
      <c r="J147" s="32">
        <v>-324.52</v>
      </c>
      <c r="K147" s="32">
        <v>-379.03</v>
      </c>
      <c r="L147" s="32">
        <v>-379.87</v>
      </c>
    </row>
    <row r="148" spans="1:12" x14ac:dyDescent="0.3">
      <c r="D148" s="13" t="s">
        <v>115</v>
      </c>
      <c r="E148" s="16"/>
      <c r="F148" s="16"/>
      <c r="G148" s="16"/>
      <c r="H148" s="20">
        <f>SUM(H139:H147)</f>
        <v>-1232.6399999999999</v>
      </c>
      <c r="I148" s="20">
        <f t="shared" ref="I148:L148" si="19">SUM(I139:I147)</f>
        <v>-849.38000000000011</v>
      </c>
      <c r="J148" s="20">
        <f t="shared" si="19"/>
        <v>-276.71000000000004</v>
      </c>
      <c r="K148" s="20">
        <f t="shared" si="19"/>
        <v>-1710.11</v>
      </c>
      <c r="L148" s="20">
        <f t="shared" si="19"/>
        <v>-1296.25</v>
      </c>
    </row>
    <row r="149" spans="1:12" x14ac:dyDescent="0.3">
      <c r="D149" s="10"/>
      <c r="H149" s="33"/>
      <c r="I149" s="33"/>
      <c r="J149" s="33"/>
      <c r="K149" s="33"/>
      <c r="L149" s="33"/>
    </row>
    <row r="150" spans="1:12" s="10" customFormat="1" x14ac:dyDescent="0.3">
      <c r="D150" s="10" t="s">
        <v>116</v>
      </c>
      <c r="H150" s="21">
        <f>SUM(H148,H137,H118)</f>
        <v>376.10999999999922</v>
      </c>
      <c r="I150" s="21">
        <f t="shared" ref="I150:L150" si="20">SUM(I148,I137,I118)</f>
        <v>-332.89000000000033</v>
      </c>
      <c r="J150" s="21">
        <f t="shared" si="20"/>
        <v>-122.46000000000004</v>
      </c>
      <c r="K150" s="21">
        <f t="shared" si="20"/>
        <v>218.91999999999962</v>
      </c>
      <c r="L150" s="21">
        <f t="shared" si="20"/>
        <v>-103.55000000000018</v>
      </c>
    </row>
    <row r="151" spans="1:12" x14ac:dyDescent="0.3">
      <c r="D151" t="s">
        <v>117</v>
      </c>
      <c r="H151" s="32">
        <v>81.69</v>
      </c>
      <c r="I151" s="32">
        <v>451.99</v>
      </c>
      <c r="J151" s="32">
        <v>127.71</v>
      </c>
      <c r="K151" s="32">
        <v>14.35</v>
      </c>
      <c r="L151" s="32">
        <v>233.92</v>
      </c>
    </row>
    <row r="152" spans="1:12" x14ac:dyDescent="0.3">
      <c r="D152" t="s">
        <v>121</v>
      </c>
      <c r="H152" s="32">
        <v>-5.81</v>
      </c>
      <c r="I152" s="32">
        <v>8.49</v>
      </c>
      <c r="J152" s="32">
        <v>9.1</v>
      </c>
      <c r="K152" s="32">
        <v>0.59</v>
      </c>
      <c r="L152" s="32">
        <v>1.62</v>
      </c>
    </row>
    <row r="153" spans="1:12" s="10" customFormat="1" ht="15" thickBot="1" x14ac:dyDescent="0.35">
      <c r="A153" s="15"/>
      <c r="B153" s="15"/>
      <c r="C153" s="15"/>
      <c r="D153" s="15" t="s">
        <v>118</v>
      </c>
      <c r="E153" s="15"/>
      <c r="F153" s="15"/>
      <c r="G153" s="15"/>
      <c r="H153" s="22">
        <f>SUM(H150:H152)</f>
        <v>451.98999999999921</v>
      </c>
      <c r="I153" s="22">
        <f t="shared" ref="I153:L153" si="21">SUM(I150:I152)</f>
        <v>127.58999999999968</v>
      </c>
      <c r="J153" s="22">
        <f t="shared" si="21"/>
        <v>14.349999999999957</v>
      </c>
      <c r="K153" s="22">
        <f t="shared" si="21"/>
        <v>233.85999999999962</v>
      </c>
      <c r="L153" s="22">
        <f t="shared" si="21"/>
        <v>131.98999999999981</v>
      </c>
    </row>
    <row r="154" spans="1:12" ht="15" thickTop="1" x14ac:dyDescent="0.3"/>
    <row r="156" spans="1:12" x14ac:dyDescent="0.3">
      <c r="D156" s="134" t="s">
        <v>504</v>
      </c>
    </row>
  </sheetData>
  <hyperlinks>
    <hyperlink ref="D156" location="Cover!A1" display="Back to Cover" xr:uid="{F9CEF912-47A4-48AD-9B24-82ED4C2DE34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20D55-6D22-4356-8A00-FED3910608A6}">
  <sheetPr>
    <tabColor rgb="FFBBB2F0"/>
  </sheetPr>
  <dimension ref="A1:N14"/>
  <sheetViews>
    <sheetView workbookViewId="0">
      <pane ySplit="2" topLeftCell="A3" activePane="bottomLeft" state="frozen"/>
      <selection pane="bottomLeft"/>
    </sheetView>
  </sheetViews>
  <sheetFormatPr defaultColWidth="11.77734375" defaultRowHeight="14.4" x14ac:dyDescent="0.3"/>
  <cols>
    <col min="1" max="3" width="1.33203125" customWidth="1"/>
    <col min="4" max="4" width="33.44140625" customWidth="1"/>
    <col min="5" max="6" width="17.109375" customWidth="1"/>
    <col min="7" max="7" width="19.21875" customWidth="1"/>
    <col min="8" max="14" width="17.109375" customWidth="1"/>
  </cols>
  <sheetData>
    <row r="1" spans="1:14" ht="32.4" x14ac:dyDescent="0.6">
      <c r="A1" s="1" t="str">
        <f>Historical!A1</f>
        <v>Shree Cement Ltd.</v>
      </c>
      <c r="B1" s="2"/>
      <c r="C1" s="2"/>
      <c r="D1" s="2"/>
      <c r="E1" s="3"/>
      <c r="F1" s="3"/>
      <c r="G1" s="3"/>
      <c r="H1" s="69"/>
      <c r="I1" s="69"/>
      <c r="J1" s="69"/>
      <c r="K1" s="69"/>
      <c r="L1" s="4"/>
      <c r="M1" s="4"/>
      <c r="N1" s="4"/>
    </row>
    <row r="2" spans="1:14" ht="15.6" x14ac:dyDescent="0.3">
      <c r="A2" s="4" t="s">
        <v>267</v>
      </c>
      <c r="B2" s="4"/>
      <c r="C2" s="4"/>
      <c r="D2" s="4"/>
      <c r="E2" s="5"/>
      <c r="F2" s="5"/>
      <c r="G2" s="5"/>
      <c r="H2" s="6"/>
      <c r="I2" s="6"/>
      <c r="J2" s="6"/>
      <c r="K2" s="6"/>
      <c r="L2" s="7"/>
      <c r="M2" s="7"/>
      <c r="N2" s="7"/>
    </row>
    <row r="4" spans="1:14" s="10" customFormat="1" ht="48.6" customHeight="1" x14ac:dyDescent="0.3">
      <c r="D4" s="67" t="s">
        <v>270</v>
      </c>
      <c r="E4" s="67" t="s">
        <v>268</v>
      </c>
      <c r="F4" s="67" t="s">
        <v>271</v>
      </c>
      <c r="G4" s="67" t="s">
        <v>272</v>
      </c>
      <c r="H4" s="67" t="s">
        <v>273</v>
      </c>
      <c r="I4" s="67" t="s">
        <v>274</v>
      </c>
      <c r="J4" s="67" t="s">
        <v>275</v>
      </c>
      <c r="K4" s="67" t="s">
        <v>276</v>
      </c>
      <c r="L4" s="67" t="s">
        <v>146</v>
      </c>
      <c r="M4" s="67" t="s">
        <v>293</v>
      </c>
      <c r="N4" s="67" t="s">
        <v>277</v>
      </c>
    </row>
    <row r="5" spans="1:14" x14ac:dyDescent="0.3">
      <c r="D5" t="s">
        <v>279</v>
      </c>
      <c r="E5" t="s">
        <v>280</v>
      </c>
      <c r="F5" s="132">
        <v>24890</v>
      </c>
      <c r="G5" s="81">
        <v>3.6081420999999998</v>
      </c>
      <c r="H5" s="75">
        <f>F5*G5</f>
        <v>89806.656868999999</v>
      </c>
      <c r="I5" s="132">
        <v>2218.2519309964255</v>
      </c>
      <c r="J5" s="132">
        <v>7853.7526824993183</v>
      </c>
      <c r="K5" s="132">
        <v>21100.184803111995</v>
      </c>
      <c r="L5" s="132">
        <v>5699.4630958303351</v>
      </c>
      <c r="M5" s="132">
        <v>1856.0238876315677</v>
      </c>
      <c r="N5" s="91">
        <v>0.24651100000000001</v>
      </c>
    </row>
    <row r="6" spans="1:14" x14ac:dyDescent="0.3">
      <c r="D6" t="s">
        <v>281</v>
      </c>
      <c r="E6" t="s">
        <v>282</v>
      </c>
      <c r="F6" s="132">
        <v>11452</v>
      </c>
      <c r="G6" s="81">
        <v>29.434026100000001</v>
      </c>
      <c r="H6" s="75">
        <f t="shared" ref="H6:H11" si="0">F6*G6</f>
        <v>337078.46689719998</v>
      </c>
      <c r="I6" s="132">
        <v>26113.009985522891</v>
      </c>
      <c r="J6" s="132">
        <v>3811.6224307533148</v>
      </c>
      <c r="K6" s="132">
        <v>88830.511558527112</v>
      </c>
      <c r="L6" s="132">
        <v>16522.795491048462</v>
      </c>
      <c r="M6" s="132">
        <v>7937.9277005569193</v>
      </c>
      <c r="N6" s="91">
        <v>0.23731000000000002</v>
      </c>
    </row>
    <row r="7" spans="1:14" x14ac:dyDescent="0.3">
      <c r="D7" t="s">
        <v>283</v>
      </c>
      <c r="E7" s="68" t="s">
        <v>284</v>
      </c>
      <c r="F7" s="132">
        <v>441.75</v>
      </c>
      <c r="G7" s="81">
        <v>246.7865894</v>
      </c>
      <c r="H7" s="75">
        <f t="shared" si="0"/>
        <v>109017.97586745</v>
      </c>
      <c r="I7" s="132">
        <v>1315.9802733842325</v>
      </c>
      <c r="J7" s="132">
        <v>474.83077208019506</v>
      </c>
      <c r="K7" s="132">
        <v>40833.45764850593</v>
      </c>
      <c r="L7" s="132">
        <v>6510.1913254408582</v>
      </c>
      <c r="M7" s="132">
        <v>3826.0175180577157</v>
      </c>
      <c r="N7" s="91">
        <v>-0.13039600000000001</v>
      </c>
    </row>
    <row r="8" spans="1:14" x14ac:dyDescent="0.3">
      <c r="D8" t="s">
        <v>285</v>
      </c>
      <c r="E8" t="s">
        <v>286</v>
      </c>
      <c r="F8" s="132">
        <v>1945.4999999999998</v>
      </c>
      <c r="G8" s="81">
        <v>18.7531283</v>
      </c>
      <c r="H8" s="75">
        <f t="shared" si="0"/>
        <v>36484.211107649993</v>
      </c>
      <c r="I8" s="132">
        <v>7334.2453578817704</v>
      </c>
      <c r="J8" s="132">
        <v>5212.264462691126</v>
      </c>
      <c r="K8" s="132">
        <v>15171.800980395183</v>
      </c>
      <c r="L8" s="132">
        <v>3050.9300819777027</v>
      </c>
      <c r="M8" s="132">
        <v>1228.2427261736675</v>
      </c>
      <c r="N8" s="91">
        <v>0.18686499999999998</v>
      </c>
    </row>
    <row r="9" spans="1:14" x14ac:dyDescent="0.3">
      <c r="D9" t="s">
        <v>287</v>
      </c>
      <c r="E9" t="s">
        <v>288</v>
      </c>
      <c r="F9" s="132">
        <v>1396.2</v>
      </c>
      <c r="G9" s="81">
        <v>18.813404900000002</v>
      </c>
      <c r="H9" s="75">
        <f t="shared" si="0"/>
        <v>26267.275921380002</v>
      </c>
      <c r="I9" s="132">
        <v>502.73030742206248</v>
      </c>
      <c r="J9" s="132">
        <v>302.80429595078255</v>
      </c>
      <c r="K9" s="132">
        <v>25654.987290469486</v>
      </c>
      <c r="L9" s="132">
        <v>3060.2584063577901</v>
      </c>
      <c r="M9" s="132">
        <v>2744.2318620591204</v>
      </c>
      <c r="N9" s="91">
        <v>6.8950000000000001E-3</v>
      </c>
    </row>
    <row r="10" spans="1:14" x14ac:dyDescent="0.3">
      <c r="D10" t="s">
        <v>289</v>
      </c>
      <c r="E10" t="s">
        <v>290</v>
      </c>
      <c r="F10" s="132">
        <v>5487</v>
      </c>
      <c r="G10" s="81">
        <v>7.7303398000000003</v>
      </c>
      <c r="H10" s="75">
        <f t="shared" si="0"/>
        <v>42416.374482600004</v>
      </c>
      <c r="I10" s="132">
        <v>6741.6959176465125</v>
      </c>
      <c r="J10" s="132">
        <v>1458.0463227167875</v>
      </c>
      <c r="K10" s="132">
        <v>13894.066078618129</v>
      </c>
      <c r="L10" s="132">
        <v>2520.6342114921431</v>
      </c>
      <c r="M10" s="132">
        <v>1056.2680319379674</v>
      </c>
      <c r="N10" s="91">
        <v>0.33663699999999996</v>
      </c>
    </row>
    <row r="11" spans="1:14" x14ac:dyDescent="0.3">
      <c r="D11" t="s">
        <v>291</v>
      </c>
      <c r="E11" t="s">
        <v>292</v>
      </c>
      <c r="F11" s="132">
        <v>984.5</v>
      </c>
      <c r="G11" s="81">
        <v>23.630562000000001</v>
      </c>
      <c r="H11" s="75">
        <f t="shared" si="0"/>
        <v>23264.288289</v>
      </c>
      <c r="I11" s="132">
        <v>4866.5234486120407</v>
      </c>
      <c r="J11" s="132">
        <v>129.783626071935</v>
      </c>
      <c r="K11" s="132">
        <v>9129.7063243523553</v>
      </c>
      <c r="L11" s="132">
        <v>1435.7960756674227</v>
      </c>
      <c r="M11" s="132">
        <v>595.86342560332253</v>
      </c>
      <c r="N11" s="91">
        <v>0.23248100000000002</v>
      </c>
    </row>
    <row r="13" spans="1:14" ht="15" thickBot="1" x14ac:dyDescent="0.35">
      <c r="M13" s="26"/>
    </row>
    <row r="14" spans="1:14" ht="15" thickTop="1" x14ac:dyDescent="0.3">
      <c r="D14" s="134" t="s">
        <v>504</v>
      </c>
    </row>
  </sheetData>
  <hyperlinks>
    <hyperlink ref="D14" location="Cover!A1" display="Back to Cover" xr:uid="{D2C5FA31-36CF-439E-9FFD-967A4C643DC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A2026-4018-4E4C-8D73-C79309C6394A}">
  <sheetPr>
    <tabColor rgb="FFBBB2F0"/>
  </sheetPr>
  <dimension ref="A1:M2483"/>
  <sheetViews>
    <sheetView workbookViewId="0">
      <pane ySplit="2" topLeftCell="A3" activePane="bottomLeft" state="frozen"/>
      <selection pane="bottomLeft"/>
    </sheetView>
  </sheetViews>
  <sheetFormatPr defaultColWidth="11.77734375" defaultRowHeight="14.4" outlineLevelRow="1" x14ac:dyDescent="0.3"/>
  <cols>
    <col min="1" max="3" width="1.33203125" customWidth="1"/>
    <col min="4" max="4" width="20.6640625" customWidth="1"/>
    <col min="5" max="5" width="18" customWidth="1"/>
    <col min="6" max="6" width="12.77734375" customWidth="1"/>
    <col min="7" max="7" width="2.77734375" customWidth="1"/>
    <col min="8" max="8" width="16.88671875" bestFit="1" customWidth="1"/>
  </cols>
  <sheetData>
    <row r="1" spans="1:13" ht="32.4" x14ac:dyDescent="0.6">
      <c r="A1" s="1" t="str">
        <f>Historical!A1</f>
        <v>Shree Cement Ltd.</v>
      </c>
      <c r="B1" s="2"/>
      <c r="C1" s="2"/>
      <c r="D1" s="2"/>
      <c r="E1" s="3"/>
      <c r="F1" s="3"/>
      <c r="G1" s="3"/>
      <c r="H1" s="4"/>
      <c r="I1" s="4"/>
      <c r="J1" s="4"/>
      <c r="K1" s="4"/>
      <c r="L1" s="4"/>
    </row>
    <row r="2" spans="1:13" ht="15.6" x14ac:dyDescent="0.3">
      <c r="A2" s="4" t="s">
        <v>322</v>
      </c>
      <c r="B2" s="4"/>
      <c r="C2" s="4"/>
      <c r="D2" s="4"/>
      <c r="E2" s="5"/>
      <c r="F2" s="5"/>
      <c r="G2" s="5"/>
      <c r="H2" s="6"/>
      <c r="I2" s="6"/>
      <c r="J2" s="6"/>
      <c r="K2" s="6"/>
      <c r="L2" s="6"/>
    </row>
    <row r="4" spans="1:13" ht="31.2" x14ac:dyDescent="0.3">
      <c r="D4" s="66" t="s">
        <v>323</v>
      </c>
      <c r="E4" s="66" t="s">
        <v>324</v>
      </c>
    </row>
    <row r="5" spans="1:13" x14ac:dyDescent="0.3">
      <c r="D5" s="80">
        <v>46142</v>
      </c>
      <c r="E5" s="81">
        <v>36174.800000000003</v>
      </c>
      <c r="H5" s="10" t="s">
        <v>325</v>
      </c>
      <c r="I5" t="s">
        <v>510</v>
      </c>
    </row>
    <row r="6" spans="1:13" x14ac:dyDescent="0.3">
      <c r="D6" s="80">
        <v>46141</v>
      </c>
      <c r="E6" s="81">
        <v>36446.26</v>
      </c>
      <c r="H6" s="10"/>
    </row>
    <row r="7" spans="1:13" x14ac:dyDescent="0.3">
      <c r="D7" s="80">
        <v>46140</v>
      </c>
      <c r="E7" s="81">
        <v>36172.04</v>
      </c>
      <c r="H7" s="10" t="s">
        <v>326</v>
      </c>
      <c r="I7" s="82">
        <f>YEARFRAC(D2475,D5)</f>
        <v>9.9861111111111107</v>
      </c>
    </row>
    <row r="8" spans="1:13" x14ac:dyDescent="0.3">
      <c r="D8" s="80">
        <v>46139</v>
      </c>
      <c r="E8" s="81">
        <v>36318.25</v>
      </c>
      <c r="H8" s="10"/>
    </row>
    <row r="9" spans="1:13" x14ac:dyDescent="0.3">
      <c r="D9" s="80">
        <v>46136</v>
      </c>
      <c r="E9" s="81">
        <v>36024.639999999999</v>
      </c>
      <c r="H9" s="10" t="s">
        <v>322</v>
      </c>
      <c r="I9" s="140">
        <f>_xlfn.RRI(I7,E2475,E5)</f>
        <v>0.13380018517594605</v>
      </c>
    </row>
    <row r="10" spans="1:13" x14ac:dyDescent="0.3">
      <c r="D10" s="80">
        <v>46135</v>
      </c>
      <c r="E10" s="81">
        <v>36430.959999999999</v>
      </c>
      <c r="H10" s="10"/>
    </row>
    <row r="11" spans="1:13" x14ac:dyDescent="0.3">
      <c r="D11" s="80">
        <v>46134</v>
      </c>
      <c r="E11" s="81">
        <v>36739.93</v>
      </c>
      <c r="H11" s="10" t="s">
        <v>327</v>
      </c>
      <c r="I11" s="91">
        <v>6.9290000000000004E-2</v>
      </c>
    </row>
    <row r="12" spans="1:13" x14ac:dyDescent="0.3">
      <c r="D12" s="80">
        <v>46133</v>
      </c>
      <c r="E12" s="81">
        <v>37039.120000000003</v>
      </c>
    </row>
    <row r="13" spans="1:13" ht="15" thickBot="1" x14ac:dyDescent="0.35">
      <c r="D13" s="80">
        <v>46132</v>
      </c>
      <c r="E13" s="81">
        <v>36719.99</v>
      </c>
      <c r="M13" s="26"/>
    </row>
    <row r="14" spans="1:13" ht="15" thickTop="1" x14ac:dyDescent="0.3">
      <c r="D14" s="80">
        <v>46129</v>
      </c>
      <c r="E14" s="81">
        <v>36702.93</v>
      </c>
      <c r="H14" s="134" t="s">
        <v>504</v>
      </c>
    </row>
    <row r="15" spans="1:13" x14ac:dyDescent="0.3">
      <c r="D15" s="80">
        <v>46128</v>
      </c>
      <c r="E15" s="81">
        <v>36466.620000000003</v>
      </c>
    </row>
    <row r="16" spans="1:13" x14ac:dyDescent="0.3">
      <c r="D16" s="80">
        <v>46127</v>
      </c>
      <c r="E16" s="81">
        <v>36518.69</v>
      </c>
    </row>
    <row r="17" spans="4:5" x14ac:dyDescent="0.3">
      <c r="D17" s="80">
        <v>46125</v>
      </c>
      <c r="E17" s="81">
        <v>35932.959999999999</v>
      </c>
    </row>
    <row r="18" spans="4:5" x14ac:dyDescent="0.3">
      <c r="D18" s="80">
        <v>46122</v>
      </c>
      <c r="E18" s="81">
        <v>36246.400000000001</v>
      </c>
    </row>
    <row r="19" spans="4:5" x14ac:dyDescent="0.3">
      <c r="D19" s="80">
        <v>46121</v>
      </c>
      <c r="E19" s="81">
        <v>35831.22</v>
      </c>
    </row>
    <row r="20" spans="4:5" x14ac:dyDescent="0.3">
      <c r="D20" s="80">
        <v>46120</v>
      </c>
      <c r="E20" s="81">
        <v>36166.14</v>
      </c>
    </row>
    <row r="21" spans="4:5" x14ac:dyDescent="0.3">
      <c r="D21" s="80">
        <v>46119</v>
      </c>
      <c r="E21" s="81">
        <v>34849.410000000003</v>
      </c>
    </row>
    <row r="22" spans="4:5" x14ac:dyDescent="0.3">
      <c r="D22" s="80">
        <v>46118</v>
      </c>
      <c r="E22" s="81">
        <v>34615.19</v>
      </c>
    </row>
    <row r="23" spans="4:5" x14ac:dyDescent="0.3">
      <c r="D23" s="80">
        <v>46114</v>
      </c>
      <c r="E23" s="81">
        <v>34230.629999999997</v>
      </c>
    </row>
    <row r="24" spans="4:5" x14ac:dyDescent="0.3">
      <c r="D24" s="80">
        <v>46113</v>
      </c>
      <c r="E24" s="81">
        <v>34179.9</v>
      </c>
    </row>
    <row r="25" spans="4:5" x14ac:dyDescent="0.3">
      <c r="D25" s="80">
        <v>46111</v>
      </c>
      <c r="E25" s="81">
        <v>33655.43</v>
      </c>
    </row>
    <row r="26" spans="4:5" x14ac:dyDescent="0.3">
      <c r="D26" s="80">
        <v>46108</v>
      </c>
      <c r="E26" s="81">
        <v>34391.129999999997</v>
      </c>
    </row>
    <row r="27" spans="4:5" x14ac:dyDescent="0.3">
      <c r="D27" s="80">
        <v>46106</v>
      </c>
      <c r="E27" s="81">
        <v>35124.870000000003</v>
      </c>
    </row>
    <row r="28" spans="4:5" x14ac:dyDescent="0.3">
      <c r="D28" s="80">
        <v>46105</v>
      </c>
      <c r="E28" s="81">
        <v>34530.99</v>
      </c>
    </row>
    <row r="29" spans="4:5" hidden="1" outlineLevel="1" x14ac:dyDescent="0.3">
      <c r="D29" s="80">
        <v>46104</v>
      </c>
      <c r="E29" s="81">
        <v>33928.589999999997</v>
      </c>
    </row>
    <row r="30" spans="4:5" hidden="1" outlineLevel="1" x14ac:dyDescent="0.3">
      <c r="D30" s="80">
        <v>46101</v>
      </c>
      <c r="E30" s="81">
        <v>34835.629999999997</v>
      </c>
    </row>
    <row r="31" spans="4:5" hidden="1" outlineLevel="1" x14ac:dyDescent="0.3">
      <c r="D31" s="80">
        <v>46100</v>
      </c>
      <c r="E31" s="81">
        <v>34666.28</v>
      </c>
    </row>
    <row r="32" spans="4:5" hidden="1" outlineLevel="1" x14ac:dyDescent="0.3">
      <c r="D32" s="80">
        <v>46099</v>
      </c>
      <c r="E32" s="81">
        <v>35835.24</v>
      </c>
    </row>
    <row r="33" spans="4:5" hidden="1" outlineLevel="1" x14ac:dyDescent="0.3">
      <c r="D33" s="80">
        <v>46098</v>
      </c>
      <c r="E33" s="81">
        <v>35538.92</v>
      </c>
    </row>
    <row r="34" spans="4:5" hidden="1" outlineLevel="1" x14ac:dyDescent="0.3">
      <c r="D34" s="80">
        <v>46097</v>
      </c>
      <c r="E34" s="81">
        <v>35279.17</v>
      </c>
    </row>
    <row r="35" spans="4:5" hidden="1" outlineLevel="1" x14ac:dyDescent="0.3">
      <c r="D35" s="80">
        <v>46094</v>
      </c>
      <c r="E35" s="81">
        <v>34890.78</v>
      </c>
    </row>
    <row r="36" spans="4:5" hidden="1" outlineLevel="1" x14ac:dyDescent="0.3">
      <c r="D36" s="80">
        <v>46093</v>
      </c>
      <c r="E36" s="81">
        <v>35626.269999999997</v>
      </c>
    </row>
    <row r="37" spans="4:5" hidden="1" outlineLevel="1" x14ac:dyDescent="0.3">
      <c r="D37" s="80">
        <v>46092</v>
      </c>
      <c r="E37" s="81">
        <v>35969.449999999997</v>
      </c>
    </row>
    <row r="38" spans="4:5" hidden="1" outlineLevel="1" x14ac:dyDescent="0.3">
      <c r="D38" s="80">
        <v>46091</v>
      </c>
      <c r="E38" s="81">
        <v>36564.400000000001</v>
      </c>
    </row>
    <row r="39" spans="4:5" hidden="1" outlineLevel="1" x14ac:dyDescent="0.3">
      <c r="D39" s="80">
        <v>46090</v>
      </c>
      <c r="E39" s="81">
        <v>36212.400000000001</v>
      </c>
    </row>
    <row r="40" spans="4:5" hidden="1" outlineLevel="1" x14ac:dyDescent="0.3">
      <c r="D40" s="80">
        <v>46087</v>
      </c>
      <c r="E40" s="81">
        <v>36848.97</v>
      </c>
    </row>
    <row r="41" spans="4:5" hidden="1" outlineLevel="1" x14ac:dyDescent="0.3">
      <c r="D41" s="80">
        <v>46086</v>
      </c>
      <c r="E41" s="81">
        <v>37321.660000000003</v>
      </c>
    </row>
    <row r="42" spans="4:5" hidden="1" outlineLevel="1" x14ac:dyDescent="0.3">
      <c r="D42" s="80">
        <v>46085</v>
      </c>
      <c r="E42" s="81">
        <v>36891.56</v>
      </c>
    </row>
    <row r="43" spans="4:5" hidden="1" outlineLevel="1" x14ac:dyDescent="0.3">
      <c r="D43" s="80">
        <v>46083</v>
      </c>
      <c r="E43" s="81">
        <v>37472.06</v>
      </c>
    </row>
    <row r="44" spans="4:5" hidden="1" outlineLevel="1" x14ac:dyDescent="0.3">
      <c r="D44" s="80">
        <v>46080</v>
      </c>
      <c r="E44" s="81">
        <v>37943.67</v>
      </c>
    </row>
    <row r="45" spans="4:5" hidden="1" outlineLevel="1" x14ac:dyDescent="0.3">
      <c r="D45" s="80">
        <v>46079</v>
      </c>
      <c r="E45" s="81">
        <v>38422.720000000001</v>
      </c>
    </row>
    <row r="46" spans="4:5" hidden="1" outlineLevel="1" x14ac:dyDescent="0.3">
      <c r="D46" s="80">
        <v>46078</v>
      </c>
      <c r="E46" s="81">
        <v>38401.58</v>
      </c>
    </row>
    <row r="47" spans="4:5" hidden="1" outlineLevel="1" x14ac:dyDescent="0.3">
      <c r="D47" s="80">
        <v>46077</v>
      </c>
      <c r="E47" s="81">
        <v>38314.370000000003</v>
      </c>
    </row>
    <row r="48" spans="4:5" hidden="1" outlineLevel="1" x14ac:dyDescent="0.3">
      <c r="D48" s="80">
        <v>46076</v>
      </c>
      <c r="E48" s="81">
        <v>38748.94</v>
      </c>
    </row>
    <row r="49" spans="4:5" hidden="1" outlineLevel="1" x14ac:dyDescent="0.3">
      <c r="D49" s="80">
        <v>46073</v>
      </c>
      <c r="E49" s="81">
        <v>38535.31</v>
      </c>
    </row>
    <row r="50" spans="4:5" hidden="1" outlineLevel="1" x14ac:dyDescent="0.3">
      <c r="D50" s="80">
        <v>46072</v>
      </c>
      <c r="E50" s="81">
        <v>38359.129999999997</v>
      </c>
    </row>
    <row r="51" spans="4:5" hidden="1" outlineLevel="1" x14ac:dyDescent="0.3">
      <c r="D51" s="80">
        <v>46071</v>
      </c>
      <c r="E51" s="81">
        <v>38909.22</v>
      </c>
    </row>
    <row r="52" spans="4:5" hidden="1" outlineLevel="1" x14ac:dyDescent="0.3">
      <c r="D52" s="80">
        <v>46070</v>
      </c>
      <c r="E52" s="81">
        <v>38763.5</v>
      </c>
    </row>
    <row r="53" spans="4:5" hidden="1" outlineLevel="1" x14ac:dyDescent="0.3">
      <c r="D53" s="80">
        <v>46069</v>
      </c>
      <c r="E53" s="81">
        <v>38699.22</v>
      </c>
    </row>
    <row r="54" spans="4:5" hidden="1" outlineLevel="1" x14ac:dyDescent="0.3">
      <c r="D54" s="80">
        <v>46066</v>
      </c>
      <c r="E54" s="81">
        <v>38379.949999999997</v>
      </c>
    </row>
    <row r="55" spans="4:5" hidden="1" outlineLevel="1" x14ac:dyDescent="0.3">
      <c r="D55" s="80">
        <v>46065</v>
      </c>
      <c r="E55" s="81">
        <v>38886.410000000003</v>
      </c>
    </row>
    <row r="56" spans="4:5" hidden="1" outlineLevel="1" x14ac:dyDescent="0.3">
      <c r="D56" s="80">
        <v>46064</v>
      </c>
      <c r="E56" s="81">
        <v>39107.4</v>
      </c>
    </row>
    <row r="57" spans="4:5" hidden="1" outlineLevel="1" x14ac:dyDescent="0.3">
      <c r="D57" s="80">
        <v>46063</v>
      </c>
      <c r="E57" s="81">
        <v>39079.22</v>
      </c>
    </row>
    <row r="58" spans="4:5" hidden="1" outlineLevel="1" x14ac:dyDescent="0.3">
      <c r="D58" s="80">
        <v>46062</v>
      </c>
      <c r="E58" s="81">
        <v>38976.99</v>
      </c>
    </row>
    <row r="59" spans="4:5" hidden="1" outlineLevel="1" x14ac:dyDescent="0.3">
      <c r="D59" s="80">
        <v>46059</v>
      </c>
      <c r="E59" s="81">
        <v>38710.58</v>
      </c>
    </row>
    <row r="60" spans="4:5" hidden="1" outlineLevel="1" x14ac:dyDescent="0.3">
      <c r="D60" s="80">
        <v>46058</v>
      </c>
      <c r="E60" s="81">
        <v>38627.94</v>
      </c>
    </row>
    <row r="61" spans="4:5" hidden="1" outlineLevel="1" x14ac:dyDescent="0.3">
      <c r="D61" s="80">
        <v>46057</v>
      </c>
      <c r="E61" s="81">
        <v>38824.69</v>
      </c>
    </row>
    <row r="62" spans="4:5" hidden="1" outlineLevel="1" x14ac:dyDescent="0.3">
      <c r="D62" s="80">
        <v>46056</v>
      </c>
      <c r="E62" s="81">
        <v>38751.71</v>
      </c>
    </row>
    <row r="63" spans="4:5" hidden="1" outlineLevel="1" x14ac:dyDescent="0.3">
      <c r="D63" s="80">
        <v>46055</v>
      </c>
      <c r="E63" s="81">
        <v>37789</v>
      </c>
    </row>
    <row r="64" spans="4:5" hidden="1" outlineLevel="1" x14ac:dyDescent="0.3">
      <c r="D64" s="80">
        <v>46054</v>
      </c>
      <c r="E64" s="81">
        <v>37392.92</v>
      </c>
    </row>
    <row r="65" spans="4:5" hidden="1" outlineLevel="1" x14ac:dyDescent="0.3">
      <c r="D65" s="80">
        <v>46052</v>
      </c>
      <c r="E65" s="81">
        <v>38138.83</v>
      </c>
    </row>
    <row r="66" spans="4:5" hidden="1" outlineLevel="1" x14ac:dyDescent="0.3">
      <c r="D66" s="80">
        <v>46051</v>
      </c>
      <c r="E66" s="81">
        <v>38286.86</v>
      </c>
    </row>
    <row r="67" spans="4:5" hidden="1" outlineLevel="1" x14ac:dyDescent="0.3">
      <c r="D67" s="80">
        <v>46050</v>
      </c>
      <c r="E67" s="81">
        <v>38172.11</v>
      </c>
    </row>
    <row r="68" spans="4:5" hidden="1" outlineLevel="1" x14ac:dyDescent="0.3">
      <c r="D68" s="80">
        <v>46049</v>
      </c>
      <c r="E68" s="81">
        <v>37920.03</v>
      </c>
    </row>
    <row r="69" spans="4:5" hidden="1" outlineLevel="1" x14ac:dyDescent="0.3">
      <c r="D69" s="80">
        <v>46045</v>
      </c>
      <c r="E69" s="81">
        <v>37729.14</v>
      </c>
    </row>
    <row r="70" spans="4:5" hidden="1" outlineLevel="1" x14ac:dyDescent="0.3">
      <c r="D70" s="80">
        <v>46044</v>
      </c>
      <c r="E70" s="81">
        <v>38092.550000000003</v>
      </c>
    </row>
    <row r="71" spans="4:5" hidden="1" outlineLevel="1" x14ac:dyDescent="0.3">
      <c r="D71" s="80">
        <v>46042</v>
      </c>
      <c r="E71" s="81">
        <v>38006.050000000003</v>
      </c>
    </row>
    <row r="72" spans="4:5" hidden="1" outlineLevel="1" x14ac:dyDescent="0.3">
      <c r="D72" s="80">
        <v>46041</v>
      </c>
      <c r="E72" s="81">
        <v>38537.78</v>
      </c>
    </row>
    <row r="73" spans="4:5" hidden="1" outlineLevel="1" x14ac:dyDescent="0.3">
      <c r="D73" s="80">
        <v>46038</v>
      </c>
      <c r="E73" s="81">
        <v>38701.71</v>
      </c>
    </row>
    <row r="74" spans="4:5" hidden="1" outlineLevel="1" x14ac:dyDescent="0.3">
      <c r="D74" s="80">
        <v>46036</v>
      </c>
      <c r="E74" s="81">
        <v>38635.050000000003</v>
      </c>
    </row>
    <row r="75" spans="4:5" hidden="1" outlineLevel="1" x14ac:dyDescent="0.3">
      <c r="D75" s="80">
        <v>46035</v>
      </c>
      <c r="E75" s="81">
        <v>38735.47</v>
      </c>
    </row>
    <row r="76" spans="4:5" hidden="1" outlineLevel="1" x14ac:dyDescent="0.3">
      <c r="D76" s="80">
        <v>46034</v>
      </c>
      <c r="E76" s="81">
        <v>38822.720000000001</v>
      </c>
    </row>
    <row r="77" spans="4:5" hidden="1" outlineLevel="1" x14ac:dyDescent="0.3">
      <c r="D77" s="80">
        <v>46031</v>
      </c>
      <c r="E77" s="81">
        <v>38661.67</v>
      </c>
    </row>
    <row r="78" spans="4:5" hidden="1" outlineLevel="1" x14ac:dyDescent="0.3">
      <c r="D78" s="80">
        <v>46030</v>
      </c>
      <c r="E78" s="81">
        <v>38953.08</v>
      </c>
    </row>
    <row r="79" spans="4:5" hidden="1" outlineLevel="1" x14ac:dyDescent="0.3">
      <c r="D79" s="80">
        <v>46029</v>
      </c>
      <c r="E79" s="81">
        <v>39350.28</v>
      </c>
    </row>
    <row r="80" spans="4:5" hidden="1" outlineLevel="1" x14ac:dyDescent="0.3">
      <c r="D80" s="80">
        <v>46028</v>
      </c>
      <c r="E80" s="81">
        <v>39407.42</v>
      </c>
    </row>
    <row r="81" spans="4:5" hidden="1" outlineLevel="1" x14ac:dyDescent="0.3">
      <c r="D81" s="80">
        <v>46027</v>
      </c>
      <c r="E81" s="81">
        <v>39515.230000000003</v>
      </c>
    </row>
    <row r="82" spans="4:5" hidden="1" outlineLevel="1" x14ac:dyDescent="0.3">
      <c r="D82" s="80">
        <v>46024</v>
      </c>
      <c r="E82" s="81">
        <v>39632.99</v>
      </c>
    </row>
    <row r="83" spans="4:5" hidden="1" outlineLevel="1" x14ac:dyDescent="0.3">
      <c r="D83" s="80">
        <v>46023</v>
      </c>
      <c r="E83" s="81">
        <v>39359.019999999997</v>
      </c>
    </row>
    <row r="84" spans="4:5" hidden="1" outlineLevel="1" x14ac:dyDescent="0.3">
      <c r="D84" s="80">
        <v>46022</v>
      </c>
      <c r="E84" s="81">
        <v>39333.550000000003</v>
      </c>
    </row>
    <row r="85" spans="4:5" hidden="1" outlineLevel="1" x14ac:dyDescent="0.3">
      <c r="D85" s="80">
        <v>46021</v>
      </c>
      <c r="E85" s="81">
        <v>39046.400000000001</v>
      </c>
    </row>
    <row r="86" spans="4:5" hidden="1" outlineLevel="1" x14ac:dyDescent="0.3">
      <c r="D86" s="80">
        <v>46020</v>
      </c>
      <c r="E86" s="81">
        <v>39051.24</v>
      </c>
    </row>
    <row r="87" spans="4:5" hidden="1" outlineLevel="1" x14ac:dyDescent="0.3">
      <c r="D87" s="80">
        <v>46017</v>
      </c>
      <c r="E87" s="81">
        <v>39202.11</v>
      </c>
    </row>
    <row r="88" spans="4:5" hidden="1" outlineLevel="1" x14ac:dyDescent="0.3">
      <c r="D88" s="80">
        <v>46015</v>
      </c>
      <c r="E88" s="81">
        <v>39352.35</v>
      </c>
    </row>
    <row r="89" spans="4:5" hidden="1" outlineLevel="1" x14ac:dyDescent="0.3">
      <c r="D89" s="80">
        <v>46014</v>
      </c>
      <c r="E89" s="81">
        <v>39405.1</v>
      </c>
    </row>
    <row r="90" spans="4:5" hidden="1" outlineLevel="1" x14ac:dyDescent="0.3">
      <c r="D90" s="80">
        <v>46013</v>
      </c>
      <c r="E90" s="81">
        <v>39397.94</v>
      </c>
    </row>
    <row r="91" spans="4:5" hidden="1" outlineLevel="1" x14ac:dyDescent="0.3">
      <c r="D91" s="80">
        <v>46010</v>
      </c>
      <c r="E91" s="81">
        <v>39087.879999999997</v>
      </c>
    </row>
    <row r="92" spans="4:5" hidden="1" outlineLevel="1" x14ac:dyDescent="0.3">
      <c r="D92" s="80">
        <v>46009</v>
      </c>
      <c r="E92" s="81">
        <v>38860.78</v>
      </c>
    </row>
    <row r="93" spans="4:5" hidden="1" outlineLevel="1" x14ac:dyDescent="0.3">
      <c r="D93" s="80">
        <v>46008</v>
      </c>
      <c r="E93" s="81">
        <v>38865.29</v>
      </c>
    </row>
    <row r="94" spans="4:5" hidden="1" outlineLevel="1" x14ac:dyDescent="0.3">
      <c r="D94" s="80">
        <v>46007</v>
      </c>
      <c r="E94" s="81">
        <v>38927.870000000003</v>
      </c>
    </row>
    <row r="95" spans="4:5" hidden="1" outlineLevel="1" x14ac:dyDescent="0.3">
      <c r="D95" s="80">
        <v>46006</v>
      </c>
      <c r="E95" s="81">
        <v>39179.54</v>
      </c>
    </row>
    <row r="96" spans="4:5" hidden="1" outlineLevel="1" x14ac:dyDescent="0.3">
      <c r="D96" s="80">
        <v>46003</v>
      </c>
      <c r="E96" s="81">
        <v>39209.120000000003</v>
      </c>
    </row>
    <row r="97" spans="4:5" hidden="1" outlineLevel="1" x14ac:dyDescent="0.3">
      <c r="D97" s="80">
        <v>46002</v>
      </c>
      <c r="E97" s="81">
        <v>38985.75</v>
      </c>
    </row>
    <row r="98" spans="4:5" hidden="1" outlineLevel="1" x14ac:dyDescent="0.3">
      <c r="D98" s="80">
        <v>46001</v>
      </c>
      <c r="E98" s="81">
        <v>38774.129999999997</v>
      </c>
    </row>
    <row r="99" spans="4:5" hidden="1" outlineLevel="1" x14ac:dyDescent="0.3">
      <c r="D99" s="80">
        <v>46000</v>
      </c>
      <c r="E99" s="81">
        <v>38897.019999999997</v>
      </c>
    </row>
    <row r="100" spans="4:5" hidden="1" outlineLevel="1" x14ac:dyDescent="0.3">
      <c r="D100" s="80">
        <v>45999</v>
      </c>
      <c r="E100" s="81">
        <v>39079.019999999997</v>
      </c>
    </row>
    <row r="101" spans="4:5" hidden="1" outlineLevel="1" x14ac:dyDescent="0.3">
      <c r="D101" s="80">
        <v>45996</v>
      </c>
      <c r="E101" s="81">
        <v>39419.07</v>
      </c>
    </row>
    <row r="102" spans="4:5" hidden="1" outlineLevel="1" x14ac:dyDescent="0.3">
      <c r="D102" s="80">
        <v>45995</v>
      </c>
      <c r="E102" s="81">
        <v>39189.269999999997</v>
      </c>
    </row>
    <row r="103" spans="4:5" hidden="1" outlineLevel="1" x14ac:dyDescent="0.3">
      <c r="D103" s="80">
        <v>45994</v>
      </c>
      <c r="E103" s="81">
        <v>39117.33</v>
      </c>
    </row>
    <row r="104" spans="4:5" hidden="1" outlineLevel="1" x14ac:dyDescent="0.3">
      <c r="D104" s="80">
        <v>45993</v>
      </c>
      <c r="E104" s="81">
        <v>39186.92</v>
      </c>
    </row>
    <row r="105" spans="4:5" hidden="1" outlineLevel="1" x14ac:dyDescent="0.3">
      <c r="D105" s="80">
        <v>45992</v>
      </c>
      <c r="E105" s="81">
        <v>39403.019999999997</v>
      </c>
    </row>
    <row r="106" spans="4:5" hidden="1" outlineLevel="1" x14ac:dyDescent="0.3">
      <c r="D106" s="80">
        <v>45989</v>
      </c>
      <c r="E106" s="81">
        <v>39443.910000000003</v>
      </c>
    </row>
    <row r="107" spans="4:5" hidden="1" outlineLevel="1" x14ac:dyDescent="0.3">
      <c r="D107" s="80">
        <v>45988</v>
      </c>
      <c r="E107" s="81">
        <v>39462.93</v>
      </c>
    </row>
    <row r="108" spans="4:5" hidden="1" outlineLevel="1" x14ac:dyDescent="0.3">
      <c r="D108" s="80">
        <v>45987</v>
      </c>
      <c r="E108" s="81">
        <v>39447.49</v>
      </c>
    </row>
    <row r="109" spans="4:5" hidden="1" outlineLevel="1" x14ac:dyDescent="0.3">
      <c r="D109" s="80">
        <v>45986</v>
      </c>
      <c r="E109" s="81">
        <v>38965</v>
      </c>
    </row>
    <row r="110" spans="4:5" hidden="1" outlineLevel="1" x14ac:dyDescent="0.3">
      <c r="D110" s="80">
        <v>45985</v>
      </c>
      <c r="E110" s="81">
        <v>39077.5</v>
      </c>
    </row>
    <row r="111" spans="4:5" hidden="1" outlineLevel="1" x14ac:dyDescent="0.3">
      <c r="D111" s="80">
        <v>45982</v>
      </c>
      <c r="E111" s="81">
        <v>39241</v>
      </c>
    </row>
    <row r="112" spans="4:5" hidden="1" outlineLevel="1" x14ac:dyDescent="0.3">
      <c r="D112" s="80">
        <v>45981</v>
      </c>
      <c r="E112" s="81">
        <v>39427.65</v>
      </c>
    </row>
    <row r="113" spans="4:5" hidden="1" outlineLevel="1" x14ac:dyDescent="0.3">
      <c r="D113" s="80">
        <v>45980</v>
      </c>
      <c r="E113" s="81">
        <v>39217.69</v>
      </c>
    </row>
    <row r="114" spans="4:5" hidden="1" outlineLevel="1" x14ac:dyDescent="0.3">
      <c r="D114" s="80">
        <v>45979</v>
      </c>
      <c r="E114" s="81">
        <v>39003.01</v>
      </c>
    </row>
    <row r="115" spans="4:5" hidden="1" outlineLevel="1" x14ac:dyDescent="0.3">
      <c r="D115" s="80">
        <v>45978</v>
      </c>
      <c r="E115" s="81">
        <v>39157.99</v>
      </c>
    </row>
    <row r="116" spans="4:5" hidden="1" outlineLevel="1" x14ac:dyDescent="0.3">
      <c r="D116" s="80">
        <v>45975</v>
      </c>
      <c r="E116" s="81">
        <v>39002.370000000003</v>
      </c>
    </row>
    <row r="117" spans="4:5" hidden="1" outlineLevel="1" x14ac:dyDescent="0.3">
      <c r="D117" s="80">
        <v>45974</v>
      </c>
      <c r="E117" s="81">
        <v>38955.83</v>
      </c>
    </row>
    <row r="118" spans="4:5" hidden="1" outlineLevel="1" x14ac:dyDescent="0.3">
      <c r="D118" s="80">
        <v>45973</v>
      </c>
      <c r="E118" s="81">
        <v>38950.78</v>
      </c>
    </row>
    <row r="119" spans="4:5" hidden="1" outlineLevel="1" x14ac:dyDescent="0.3">
      <c r="D119" s="80">
        <v>45972</v>
      </c>
      <c r="E119" s="81">
        <v>38678.54</v>
      </c>
    </row>
    <row r="120" spans="4:5" hidden="1" outlineLevel="1" x14ac:dyDescent="0.3">
      <c r="D120" s="80">
        <v>45971</v>
      </c>
      <c r="E120" s="81">
        <v>38497.01</v>
      </c>
    </row>
    <row r="121" spans="4:5" hidden="1" outlineLevel="1" x14ac:dyDescent="0.3">
      <c r="D121" s="80">
        <v>45968</v>
      </c>
      <c r="E121" s="81">
        <v>38366.879999999997</v>
      </c>
    </row>
    <row r="122" spans="4:5" hidden="1" outlineLevel="1" x14ac:dyDescent="0.3">
      <c r="D122" s="80">
        <v>45967</v>
      </c>
      <c r="E122" s="81">
        <v>38381.019999999997</v>
      </c>
    </row>
    <row r="123" spans="4:5" hidden="1" outlineLevel="1" x14ac:dyDescent="0.3">
      <c r="D123" s="80">
        <v>45965</v>
      </c>
      <c r="E123" s="81">
        <v>38513.370000000003</v>
      </c>
    </row>
    <row r="124" spans="4:5" hidden="1" outlineLevel="1" x14ac:dyDescent="0.3">
      <c r="D124" s="80">
        <v>45964</v>
      </c>
      <c r="E124" s="81">
        <v>38762.65</v>
      </c>
    </row>
    <row r="125" spans="4:5" hidden="1" outlineLevel="1" x14ac:dyDescent="0.3">
      <c r="D125" s="80">
        <v>45961</v>
      </c>
      <c r="E125" s="81">
        <v>38700.6</v>
      </c>
    </row>
    <row r="126" spans="4:5" hidden="1" outlineLevel="1" x14ac:dyDescent="0.3">
      <c r="D126" s="80">
        <v>45960</v>
      </c>
      <c r="E126" s="81">
        <v>38934.92</v>
      </c>
    </row>
    <row r="127" spans="4:5" hidden="1" outlineLevel="1" x14ac:dyDescent="0.3">
      <c r="D127" s="80">
        <v>45959</v>
      </c>
      <c r="E127" s="81">
        <v>39199.800000000003</v>
      </c>
    </row>
    <row r="128" spans="4:5" hidden="1" outlineLevel="1" x14ac:dyDescent="0.3">
      <c r="D128" s="80">
        <v>45958</v>
      </c>
      <c r="E128" s="81">
        <v>39022.730000000003</v>
      </c>
    </row>
    <row r="129" spans="4:5" hidden="1" outlineLevel="1" x14ac:dyDescent="0.3">
      <c r="D129" s="80">
        <v>45957</v>
      </c>
      <c r="E129" s="81">
        <v>39067.589999999997</v>
      </c>
    </row>
    <row r="130" spans="4:5" hidden="1" outlineLevel="1" x14ac:dyDescent="0.3">
      <c r="D130" s="80">
        <v>45954</v>
      </c>
      <c r="E130" s="81">
        <v>38783.54</v>
      </c>
    </row>
    <row r="131" spans="4:5" hidden="1" outlineLevel="1" x14ac:dyDescent="0.3">
      <c r="D131" s="80">
        <v>45953</v>
      </c>
      <c r="E131" s="81">
        <v>38928.230000000003</v>
      </c>
    </row>
    <row r="132" spans="4:5" hidden="1" outlineLevel="1" x14ac:dyDescent="0.3">
      <c r="D132" s="80">
        <v>45951</v>
      </c>
      <c r="E132" s="81">
        <v>38893.949999999997</v>
      </c>
    </row>
    <row r="133" spans="4:5" hidden="1" outlineLevel="1" x14ac:dyDescent="0.3">
      <c r="D133" s="80">
        <v>45950</v>
      </c>
      <c r="E133" s="81">
        <v>38855.68</v>
      </c>
    </row>
    <row r="134" spans="4:5" hidden="1" outlineLevel="1" x14ac:dyDescent="0.3">
      <c r="D134" s="80">
        <v>45947</v>
      </c>
      <c r="E134" s="81">
        <v>38652.19</v>
      </c>
    </row>
    <row r="135" spans="4:5" hidden="1" outlineLevel="1" x14ac:dyDescent="0.3">
      <c r="D135" s="80">
        <v>45946</v>
      </c>
      <c r="E135" s="81">
        <v>38460.730000000003</v>
      </c>
    </row>
    <row r="136" spans="4:5" hidden="1" outlineLevel="1" x14ac:dyDescent="0.3">
      <c r="D136" s="80">
        <v>45945</v>
      </c>
      <c r="E136" s="81">
        <v>38067.31</v>
      </c>
    </row>
    <row r="137" spans="4:5" hidden="1" outlineLevel="1" x14ac:dyDescent="0.3">
      <c r="D137" s="80">
        <v>45944</v>
      </c>
      <c r="E137" s="81">
        <v>37795.97</v>
      </c>
    </row>
    <row r="138" spans="4:5" hidden="1" outlineLevel="1" x14ac:dyDescent="0.3">
      <c r="D138" s="80">
        <v>45940</v>
      </c>
      <c r="E138" s="81">
        <v>38006.18</v>
      </c>
    </row>
    <row r="139" spans="4:5" hidden="1" outlineLevel="1" x14ac:dyDescent="0.3">
      <c r="D139" s="80">
        <v>45939</v>
      </c>
      <c r="E139" s="81">
        <v>37850.519999999997</v>
      </c>
    </row>
    <row r="140" spans="4:5" hidden="1" outlineLevel="1" x14ac:dyDescent="0.3">
      <c r="D140" s="80">
        <v>45938</v>
      </c>
      <c r="E140" s="81">
        <v>37646.65</v>
      </c>
    </row>
    <row r="141" spans="4:5" hidden="1" outlineLevel="1" x14ac:dyDescent="0.3">
      <c r="D141" s="80">
        <v>45937</v>
      </c>
      <c r="E141" s="81">
        <v>37740.1</v>
      </c>
    </row>
    <row r="142" spans="4:5" hidden="1" outlineLevel="1" x14ac:dyDescent="0.3">
      <c r="D142" s="80">
        <v>45936</v>
      </c>
      <c r="E142" s="81">
        <v>37694.019999999997</v>
      </c>
    </row>
    <row r="143" spans="4:5" hidden="1" outlineLevel="1" x14ac:dyDescent="0.3">
      <c r="D143" s="80">
        <v>45933</v>
      </c>
      <c r="E143" s="81">
        <v>37418.300000000003</v>
      </c>
    </row>
    <row r="144" spans="4:5" hidden="1" outlineLevel="1" x14ac:dyDescent="0.3">
      <c r="D144" s="80">
        <v>45931</v>
      </c>
      <c r="E144" s="81">
        <v>37331.199999999997</v>
      </c>
    </row>
    <row r="145" spans="4:5" hidden="1" outlineLevel="1" x14ac:dyDescent="0.3">
      <c r="D145" s="80">
        <v>45930</v>
      </c>
      <c r="E145" s="81">
        <v>36992.699999999997</v>
      </c>
    </row>
    <row r="146" spans="4:5" hidden="1" outlineLevel="1" x14ac:dyDescent="0.3">
      <c r="D146" s="80">
        <v>45929</v>
      </c>
      <c r="E146" s="81">
        <v>37028.480000000003</v>
      </c>
    </row>
    <row r="147" spans="4:5" hidden="1" outlineLevel="1" x14ac:dyDescent="0.3">
      <c r="D147" s="80">
        <v>45926</v>
      </c>
      <c r="E147" s="81">
        <v>37058.300000000003</v>
      </c>
    </row>
    <row r="148" spans="4:5" hidden="1" outlineLevel="1" x14ac:dyDescent="0.3">
      <c r="D148" s="80">
        <v>45925</v>
      </c>
      <c r="E148" s="81">
        <v>37413.25</v>
      </c>
    </row>
    <row r="149" spans="4:5" hidden="1" outlineLevel="1" x14ac:dyDescent="0.3">
      <c r="D149" s="80">
        <v>45924</v>
      </c>
      <c r="E149" s="81">
        <v>37662.839999999997</v>
      </c>
    </row>
    <row r="150" spans="4:5" hidden="1" outlineLevel="1" x14ac:dyDescent="0.3">
      <c r="D150" s="80">
        <v>45923</v>
      </c>
      <c r="E150" s="81">
        <v>37832.089999999997</v>
      </c>
    </row>
    <row r="151" spans="4:5" hidden="1" outlineLevel="1" x14ac:dyDescent="0.3">
      <c r="D151" s="80">
        <v>45922</v>
      </c>
      <c r="E151" s="81">
        <v>37881.410000000003</v>
      </c>
    </row>
    <row r="152" spans="4:5" hidden="1" outlineLevel="1" x14ac:dyDescent="0.3">
      <c r="D152" s="80">
        <v>45919</v>
      </c>
      <c r="E152" s="81">
        <v>38068.839999999997</v>
      </c>
    </row>
    <row r="153" spans="4:5" hidden="1" outlineLevel="1" x14ac:dyDescent="0.3">
      <c r="D153" s="80">
        <v>45918</v>
      </c>
      <c r="E153" s="81">
        <v>38213.97</v>
      </c>
    </row>
    <row r="154" spans="4:5" hidden="1" outlineLevel="1" x14ac:dyDescent="0.3">
      <c r="D154" s="80">
        <v>45917</v>
      </c>
      <c r="E154" s="81">
        <v>38073.65</v>
      </c>
    </row>
    <row r="155" spans="4:5" hidden="1" outlineLevel="1" x14ac:dyDescent="0.3">
      <c r="D155" s="80">
        <v>45916</v>
      </c>
      <c r="E155" s="81">
        <v>37936.660000000003</v>
      </c>
    </row>
    <row r="156" spans="4:5" hidden="1" outlineLevel="1" x14ac:dyDescent="0.3">
      <c r="D156" s="80">
        <v>45915</v>
      </c>
      <c r="E156" s="81">
        <v>37681.33</v>
      </c>
    </row>
    <row r="157" spans="4:5" hidden="1" outlineLevel="1" x14ac:dyDescent="0.3">
      <c r="D157" s="80">
        <v>45912</v>
      </c>
      <c r="E157" s="81">
        <v>37748.61</v>
      </c>
    </row>
    <row r="158" spans="4:5" hidden="1" outlineLevel="1" x14ac:dyDescent="0.3">
      <c r="D158" s="80">
        <v>45911</v>
      </c>
      <c r="E158" s="81">
        <v>37585.519999999997</v>
      </c>
    </row>
    <row r="159" spans="4:5" hidden="1" outlineLevel="1" x14ac:dyDescent="0.3">
      <c r="D159" s="80">
        <v>45910</v>
      </c>
      <c r="E159" s="81">
        <v>37536.879999999997</v>
      </c>
    </row>
    <row r="160" spans="4:5" hidden="1" outlineLevel="1" x14ac:dyDescent="0.3">
      <c r="D160" s="80">
        <v>45909</v>
      </c>
      <c r="E160" s="81">
        <v>37379.78</v>
      </c>
    </row>
    <row r="161" spans="4:5" hidden="1" outlineLevel="1" x14ac:dyDescent="0.3">
      <c r="D161" s="80">
        <v>45908</v>
      </c>
      <c r="E161" s="81">
        <v>37236.28</v>
      </c>
    </row>
    <row r="162" spans="4:5" hidden="1" outlineLevel="1" x14ac:dyDescent="0.3">
      <c r="D162" s="80">
        <v>45905</v>
      </c>
      <c r="E162" s="81">
        <v>37188.019999999997</v>
      </c>
    </row>
    <row r="163" spans="4:5" hidden="1" outlineLevel="1" x14ac:dyDescent="0.3">
      <c r="D163" s="80">
        <v>45904</v>
      </c>
      <c r="E163" s="81">
        <v>37177.94</v>
      </c>
    </row>
    <row r="164" spans="4:5" hidden="1" outlineLevel="1" x14ac:dyDescent="0.3">
      <c r="D164" s="80">
        <v>45903</v>
      </c>
      <c r="E164" s="81">
        <v>37142.11</v>
      </c>
    </row>
    <row r="165" spans="4:5" hidden="1" outlineLevel="1" x14ac:dyDescent="0.3">
      <c r="D165" s="80">
        <v>45902</v>
      </c>
      <c r="E165" s="81">
        <v>36938.57</v>
      </c>
    </row>
    <row r="166" spans="4:5" hidden="1" outlineLevel="1" x14ac:dyDescent="0.3">
      <c r="D166" s="80">
        <v>45901</v>
      </c>
      <c r="E166" s="81">
        <v>37006.870000000003</v>
      </c>
    </row>
    <row r="167" spans="4:5" hidden="1" outlineLevel="1" x14ac:dyDescent="0.3">
      <c r="D167" s="80">
        <v>45898</v>
      </c>
      <c r="E167" s="81">
        <v>36709</v>
      </c>
    </row>
    <row r="168" spans="4:5" hidden="1" outlineLevel="1" x14ac:dyDescent="0.3">
      <c r="D168" s="80">
        <v>45897</v>
      </c>
      <c r="E168" s="81">
        <v>36820.25</v>
      </c>
    </row>
    <row r="169" spans="4:5" hidden="1" outlineLevel="1" x14ac:dyDescent="0.3">
      <c r="D169" s="80">
        <v>45895</v>
      </c>
      <c r="E169" s="81">
        <v>37137.57</v>
      </c>
    </row>
    <row r="170" spans="4:5" hidden="1" outlineLevel="1" x14ac:dyDescent="0.3">
      <c r="D170" s="80">
        <v>45894</v>
      </c>
      <c r="E170" s="81">
        <v>37521.9</v>
      </c>
    </row>
    <row r="171" spans="4:5" hidden="1" outlineLevel="1" x14ac:dyDescent="0.3">
      <c r="D171" s="80">
        <v>45891</v>
      </c>
      <c r="E171" s="81">
        <v>37375.089999999997</v>
      </c>
    </row>
    <row r="172" spans="4:5" hidden="1" outlineLevel="1" x14ac:dyDescent="0.3">
      <c r="D172" s="80">
        <v>45890</v>
      </c>
      <c r="E172" s="81">
        <v>37696.230000000003</v>
      </c>
    </row>
    <row r="173" spans="4:5" hidden="1" outlineLevel="1" x14ac:dyDescent="0.3">
      <c r="D173" s="80">
        <v>45889</v>
      </c>
      <c r="E173" s="81">
        <v>37642.410000000003</v>
      </c>
    </row>
    <row r="174" spans="4:5" hidden="1" outlineLevel="1" x14ac:dyDescent="0.3">
      <c r="D174" s="80">
        <v>45888</v>
      </c>
      <c r="E174" s="81">
        <v>37537.42</v>
      </c>
    </row>
    <row r="175" spans="4:5" hidden="1" outlineLevel="1" x14ac:dyDescent="0.3">
      <c r="D175" s="80">
        <v>45887</v>
      </c>
      <c r="E175" s="81">
        <v>37379.379999999997</v>
      </c>
    </row>
    <row r="176" spans="4:5" hidden="1" outlineLevel="1" x14ac:dyDescent="0.3">
      <c r="D176" s="80">
        <v>45883</v>
      </c>
      <c r="E176" s="81">
        <v>37010.269999999997</v>
      </c>
    </row>
    <row r="177" spans="4:5" hidden="1" outlineLevel="1" x14ac:dyDescent="0.3">
      <c r="D177" s="80">
        <v>45882</v>
      </c>
      <c r="E177" s="81">
        <v>36978.89</v>
      </c>
    </row>
    <row r="178" spans="4:5" hidden="1" outlineLevel="1" x14ac:dyDescent="0.3">
      <c r="D178" s="80">
        <v>45881</v>
      </c>
      <c r="E178" s="81">
        <v>36780.730000000003</v>
      </c>
    </row>
    <row r="179" spans="4:5" hidden="1" outlineLevel="1" x14ac:dyDescent="0.3">
      <c r="D179" s="80">
        <v>45880</v>
      </c>
      <c r="E179" s="81">
        <v>36900.03</v>
      </c>
    </row>
    <row r="180" spans="4:5" hidden="1" outlineLevel="1" x14ac:dyDescent="0.3">
      <c r="D180" s="80">
        <v>45877</v>
      </c>
      <c r="E180" s="81">
        <v>36566.629999999997</v>
      </c>
    </row>
    <row r="181" spans="4:5" hidden="1" outlineLevel="1" x14ac:dyDescent="0.3">
      <c r="D181" s="80">
        <v>45876</v>
      </c>
      <c r="E181" s="81">
        <v>36913.760000000002</v>
      </c>
    </row>
    <row r="182" spans="4:5" hidden="1" outlineLevel="1" x14ac:dyDescent="0.3">
      <c r="D182" s="80">
        <v>45875</v>
      </c>
      <c r="E182" s="81">
        <v>36880.81</v>
      </c>
    </row>
    <row r="183" spans="4:5" hidden="1" outlineLevel="1" x14ac:dyDescent="0.3">
      <c r="D183" s="80">
        <v>45874</v>
      </c>
      <c r="E183" s="81">
        <v>36989.75</v>
      </c>
    </row>
    <row r="184" spans="4:5" hidden="1" outlineLevel="1" x14ac:dyDescent="0.3">
      <c r="D184" s="80">
        <v>45873</v>
      </c>
      <c r="E184" s="81">
        <v>37099.550000000003</v>
      </c>
    </row>
    <row r="185" spans="4:5" hidden="1" outlineLevel="1" x14ac:dyDescent="0.3">
      <c r="D185" s="80">
        <v>45870</v>
      </c>
      <c r="E185" s="81">
        <v>36863.4</v>
      </c>
    </row>
    <row r="186" spans="4:5" hidden="1" outlineLevel="1" x14ac:dyDescent="0.3">
      <c r="D186" s="80">
        <v>45869</v>
      </c>
      <c r="E186" s="81">
        <v>37158.879999999997</v>
      </c>
    </row>
    <row r="187" spans="4:5" hidden="1" outlineLevel="1" x14ac:dyDescent="0.3">
      <c r="D187" s="80">
        <v>45868</v>
      </c>
      <c r="E187" s="81">
        <v>37288.94</v>
      </c>
    </row>
    <row r="188" spans="4:5" hidden="1" outlineLevel="1" x14ac:dyDescent="0.3">
      <c r="D188" s="80">
        <v>45867</v>
      </c>
      <c r="E188" s="81">
        <v>37238.03</v>
      </c>
    </row>
    <row r="189" spans="4:5" hidden="1" outlineLevel="1" x14ac:dyDescent="0.3">
      <c r="D189" s="80">
        <v>45866</v>
      </c>
      <c r="E189" s="81">
        <v>37027.65</v>
      </c>
    </row>
    <row r="190" spans="4:5" hidden="1" outlineLevel="1" x14ac:dyDescent="0.3">
      <c r="D190" s="80">
        <v>45863</v>
      </c>
      <c r="E190" s="81">
        <v>37257.14</v>
      </c>
    </row>
    <row r="191" spans="4:5" hidden="1" outlineLevel="1" x14ac:dyDescent="0.3">
      <c r="D191" s="80">
        <v>45862</v>
      </c>
      <c r="E191" s="81">
        <v>37578.97</v>
      </c>
    </row>
    <row r="192" spans="4:5" hidden="1" outlineLevel="1" x14ac:dyDescent="0.3">
      <c r="D192" s="80">
        <v>45861</v>
      </c>
      <c r="E192" s="81">
        <v>37812.76</v>
      </c>
    </row>
    <row r="193" spans="4:5" hidden="1" outlineLevel="1" x14ac:dyDescent="0.3">
      <c r="D193" s="80">
        <v>45860</v>
      </c>
      <c r="E193" s="81">
        <v>37574.379999999997</v>
      </c>
    </row>
    <row r="194" spans="4:5" hidden="1" outlineLevel="1" x14ac:dyDescent="0.3">
      <c r="D194" s="80">
        <v>45859</v>
      </c>
      <c r="E194" s="81">
        <v>37619.089999999997</v>
      </c>
    </row>
    <row r="195" spans="4:5" hidden="1" outlineLevel="1" x14ac:dyDescent="0.3">
      <c r="D195" s="80">
        <v>45856</v>
      </c>
      <c r="E195" s="81">
        <v>37435.72</v>
      </c>
    </row>
    <row r="196" spans="4:5" hidden="1" outlineLevel="1" x14ac:dyDescent="0.3">
      <c r="D196" s="80">
        <v>45855</v>
      </c>
      <c r="E196" s="81">
        <v>37630.21</v>
      </c>
    </row>
    <row r="197" spans="4:5" hidden="1" outlineLevel="1" x14ac:dyDescent="0.3">
      <c r="D197" s="80">
        <v>45854</v>
      </c>
      <c r="E197" s="81">
        <v>37780.94</v>
      </c>
    </row>
    <row r="198" spans="4:5" hidden="1" outlineLevel="1" x14ac:dyDescent="0.3">
      <c r="D198" s="80">
        <v>45853</v>
      </c>
      <c r="E198" s="81">
        <v>37752.92</v>
      </c>
    </row>
    <row r="199" spans="4:5" hidden="1" outlineLevel="1" x14ac:dyDescent="0.3">
      <c r="D199" s="80">
        <v>45852</v>
      </c>
      <c r="E199" s="81">
        <v>37582.839999999997</v>
      </c>
    </row>
    <row r="200" spans="4:5" hidden="1" outlineLevel="1" x14ac:dyDescent="0.3">
      <c r="D200" s="80">
        <v>45849</v>
      </c>
      <c r="E200" s="81">
        <v>37684.07</v>
      </c>
    </row>
    <row r="201" spans="4:5" hidden="1" outlineLevel="1" x14ac:dyDescent="0.3">
      <c r="D201" s="80">
        <v>45848</v>
      </c>
      <c r="E201" s="81">
        <v>37990.410000000003</v>
      </c>
    </row>
    <row r="202" spans="4:5" hidden="1" outlineLevel="1" x14ac:dyDescent="0.3">
      <c r="D202" s="80">
        <v>45847</v>
      </c>
      <c r="E202" s="81">
        <v>38169.85</v>
      </c>
    </row>
    <row r="203" spans="4:5" hidden="1" outlineLevel="1" x14ac:dyDescent="0.3">
      <c r="D203" s="80">
        <v>45846</v>
      </c>
      <c r="E203" s="81">
        <v>38239.39</v>
      </c>
    </row>
    <row r="204" spans="4:5" hidden="1" outlineLevel="1" x14ac:dyDescent="0.3">
      <c r="D204" s="80">
        <v>45845</v>
      </c>
      <c r="E204" s="81">
        <v>38145.33</v>
      </c>
    </row>
    <row r="205" spans="4:5" hidden="1" outlineLevel="1" x14ac:dyDescent="0.3">
      <c r="D205" s="80">
        <v>45842</v>
      </c>
      <c r="E205" s="81">
        <v>38142.94</v>
      </c>
    </row>
    <row r="206" spans="4:5" hidden="1" outlineLevel="1" x14ac:dyDescent="0.3">
      <c r="D206" s="80">
        <v>45841</v>
      </c>
      <c r="E206" s="81">
        <v>38049.97</v>
      </c>
    </row>
    <row r="207" spans="4:5" hidden="1" outlineLevel="1" x14ac:dyDescent="0.3">
      <c r="D207" s="80">
        <v>45840</v>
      </c>
      <c r="E207" s="81">
        <v>38121.99</v>
      </c>
    </row>
    <row r="208" spans="4:5" hidden="1" outlineLevel="1" x14ac:dyDescent="0.3">
      <c r="D208" s="80">
        <v>45839</v>
      </c>
      <c r="E208" s="81">
        <v>38254.39</v>
      </c>
    </row>
    <row r="209" spans="4:5" hidden="1" outlineLevel="1" x14ac:dyDescent="0.3">
      <c r="D209" s="80">
        <v>45838</v>
      </c>
      <c r="E209" s="81">
        <v>38217.32</v>
      </c>
    </row>
    <row r="210" spans="4:5" hidden="1" outlineLevel="1" x14ac:dyDescent="0.3">
      <c r="D210" s="80">
        <v>45835</v>
      </c>
      <c r="E210" s="81">
        <v>38398.230000000003</v>
      </c>
    </row>
    <row r="211" spans="4:5" hidden="1" outlineLevel="1" x14ac:dyDescent="0.3">
      <c r="D211" s="80">
        <v>45834</v>
      </c>
      <c r="E211" s="81">
        <v>38206.879999999997</v>
      </c>
    </row>
    <row r="212" spans="4:5" hidden="1" outlineLevel="1" x14ac:dyDescent="0.3">
      <c r="D212" s="80">
        <v>45833</v>
      </c>
      <c r="E212" s="81">
        <v>37751.94</v>
      </c>
    </row>
    <row r="213" spans="4:5" hidden="1" outlineLevel="1" x14ac:dyDescent="0.3">
      <c r="D213" s="80">
        <v>45832</v>
      </c>
      <c r="E213" s="81">
        <v>37452.239999999998</v>
      </c>
    </row>
    <row r="214" spans="4:5" hidden="1" outlineLevel="1" x14ac:dyDescent="0.3">
      <c r="D214" s="80">
        <v>45831</v>
      </c>
      <c r="E214" s="81">
        <v>37343.910000000003</v>
      </c>
    </row>
    <row r="215" spans="4:5" hidden="1" outlineLevel="1" x14ac:dyDescent="0.3">
      <c r="D215" s="80">
        <v>45828</v>
      </c>
      <c r="E215" s="81">
        <v>37546.89</v>
      </c>
    </row>
    <row r="216" spans="4:5" hidden="1" outlineLevel="1" x14ac:dyDescent="0.3">
      <c r="D216" s="80">
        <v>45827</v>
      </c>
      <c r="E216" s="81">
        <v>37069.019999999997</v>
      </c>
    </row>
    <row r="217" spans="4:5" hidden="1" outlineLevel="1" x14ac:dyDescent="0.3">
      <c r="D217" s="80">
        <v>45826</v>
      </c>
      <c r="E217" s="81">
        <v>37097.129999999997</v>
      </c>
    </row>
    <row r="218" spans="4:5" hidden="1" outlineLevel="1" x14ac:dyDescent="0.3">
      <c r="D218" s="80">
        <v>45825</v>
      </c>
      <c r="E218" s="81">
        <v>37158.949999999997</v>
      </c>
    </row>
    <row r="219" spans="4:5" hidden="1" outlineLevel="1" x14ac:dyDescent="0.3">
      <c r="D219" s="80">
        <v>45824</v>
      </c>
      <c r="E219" s="81">
        <v>37298.120000000003</v>
      </c>
    </row>
    <row r="220" spans="4:5" hidden="1" outlineLevel="1" x14ac:dyDescent="0.3">
      <c r="D220" s="80">
        <v>45821</v>
      </c>
      <c r="E220" s="81">
        <v>36957.379999999997</v>
      </c>
    </row>
    <row r="221" spans="4:5" hidden="1" outlineLevel="1" x14ac:dyDescent="0.3">
      <c r="D221" s="80">
        <v>45820</v>
      </c>
      <c r="E221" s="81">
        <v>37209.11</v>
      </c>
    </row>
    <row r="222" spans="4:5" hidden="1" outlineLevel="1" x14ac:dyDescent="0.3">
      <c r="D222" s="80">
        <v>45819</v>
      </c>
      <c r="E222" s="81">
        <v>37587.31</v>
      </c>
    </row>
    <row r="223" spans="4:5" hidden="1" outlineLevel="1" x14ac:dyDescent="0.3">
      <c r="D223" s="80">
        <v>45818</v>
      </c>
      <c r="E223" s="81">
        <v>37531.760000000002</v>
      </c>
    </row>
    <row r="224" spans="4:5" hidden="1" outlineLevel="1" x14ac:dyDescent="0.3">
      <c r="D224" s="80">
        <v>45817</v>
      </c>
      <c r="E224" s="81">
        <v>37527.120000000003</v>
      </c>
    </row>
    <row r="225" spans="4:5" hidden="1" outlineLevel="1" x14ac:dyDescent="0.3">
      <c r="D225" s="80">
        <v>45814</v>
      </c>
      <c r="E225" s="81">
        <v>37377.42</v>
      </c>
    </row>
    <row r="226" spans="4:5" hidden="1" outlineLevel="1" x14ac:dyDescent="0.3">
      <c r="D226" s="80">
        <v>45813</v>
      </c>
      <c r="E226" s="81">
        <v>37000.49</v>
      </c>
    </row>
    <row r="227" spans="4:5" hidden="1" outlineLevel="1" x14ac:dyDescent="0.3">
      <c r="D227" s="80">
        <v>45812</v>
      </c>
      <c r="E227" s="81">
        <v>36805.089999999997</v>
      </c>
    </row>
    <row r="228" spans="4:5" hidden="1" outlineLevel="1" x14ac:dyDescent="0.3">
      <c r="D228" s="80">
        <v>45811</v>
      </c>
      <c r="E228" s="81">
        <v>36674.69</v>
      </c>
    </row>
    <row r="229" spans="4:5" hidden="1" outlineLevel="1" x14ac:dyDescent="0.3">
      <c r="D229" s="80">
        <v>45810</v>
      </c>
      <c r="E229" s="81">
        <v>36921.620000000003</v>
      </c>
    </row>
    <row r="230" spans="4:5" hidden="1" outlineLevel="1" x14ac:dyDescent="0.3">
      <c r="D230" s="80">
        <v>45807</v>
      </c>
      <c r="E230" s="81">
        <v>36972.5</v>
      </c>
    </row>
    <row r="231" spans="4:5" hidden="1" outlineLevel="1" x14ac:dyDescent="0.3">
      <c r="D231" s="80">
        <v>45806</v>
      </c>
      <c r="E231" s="81">
        <v>37066.339999999997</v>
      </c>
    </row>
    <row r="232" spans="4:5" hidden="1" outlineLevel="1" x14ac:dyDescent="0.3">
      <c r="D232" s="80">
        <v>45805</v>
      </c>
      <c r="E232" s="81">
        <v>36943.42</v>
      </c>
    </row>
    <row r="233" spans="4:5" hidden="1" outlineLevel="1" x14ac:dyDescent="0.3">
      <c r="D233" s="80">
        <v>45804</v>
      </c>
      <c r="E233" s="81">
        <v>37029.33</v>
      </c>
    </row>
    <row r="234" spans="4:5" hidden="1" outlineLevel="1" x14ac:dyDescent="0.3">
      <c r="D234" s="80">
        <v>45803</v>
      </c>
      <c r="E234" s="81">
        <v>37290.300000000003</v>
      </c>
    </row>
    <row r="235" spans="4:5" hidden="1" outlineLevel="1" x14ac:dyDescent="0.3">
      <c r="D235" s="80">
        <v>45800</v>
      </c>
      <c r="E235" s="81">
        <v>37069.550000000003</v>
      </c>
    </row>
    <row r="236" spans="4:5" hidden="1" outlineLevel="1" x14ac:dyDescent="0.3">
      <c r="D236" s="80">
        <v>45799</v>
      </c>
      <c r="E236" s="81">
        <v>36706.44</v>
      </c>
    </row>
    <row r="237" spans="4:5" hidden="1" outlineLevel="1" x14ac:dyDescent="0.3">
      <c r="D237" s="80">
        <v>45798</v>
      </c>
      <c r="E237" s="81">
        <v>37010.35</v>
      </c>
    </row>
    <row r="238" spans="4:5" hidden="1" outlineLevel="1" x14ac:dyDescent="0.3">
      <c r="D238" s="80">
        <v>45797</v>
      </c>
      <c r="E238" s="81">
        <v>36817.14</v>
      </c>
    </row>
    <row r="239" spans="4:5" hidden="1" outlineLevel="1" x14ac:dyDescent="0.3">
      <c r="D239" s="80">
        <v>45796</v>
      </c>
      <c r="E239" s="81">
        <v>37207.25</v>
      </c>
    </row>
    <row r="240" spans="4:5" hidden="1" outlineLevel="1" x14ac:dyDescent="0.3">
      <c r="D240" s="80">
        <v>45793</v>
      </c>
      <c r="E240" s="81">
        <v>37318.129999999997</v>
      </c>
    </row>
    <row r="241" spans="4:5" hidden="1" outlineLevel="1" x14ac:dyDescent="0.3">
      <c r="D241" s="80">
        <v>45792</v>
      </c>
      <c r="E241" s="81">
        <v>37361.050000000003</v>
      </c>
    </row>
    <row r="242" spans="4:5" hidden="1" outlineLevel="1" x14ac:dyDescent="0.3">
      <c r="D242" s="80">
        <v>45791</v>
      </c>
      <c r="E242" s="81">
        <v>36771.94</v>
      </c>
    </row>
    <row r="243" spans="4:5" hidden="1" outlineLevel="1" x14ac:dyDescent="0.3">
      <c r="D243" s="80">
        <v>45790</v>
      </c>
      <c r="E243" s="81">
        <v>36639.870000000003</v>
      </c>
    </row>
    <row r="244" spans="4:5" hidden="1" outlineLevel="1" x14ac:dyDescent="0.3">
      <c r="D244" s="80">
        <v>45789</v>
      </c>
      <c r="E244" s="81">
        <v>37156.25</v>
      </c>
    </row>
    <row r="245" spans="4:5" hidden="1" outlineLevel="1" x14ac:dyDescent="0.3">
      <c r="D245" s="80">
        <v>45786</v>
      </c>
      <c r="E245" s="81">
        <v>35789.629999999997</v>
      </c>
    </row>
    <row r="246" spans="4:5" hidden="1" outlineLevel="1" x14ac:dyDescent="0.3">
      <c r="D246" s="80">
        <v>45785</v>
      </c>
      <c r="E246" s="81">
        <v>36184.82</v>
      </c>
    </row>
    <row r="247" spans="4:5" hidden="1" outlineLevel="1" x14ac:dyDescent="0.3">
      <c r="D247" s="80">
        <v>45784</v>
      </c>
      <c r="E247" s="81">
        <v>36394.46</v>
      </c>
    </row>
    <row r="248" spans="4:5" hidden="1" outlineLevel="1" x14ac:dyDescent="0.3">
      <c r="D248" s="80">
        <v>45783</v>
      </c>
      <c r="E248" s="81">
        <v>36342.6</v>
      </c>
    </row>
    <row r="249" spans="4:5" hidden="1" outlineLevel="1" x14ac:dyDescent="0.3">
      <c r="D249" s="80">
        <v>45782</v>
      </c>
      <c r="E249" s="81">
        <v>36464.1</v>
      </c>
    </row>
    <row r="250" spans="4:5" hidden="1" outlineLevel="1" x14ac:dyDescent="0.3">
      <c r="D250" s="80">
        <v>45779</v>
      </c>
      <c r="E250" s="81">
        <v>36293.51</v>
      </c>
    </row>
    <row r="251" spans="4:5" hidden="1" outlineLevel="1" x14ac:dyDescent="0.3">
      <c r="D251" s="80">
        <v>45777</v>
      </c>
      <c r="E251" s="81">
        <v>36274.870000000003</v>
      </c>
    </row>
    <row r="252" spans="4:5" hidden="1" outlineLevel="1" x14ac:dyDescent="0.3">
      <c r="D252" s="80">
        <v>45776</v>
      </c>
      <c r="E252" s="81">
        <v>36277.480000000003</v>
      </c>
    </row>
    <row r="253" spans="4:5" hidden="1" outlineLevel="1" x14ac:dyDescent="0.3">
      <c r="D253" s="80">
        <v>45775</v>
      </c>
      <c r="E253" s="81">
        <v>36266.410000000003</v>
      </c>
    </row>
    <row r="254" spans="4:5" hidden="1" outlineLevel="1" x14ac:dyDescent="0.3">
      <c r="D254" s="80">
        <v>45772</v>
      </c>
      <c r="E254" s="81">
        <v>35829.160000000003</v>
      </c>
    </row>
    <row r="255" spans="4:5" hidden="1" outlineLevel="1" x14ac:dyDescent="0.3">
      <c r="D255" s="80">
        <v>45771</v>
      </c>
      <c r="E255" s="81">
        <v>36138.21</v>
      </c>
    </row>
    <row r="256" spans="4:5" hidden="1" outlineLevel="1" x14ac:dyDescent="0.3">
      <c r="D256" s="80">
        <v>45770</v>
      </c>
      <c r="E256" s="81">
        <v>36260.74</v>
      </c>
    </row>
    <row r="257" spans="4:5" hidden="1" outlineLevel="1" x14ac:dyDescent="0.3">
      <c r="D257" s="80">
        <v>45769</v>
      </c>
      <c r="E257" s="81">
        <v>36019.75</v>
      </c>
    </row>
    <row r="258" spans="4:5" hidden="1" outlineLevel="1" x14ac:dyDescent="0.3">
      <c r="D258" s="80">
        <v>45768</v>
      </c>
      <c r="E258" s="81">
        <v>35957.620000000003</v>
      </c>
    </row>
    <row r="259" spans="4:5" hidden="1" outlineLevel="1" x14ac:dyDescent="0.3">
      <c r="D259" s="80">
        <v>45764</v>
      </c>
      <c r="E259" s="81">
        <v>35549.39</v>
      </c>
    </row>
    <row r="260" spans="4:5" hidden="1" outlineLevel="1" x14ac:dyDescent="0.3">
      <c r="D260" s="80">
        <v>45763</v>
      </c>
      <c r="E260" s="81">
        <v>34931.660000000003</v>
      </c>
    </row>
    <row r="261" spans="4:5" hidden="1" outlineLevel="1" x14ac:dyDescent="0.3">
      <c r="D261" s="80">
        <v>45762</v>
      </c>
      <c r="E261" s="81">
        <v>34769.71</v>
      </c>
    </row>
    <row r="262" spans="4:5" hidden="1" outlineLevel="1" x14ac:dyDescent="0.3">
      <c r="D262" s="80">
        <v>45758</v>
      </c>
      <c r="E262" s="81">
        <v>34024.5</v>
      </c>
    </row>
    <row r="263" spans="4:5" hidden="1" outlineLevel="1" x14ac:dyDescent="0.3">
      <c r="D263" s="80">
        <v>45756</v>
      </c>
      <c r="E263" s="81">
        <v>33384.559999999998</v>
      </c>
    </row>
    <row r="264" spans="4:5" hidden="1" outlineLevel="1" x14ac:dyDescent="0.3">
      <c r="D264" s="80">
        <v>45755</v>
      </c>
      <c r="E264" s="81">
        <v>33588.28</v>
      </c>
    </row>
    <row r="265" spans="4:5" hidden="1" outlineLevel="1" x14ac:dyDescent="0.3">
      <c r="D265" s="80">
        <v>45754</v>
      </c>
      <c r="E265" s="81">
        <v>33030.49</v>
      </c>
    </row>
    <row r="266" spans="4:5" hidden="1" outlineLevel="1" x14ac:dyDescent="0.3">
      <c r="D266" s="80">
        <v>45751</v>
      </c>
      <c r="E266" s="81">
        <v>34137.61</v>
      </c>
    </row>
    <row r="267" spans="4:5" hidden="1" outlineLevel="1" x14ac:dyDescent="0.3">
      <c r="D267" s="80">
        <v>45750</v>
      </c>
      <c r="E267" s="81">
        <v>34652.839999999997</v>
      </c>
    </row>
    <row r="268" spans="4:5" hidden="1" outlineLevel="1" x14ac:dyDescent="0.3">
      <c r="D268" s="80">
        <v>45749</v>
      </c>
      <c r="E268" s="81">
        <v>34775.4</v>
      </c>
    </row>
    <row r="269" spans="4:5" hidden="1" outlineLevel="1" x14ac:dyDescent="0.3">
      <c r="D269" s="80">
        <v>45748</v>
      </c>
      <c r="E269" s="81">
        <v>34527.01</v>
      </c>
    </row>
    <row r="270" spans="4:5" hidden="1" outlineLevel="1" x14ac:dyDescent="0.3">
      <c r="D270" s="80">
        <v>45744</v>
      </c>
      <c r="E270" s="81">
        <v>35054.080000000002</v>
      </c>
    </row>
    <row r="271" spans="4:5" hidden="1" outlineLevel="1" x14ac:dyDescent="0.3">
      <c r="D271" s="80">
        <v>45743</v>
      </c>
      <c r="E271" s="81">
        <v>35162.32</v>
      </c>
    </row>
    <row r="272" spans="4:5" hidden="1" outlineLevel="1" x14ac:dyDescent="0.3">
      <c r="D272" s="80">
        <v>45742</v>
      </c>
      <c r="E272" s="81">
        <v>35005.67</v>
      </c>
    </row>
    <row r="273" spans="4:5" hidden="1" outlineLevel="1" x14ac:dyDescent="0.3">
      <c r="D273" s="80">
        <v>45741</v>
      </c>
      <c r="E273" s="81">
        <v>35276.65</v>
      </c>
    </row>
    <row r="274" spans="4:5" hidden="1" outlineLevel="1" x14ac:dyDescent="0.3">
      <c r="D274" s="80">
        <v>45740</v>
      </c>
      <c r="E274" s="81">
        <v>35261.269999999997</v>
      </c>
    </row>
    <row r="275" spans="4:5" hidden="1" outlineLevel="1" x14ac:dyDescent="0.3">
      <c r="D275" s="80">
        <v>45737</v>
      </c>
      <c r="E275" s="81">
        <v>34802.300000000003</v>
      </c>
    </row>
    <row r="276" spans="4:5" hidden="1" outlineLevel="1" x14ac:dyDescent="0.3">
      <c r="D276" s="80">
        <v>45736</v>
      </c>
      <c r="E276" s="81">
        <v>34564.18</v>
      </c>
    </row>
    <row r="277" spans="4:5" hidden="1" outlineLevel="1" x14ac:dyDescent="0.3">
      <c r="D277" s="80">
        <v>45735</v>
      </c>
      <c r="E277" s="81">
        <v>34142.35</v>
      </c>
    </row>
    <row r="278" spans="4:5" hidden="1" outlineLevel="1" x14ac:dyDescent="0.3">
      <c r="D278" s="80">
        <v>45734</v>
      </c>
      <c r="E278" s="81">
        <v>34033.06</v>
      </c>
    </row>
    <row r="279" spans="4:5" hidden="1" outlineLevel="1" x14ac:dyDescent="0.3">
      <c r="D279" s="80">
        <v>45733</v>
      </c>
      <c r="E279" s="81">
        <v>33547.879999999997</v>
      </c>
    </row>
    <row r="280" spans="4:5" hidden="1" outlineLevel="1" x14ac:dyDescent="0.3">
      <c r="D280" s="80">
        <v>45729</v>
      </c>
      <c r="E280" s="81">
        <v>33381.620000000003</v>
      </c>
    </row>
    <row r="281" spans="4:5" hidden="1" outlineLevel="1" x14ac:dyDescent="0.3">
      <c r="D281" s="80">
        <v>45728</v>
      </c>
      <c r="E281" s="81">
        <v>33490.870000000003</v>
      </c>
    </row>
    <row r="282" spans="4:5" hidden="1" outlineLevel="1" x14ac:dyDescent="0.3">
      <c r="D282" s="80">
        <v>45727</v>
      </c>
      <c r="E282" s="81">
        <v>33531.68</v>
      </c>
    </row>
    <row r="283" spans="4:5" hidden="1" outlineLevel="1" x14ac:dyDescent="0.3">
      <c r="D283" s="80">
        <v>45726</v>
      </c>
      <c r="E283" s="81">
        <v>33473.919999999998</v>
      </c>
    </row>
    <row r="284" spans="4:5" hidden="1" outlineLevel="1" x14ac:dyDescent="0.3">
      <c r="D284" s="80">
        <v>45723</v>
      </c>
      <c r="E284" s="81">
        <v>33611.300000000003</v>
      </c>
    </row>
    <row r="285" spans="4:5" hidden="1" outlineLevel="1" x14ac:dyDescent="0.3">
      <c r="D285" s="80">
        <v>45722</v>
      </c>
      <c r="E285" s="81">
        <v>33599.300000000003</v>
      </c>
    </row>
    <row r="286" spans="4:5" hidden="1" outlineLevel="1" x14ac:dyDescent="0.3">
      <c r="D286" s="80">
        <v>45721</v>
      </c>
      <c r="E286" s="81">
        <v>33290.199999999997</v>
      </c>
    </row>
    <row r="287" spans="4:5" hidden="1" outlineLevel="1" x14ac:dyDescent="0.3">
      <c r="D287" s="80">
        <v>45720</v>
      </c>
      <c r="E287" s="81">
        <v>32910.629999999997</v>
      </c>
    </row>
    <row r="288" spans="4:5" hidden="1" outlineLevel="1" x14ac:dyDescent="0.3">
      <c r="D288" s="80">
        <v>45719</v>
      </c>
      <c r="E288" s="81">
        <v>32965.25</v>
      </c>
    </row>
    <row r="289" spans="4:5" hidden="1" outlineLevel="1" x14ac:dyDescent="0.3">
      <c r="D289" s="80">
        <v>45716</v>
      </c>
      <c r="E289" s="81">
        <v>32973.360000000001</v>
      </c>
    </row>
    <row r="290" spans="4:5" hidden="1" outlineLevel="1" x14ac:dyDescent="0.3">
      <c r="D290" s="80">
        <v>45715</v>
      </c>
      <c r="E290" s="81">
        <v>33599.79</v>
      </c>
    </row>
    <row r="291" spans="4:5" hidden="1" outlineLevel="1" x14ac:dyDescent="0.3">
      <c r="D291" s="80">
        <v>45713</v>
      </c>
      <c r="E291" s="81">
        <v>33603.550000000003</v>
      </c>
    </row>
    <row r="292" spans="4:5" hidden="1" outlineLevel="1" x14ac:dyDescent="0.3">
      <c r="D292" s="80">
        <v>45712</v>
      </c>
      <c r="E292" s="81">
        <v>33612.18</v>
      </c>
    </row>
    <row r="293" spans="4:5" hidden="1" outlineLevel="1" x14ac:dyDescent="0.3">
      <c r="D293" s="80">
        <v>45709</v>
      </c>
      <c r="E293" s="81">
        <v>33973.61</v>
      </c>
    </row>
    <row r="294" spans="4:5" hidden="1" outlineLevel="1" x14ac:dyDescent="0.3">
      <c r="D294" s="80">
        <v>45708</v>
      </c>
      <c r="E294" s="81">
        <v>34148.36</v>
      </c>
    </row>
    <row r="295" spans="4:5" hidden="1" outlineLevel="1" x14ac:dyDescent="0.3">
      <c r="D295" s="80">
        <v>45707</v>
      </c>
      <c r="E295" s="81">
        <v>34177.82</v>
      </c>
    </row>
    <row r="296" spans="4:5" hidden="1" outlineLevel="1" x14ac:dyDescent="0.3">
      <c r="D296" s="80">
        <v>45706</v>
      </c>
      <c r="E296" s="81">
        <v>34196.32</v>
      </c>
    </row>
    <row r="297" spans="4:5" hidden="1" outlineLevel="1" x14ac:dyDescent="0.3">
      <c r="D297" s="80">
        <v>45705</v>
      </c>
      <c r="E297" s="81">
        <v>34217.480000000003</v>
      </c>
    </row>
    <row r="298" spans="4:5" hidden="1" outlineLevel="1" x14ac:dyDescent="0.3">
      <c r="D298" s="80">
        <v>45702</v>
      </c>
      <c r="E298" s="81">
        <v>34172.379999999997</v>
      </c>
    </row>
    <row r="299" spans="4:5" hidden="1" outlineLevel="1" x14ac:dyDescent="0.3">
      <c r="D299" s="80">
        <v>45701</v>
      </c>
      <c r="E299" s="81">
        <v>34324.31</v>
      </c>
    </row>
    <row r="300" spans="4:5" hidden="1" outlineLevel="1" x14ac:dyDescent="0.3">
      <c r="D300" s="80">
        <v>45700</v>
      </c>
      <c r="E300" s="81">
        <v>34344.93</v>
      </c>
    </row>
    <row r="301" spans="4:5" hidden="1" outlineLevel="1" x14ac:dyDescent="0.3">
      <c r="D301" s="80">
        <v>45699</v>
      </c>
      <c r="E301" s="81">
        <v>34364.39</v>
      </c>
    </row>
    <row r="302" spans="4:5" hidden="1" outlineLevel="1" x14ac:dyDescent="0.3">
      <c r="D302" s="80">
        <v>45698</v>
      </c>
      <c r="E302" s="81">
        <v>34825.870000000003</v>
      </c>
    </row>
    <row r="303" spans="4:5" hidden="1" outlineLevel="1" x14ac:dyDescent="0.3">
      <c r="D303" s="80">
        <v>45695</v>
      </c>
      <c r="E303" s="81">
        <v>35091.5</v>
      </c>
    </row>
    <row r="304" spans="4:5" hidden="1" outlineLevel="1" x14ac:dyDescent="0.3">
      <c r="D304" s="80">
        <v>45694</v>
      </c>
      <c r="E304" s="81">
        <v>35143.08</v>
      </c>
    </row>
    <row r="305" spans="4:5" hidden="1" outlineLevel="1" x14ac:dyDescent="0.3">
      <c r="D305" s="80">
        <v>45693</v>
      </c>
      <c r="E305" s="81">
        <v>35277.699999999997</v>
      </c>
    </row>
    <row r="306" spans="4:5" hidden="1" outlineLevel="1" x14ac:dyDescent="0.3">
      <c r="D306" s="80">
        <v>45692</v>
      </c>
      <c r="E306" s="81">
        <v>35341.64</v>
      </c>
    </row>
    <row r="307" spans="4:5" hidden="1" outlineLevel="1" x14ac:dyDescent="0.3">
      <c r="D307" s="80">
        <v>45691</v>
      </c>
      <c r="E307" s="81">
        <v>34778.660000000003</v>
      </c>
    </row>
    <row r="308" spans="4:5" hidden="1" outlineLevel="1" x14ac:dyDescent="0.3">
      <c r="D308" s="80">
        <v>45689</v>
      </c>
      <c r="E308" s="81">
        <v>34958.89</v>
      </c>
    </row>
    <row r="309" spans="4:5" hidden="1" outlineLevel="1" x14ac:dyDescent="0.3">
      <c r="D309" s="80">
        <v>45688</v>
      </c>
      <c r="E309" s="81">
        <v>34998.01</v>
      </c>
    </row>
    <row r="310" spans="4:5" hidden="1" outlineLevel="1" x14ac:dyDescent="0.3">
      <c r="D310" s="80">
        <v>45687</v>
      </c>
      <c r="E310" s="81">
        <v>34603.4</v>
      </c>
    </row>
    <row r="311" spans="4:5" hidden="1" outlineLevel="1" x14ac:dyDescent="0.3">
      <c r="D311" s="80">
        <v>45686</v>
      </c>
      <c r="E311" s="81">
        <v>34474.800000000003</v>
      </c>
    </row>
    <row r="312" spans="4:5" hidden="1" outlineLevel="1" x14ac:dyDescent="0.3">
      <c r="D312" s="80">
        <v>45685</v>
      </c>
      <c r="E312" s="81">
        <v>34165.22</v>
      </c>
    </row>
    <row r="313" spans="4:5" hidden="1" outlineLevel="1" x14ac:dyDescent="0.3">
      <c r="D313" s="80">
        <v>45684</v>
      </c>
      <c r="E313" s="81">
        <v>33974.58</v>
      </c>
    </row>
    <row r="314" spans="4:5" hidden="1" outlineLevel="1" x14ac:dyDescent="0.3">
      <c r="D314" s="80">
        <v>45681</v>
      </c>
      <c r="E314" s="81">
        <v>34366.04</v>
      </c>
    </row>
    <row r="315" spans="4:5" hidden="1" outlineLevel="1" x14ac:dyDescent="0.3">
      <c r="D315" s="80">
        <v>45680</v>
      </c>
      <c r="E315" s="81">
        <v>34534.46</v>
      </c>
    </row>
    <row r="316" spans="4:5" hidden="1" outlineLevel="1" x14ac:dyDescent="0.3">
      <c r="D316" s="80">
        <v>45679</v>
      </c>
      <c r="E316" s="81">
        <v>34460.03</v>
      </c>
    </row>
    <row r="317" spans="4:5" hidden="1" outlineLevel="1" x14ac:dyDescent="0.3">
      <c r="D317" s="80">
        <v>45678</v>
      </c>
      <c r="E317" s="81">
        <v>34265.550000000003</v>
      </c>
    </row>
    <row r="318" spans="4:5" hidden="1" outlineLevel="1" x14ac:dyDescent="0.3">
      <c r="D318" s="80">
        <v>45677</v>
      </c>
      <c r="E318" s="81">
        <v>34741.89</v>
      </c>
    </row>
    <row r="319" spans="4:5" hidden="1" outlineLevel="1" x14ac:dyDescent="0.3">
      <c r="D319" s="80">
        <v>45674</v>
      </c>
      <c r="E319" s="81">
        <v>34531.21</v>
      </c>
    </row>
    <row r="320" spans="4:5" hidden="1" outlineLevel="1" x14ac:dyDescent="0.3">
      <c r="D320" s="80">
        <v>45673</v>
      </c>
      <c r="E320" s="81">
        <v>34660.67</v>
      </c>
    </row>
    <row r="321" spans="4:5" hidden="1" outlineLevel="1" x14ac:dyDescent="0.3">
      <c r="D321" s="80">
        <v>45672</v>
      </c>
      <c r="E321" s="81">
        <v>34514.06</v>
      </c>
    </row>
    <row r="322" spans="4:5" hidden="1" outlineLevel="1" x14ac:dyDescent="0.3">
      <c r="D322" s="80">
        <v>45671</v>
      </c>
      <c r="E322" s="81">
        <v>34458.870000000003</v>
      </c>
    </row>
    <row r="323" spans="4:5" hidden="1" outlineLevel="1" x14ac:dyDescent="0.3">
      <c r="D323" s="80">
        <v>45670</v>
      </c>
      <c r="E323" s="81">
        <v>34324.870000000003</v>
      </c>
    </row>
    <row r="324" spans="4:5" hidden="1" outlineLevel="1" x14ac:dyDescent="0.3">
      <c r="D324" s="80">
        <v>45667</v>
      </c>
      <c r="E324" s="81">
        <v>34838.660000000003</v>
      </c>
    </row>
    <row r="325" spans="4:5" hidden="1" outlineLevel="1" x14ac:dyDescent="0.3">
      <c r="D325" s="80">
        <v>45666</v>
      </c>
      <c r="E325" s="81">
        <v>34979.910000000003</v>
      </c>
    </row>
    <row r="326" spans="4:5" hidden="1" outlineLevel="1" x14ac:dyDescent="0.3">
      <c r="D326" s="80">
        <v>45665</v>
      </c>
      <c r="E326" s="81">
        <v>35221.43</v>
      </c>
    </row>
    <row r="327" spans="4:5" hidden="1" outlineLevel="1" x14ac:dyDescent="0.3">
      <c r="D327" s="80">
        <v>45664</v>
      </c>
      <c r="E327" s="81">
        <v>35249.64</v>
      </c>
    </row>
    <row r="328" spans="4:5" hidden="1" outlineLevel="1" x14ac:dyDescent="0.3">
      <c r="D328" s="80">
        <v>45663</v>
      </c>
      <c r="E328" s="81">
        <v>35113.040000000001</v>
      </c>
    </row>
    <row r="329" spans="4:5" hidden="1" outlineLevel="1" x14ac:dyDescent="0.3">
      <c r="D329" s="80">
        <v>45660</v>
      </c>
      <c r="E329" s="81">
        <v>35690.959999999999</v>
      </c>
    </row>
    <row r="330" spans="4:5" hidden="1" outlineLevel="1" x14ac:dyDescent="0.3">
      <c r="D330" s="80">
        <v>45659</v>
      </c>
      <c r="E330" s="81">
        <v>35964.43</v>
      </c>
    </row>
    <row r="331" spans="4:5" hidden="1" outlineLevel="1" x14ac:dyDescent="0.3">
      <c r="D331" s="80">
        <v>45658</v>
      </c>
      <c r="E331" s="81">
        <v>35301.629999999997</v>
      </c>
    </row>
    <row r="332" spans="4:5" hidden="1" outlineLevel="1" x14ac:dyDescent="0.3">
      <c r="D332" s="80">
        <v>45657</v>
      </c>
      <c r="E332" s="81">
        <v>35155.769999999997</v>
      </c>
    </row>
    <row r="333" spans="4:5" hidden="1" outlineLevel="1" x14ac:dyDescent="0.3">
      <c r="D333" s="80">
        <v>45656</v>
      </c>
      <c r="E333" s="81">
        <v>35155.94</v>
      </c>
    </row>
    <row r="334" spans="4:5" hidden="1" outlineLevel="1" x14ac:dyDescent="0.3">
      <c r="D334" s="80">
        <v>45653</v>
      </c>
      <c r="E334" s="81">
        <v>35406.5</v>
      </c>
    </row>
    <row r="335" spans="4:5" hidden="1" outlineLevel="1" x14ac:dyDescent="0.3">
      <c r="D335" s="80">
        <v>45652</v>
      </c>
      <c r="E335" s="81">
        <v>35312.5</v>
      </c>
    </row>
    <row r="336" spans="4:5" hidden="1" outlineLevel="1" x14ac:dyDescent="0.3">
      <c r="D336" s="80">
        <v>45650</v>
      </c>
      <c r="E336" s="81">
        <v>35278.97</v>
      </c>
    </row>
    <row r="337" spans="4:5" hidden="1" outlineLevel="1" x14ac:dyDescent="0.3">
      <c r="D337" s="80">
        <v>45649</v>
      </c>
      <c r="E337" s="81">
        <v>35317.360000000001</v>
      </c>
    </row>
    <row r="338" spans="4:5" hidden="1" outlineLevel="1" x14ac:dyDescent="0.3">
      <c r="D338" s="80">
        <v>45646</v>
      </c>
      <c r="E338" s="81">
        <v>35070.589999999997</v>
      </c>
    </row>
    <row r="339" spans="4:5" hidden="1" outlineLevel="1" x14ac:dyDescent="0.3">
      <c r="D339" s="80">
        <v>45645</v>
      </c>
      <c r="E339" s="81">
        <v>35612.11</v>
      </c>
    </row>
    <row r="340" spans="4:5" hidden="1" outlineLevel="1" x14ac:dyDescent="0.3">
      <c r="D340" s="80">
        <v>45644</v>
      </c>
      <c r="E340" s="81">
        <v>35979.58</v>
      </c>
    </row>
    <row r="341" spans="4:5" hidden="1" outlineLevel="1" x14ac:dyDescent="0.3">
      <c r="D341" s="80">
        <v>45643</v>
      </c>
      <c r="E341" s="81">
        <v>36183.53</v>
      </c>
    </row>
    <row r="342" spans="4:5" hidden="1" outlineLevel="1" x14ac:dyDescent="0.3">
      <c r="D342" s="80">
        <v>45642</v>
      </c>
      <c r="E342" s="81">
        <v>36677.480000000003</v>
      </c>
    </row>
    <row r="343" spans="4:5" hidden="1" outlineLevel="1" x14ac:dyDescent="0.3">
      <c r="D343" s="80">
        <v>45639</v>
      </c>
      <c r="E343" s="81">
        <v>36826.269999999997</v>
      </c>
    </row>
    <row r="344" spans="4:5" hidden="1" outlineLevel="1" x14ac:dyDescent="0.3">
      <c r="D344" s="80">
        <v>45638</v>
      </c>
      <c r="E344" s="81">
        <v>36499.75</v>
      </c>
    </row>
    <row r="345" spans="4:5" hidden="1" outlineLevel="1" x14ac:dyDescent="0.3">
      <c r="D345" s="80">
        <v>45637</v>
      </c>
      <c r="E345" s="81">
        <v>36638.14</v>
      </c>
    </row>
    <row r="346" spans="4:5" hidden="1" outlineLevel="1" x14ac:dyDescent="0.3">
      <c r="D346" s="80">
        <v>45636</v>
      </c>
      <c r="E346" s="81">
        <v>36590.980000000003</v>
      </c>
    </row>
    <row r="347" spans="4:5" hidden="1" outlineLevel="1" x14ac:dyDescent="0.3">
      <c r="D347" s="80">
        <v>45635</v>
      </c>
      <c r="E347" s="81">
        <v>36604.29</v>
      </c>
    </row>
    <row r="348" spans="4:5" hidden="1" outlineLevel="1" x14ac:dyDescent="0.3">
      <c r="D348" s="80">
        <v>45632</v>
      </c>
      <c r="E348" s="81">
        <v>36691.68</v>
      </c>
    </row>
    <row r="349" spans="4:5" hidden="1" outlineLevel="1" x14ac:dyDescent="0.3">
      <c r="D349" s="80">
        <v>45631</v>
      </c>
      <c r="E349" s="81">
        <v>36737.18</v>
      </c>
    </row>
    <row r="350" spans="4:5" hidden="1" outlineLevel="1" x14ac:dyDescent="0.3">
      <c r="D350" s="80">
        <v>45630</v>
      </c>
      <c r="E350" s="81">
        <v>36378.910000000003</v>
      </c>
    </row>
    <row r="351" spans="4:5" hidden="1" outlineLevel="1" x14ac:dyDescent="0.3">
      <c r="D351" s="80">
        <v>45629</v>
      </c>
      <c r="E351" s="81">
        <v>36363.629999999997</v>
      </c>
    </row>
    <row r="352" spans="4:5" hidden="1" outlineLevel="1" x14ac:dyDescent="0.3">
      <c r="D352" s="80">
        <v>45628</v>
      </c>
      <c r="E352" s="81">
        <v>36094.39</v>
      </c>
    </row>
    <row r="353" spans="4:5" hidden="1" outlineLevel="1" x14ac:dyDescent="0.3">
      <c r="D353" s="80">
        <v>45625</v>
      </c>
      <c r="E353" s="81">
        <v>35878.82</v>
      </c>
    </row>
    <row r="354" spans="4:5" hidden="1" outlineLevel="1" x14ac:dyDescent="0.3">
      <c r="D354" s="80">
        <v>45624</v>
      </c>
      <c r="E354" s="81">
        <v>35556.269999999997</v>
      </c>
    </row>
    <row r="355" spans="4:5" hidden="1" outlineLevel="1" x14ac:dyDescent="0.3">
      <c r="D355" s="80">
        <v>45623</v>
      </c>
      <c r="E355" s="81">
        <v>36092.65</v>
      </c>
    </row>
    <row r="356" spans="4:5" hidden="1" outlineLevel="1" x14ac:dyDescent="0.3">
      <c r="D356" s="80">
        <v>45622</v>
      </c>
      <c r="E356" s="81">
        <v>35973.11</v>
      </c>
    </row>
    <row r="357" spans="4:5" hidden="1" outlineLevel="1" x14ac:dyDescent="0.3">
      <c r="D357" s="80">
        <v>45621</v>
      </c>
      <c r="E357" s="81">
        <v>36013.85</v>
      </c>
    </row>
    <row r="358" spans="4:5" hidden="1" outlineLevel="1" x14ac:dyDescent="0.3">
      <c r="D358" s="80">
        <v>45618</v>
      </c>
      <c r="E358" s="81">
        <v>35546.01</v>
      </c>
    </row>
    <row r="359" spans="4:5" hidden="1" outlineLevel="1" x14ac:dyDescent="0.3">
      <c r="D359" s="80">
        <v>45617</v>
      </c>
      <c r="E359" s="81">
        <v>34717.32</v>
      </c>
    </row>
    <row r="360" spans="4:5" hidden="1" outlineLevel="1" x14ac:dyDescent="0.3">
      <c r="D360" s="80">
        <v>45615</v>
      </c>
      <c r="E360" s="81">
        <v>34968</v>
      </c>
    </row>
    <row r="361" spans="4:5" hidden="1" outlineLevel="1" x14ac:dyDescent="0.3">
      <c r="D361" s="80">
        <v>45614</v>
      </c>
      <c r="E361" s="81">
        <v>34871.21</v>
      </c>
    </row>
    <row r="362" spans="4:5" hidden="1" outlineLevel="1" x14ac:dyDescent="0.3">
      <c r="D362" s="80">
        <v>45610</v>
      </c>
      <c r="E362" s="81">
        <v>34988.480000000003</v>
      </c>
    </row>
    <row r="363" spans="4:5" hidden="1" outlineLevel="1" x14ac:dyDescent="0.3">
      <c r="D363" s="80">
        <v>45609</v>
      </c>
      <c r="E363" s="81">
        <v>35020.93</v>
      </c>
    </row>
    <row r="364" spans="4:5" hidden="1" outlineLevel="1" x14ac:dyDescent="0.3">
      <c r="D364" s="80">
        <v>45608</v>
      </c>
      <c r="E364" s="81">
        <v>35503.11</v>
      </c>
    </row>
    <row r="365" spans="4:5" hidden="1" outlineLevel="1" x14ac:dyDescent="0.3">
      <c r="D365" s="80">
        <v>45607</v>
      </c>
      <c r="E365" s="81">
        <v>35886.42</v>
      </c>
    </row>
    <row r="366" spans="4:5" hidden="1" outlineLevel="1" x14ac:dyDescent="0.3">
      <c r="D366" s="80">
        <v>45604</v>
      </c>
      <c r="E366" s="81">
        <v>35896.71</v>
      </c>
    </row>
    <row r="367" spans="4:5" hidden="1" outlineLevel="1" x14ac:dyDescent="0.3">
      <c r="D367" s="80">
        <v>45603</v>
      </c>
      <c r="E367" s="81">
        <v>35972.74</v>
      </c>
    </row>
    <row r="368" spans="4:5" hidden="1" outlineLevel="1" x14ac:dyDescent="0.3">
      <c r="D368" s="80">
        <v>45602</v>
      </c>
      <c r="E368" s="81">
        <v>36393.85</v>
      </c>
    </row>
    <row r="369" spans="4:5" hidden="1" outlineLevel="1" x14ac:dyDescent="0.3">
      <c r="D369" s="80">
        <v>45601</v>
      </c>
      <c r="E369" s="81">
        <v>35982.959999999999</v>
      </c>
    </row>
    <row r="370" spans="4:5" hidden="1" outlineLevel="1" x14ac:dyDescent="0.3">
      <c r="D370" s="80">
        <v>45600</v>
      </c>
      <c r="E370" s="81">
        <v>35659.07</v>
      </c>
    </row>
    <row r="371" spans="4:5" hidden="1" outlineLevel="1" x14ac:dyDescent="0.3">
      <c r="D371" s="80">
        <v>45597</v>
      </c>
      <c r="E371" s="81">
        <v>36118.25</v>
      </c>
    </row>
    <row r="372" spans="4:5" hidden="1" outlineLevel="1" x14ac:dyDescent="0.3">
      <c r="D372" s="80">
        <v>45596</v>
      </c>
      <c r="E372" s="81">
        <v>35971.14</v>
      </c>
    </row>
    <row r="373" spans="4:5" hidden="1" outlineLevel="1" x14ac:dyDescent="0.3">
      <c r="D373" s="80">
        <v>45595</v>
      </c>
      <c r="E373" s="81">
        <v>36165.43</v>
      </c>
    </row>
    <row r="374" spans="4:5" hidden="1" outlineLevel="1" x14ac:dyDescent="0.3">
      <c r="D374" s="80">
        <v>45594</v>
      </c>
      <c r="E374" s="81">
        <v>36352.629999999997</v>
      </c>
    </row>
    <row r="375" spans="4:5" hidden="1" outlineLevel="1" x14ac:dyDescent="0.3">
      <c r="D375" s="80">
        <v>45593</v>
      </c>
      <c r="E375" s="81">
        <v>36138.03</v>
      </c>
    </row>
    <row r="376" spans="4:5" hidden="1" outlineLevel="1" x14ac:dyDescent="0.3">
      <c r="D376" s="80">
        <v>45590</v>
      </c>
      <c r="E376" s="81">
        <v>35902.92</v>
      </c>
    </row>
    <row r="377" spans="4:5" hidden="1" outlineLevel="1" x14ac:dyDescent="0.3">
      <c r="D377" s="80">
        <v>45589</v>
      </c>
      <c r="E377" s="81">
        <v>36227.519999999997</v>
      </c>
    </row>
    <row r="378" spans="4:5" hidden="1" outlineLevel="1" x14ac:dyDescent="0.3">
      <c r="D378" s="80">
        <v>45588</v>
      </c>
      <c r="E378" s="81">
        <v>36281.1</v>
      </c>
    </row>
    <row r="379" spans="4:5" hidden="1" outlineLevel="1" x14ac:dyDescent="0.3">
      <c r="D379" s="80">
        <v>45587</v>
      </c>
      <c r="E379" s="81">
        <v>36335.46</v>
      </c>
    </row>
    <row r="380" spans="4:5" hidden="1" outlineLevel="1" x14ac:dyDescent="0.3">
      <c r="D380" s="80">
        <v>45586</v>
      </c>
      <c r="E380" s="81">
        <v>36789.949999999997</v>
      </c>
    </row>
    <row r="381" spans="4:5" hidden="1" outlineLevel="1" x14ac:dyDescent="0.3">
      <c r="D381" s="80">
        <v>45583</v>
      </c>
      <c r="E381" s="81">
        <v>36898.25</v>
      </c>
    </row>
    <row r="382" spans="4:5" hidden="1" outlineLevel="1" x14ac:dyDescent="0.3">
      <c r="D382" s="80">
        <v>45582</v>
      </c>
      <c r="E382" s="81">
        <v>36740.300000000003</v>
      </c>
    </row>
    <row r="383" spans="4:5" hidden="1" outlineLevel="1" x14ac:dyDescent="0.3">
      <c r="D383" s="80">
        <v>45581</v>
      </c>
      <c r="E383" s="81">
        <v>37068.99</v>
      </c>
    </row>
    <row r="384" spans="4:5" hidden="1" outlineLevel="1" x14ac:dyDescent="0.3">
      <c r="D384" s="80">
        <v>45580</v>
      </c>
      <c r="E384" s="81">
        <v>37196.69</v>
      </c>
    </row>
    <row r="385" spans="4:5" hidden="1" outlineLevel="1" x14ac:dyDescent="0.3">
      <c r="D385" s="80">
        <v>45579</v>
      </c>
      <c r="E385" s="81">
        <v>37301.5</v>
      </c>
    </row>
    <row r="386" spans="4:5" hidden="1" outlineLevel="1" x14ac:dyDescent="0.3">
      <c r="D386" s="80">
        <v>45576</v>
      </c>
      <c r="E386" s="81">
        <v>37058.49</v>
      </c>
    </row>
    <row r="387" spans="4:5" hidden="1" outlineLevel="1" x14ac:dyDescent="0.3">
      <c r="D387" s="80">
        <v>45575</v>
      </c>
      <c r="E387" s="81">
        <v>37109.26</v>
      </c>
    </row>
    <row r="388" spans="4:5" hidden="1" outlineLevel="1" x14ac:dyDescent="0.3">
      <c r="D388" s="80">
        <v>45574</v>
      </c>
      <c r="E388" s="81">
        <v>37084.75</v>
      </c>
    </row>
    <row r="389" spans="4:5" hidden="1" outlineLevel="1" x14ac:dyDescent="0.3">
      <c r="D389" s="80">
        <v>45573</v>
      </c>
      <c r="E389" s="81">
        <v>37131.07</v>
      </c>
    </row>
    <row r="390" spans="4:5" hidden="1" outlineLevel="1" x14ac:dyDescent="0.3">
      <c r="D390" s="80">
        <v>45572</v>
      </c>
      <c r="E390" s="81">
        <v>36808.370000000003</v>
      </c>
    </row>
    <row r="391" spans="4:5" hidden="1" outlineLevel="1" x14ac:dyDescent="0.3">
      <c r="D391" s="80">
        <v>45569</v>
      </c>
      <c r="E391" s="81">
        <v>37133.25</v>
      </c>
    </row>
    <row r="392" spans="4:5" hidden="1" outlineLevel="1" x14ac:dyDescent="0.3">
      <c r="D392" s="80">
        <v>45568</v>
      </c>
      <c r="E392" s="81">
        <v>37482.839999999997</v>
      </c>
    </row>
    <row r="393" spans="4:5" hidden="1" outlineLevel="1" x14ac:dyDescent="0.3">
      <c r="D393" s="80">
        <v>45566</v>
      </c>
      <c r="E393" s="81">
        <v>38294.54</v>
      </c>
    </row>
    <row r="394" spans="4:5" hidden="1" outlineLevel="1" x14ac:dyDescent="0.3">
      <c r="D394" s="80">
        <v>45565</v>
      </c>
      <c r="E394" s="81">
        <v>38315.21</v>
      </c>
    </row>
    <row r="395" spans="4:5" hidden="1" outlineLevel="1" x14ac:dyDescent="0.3">
      <c r="D395" s="80">
        <v>45562</v>
      </c>
      <c r="E395" s="81">
        <v>38861.64</v>
      </c>
    </row>
    <row r="396" spans="4:5" hidden="1" outlineLevel="1" x14ac:dyDescent="0.3">
      <c r="D396" s="80">
        <v>45561</v>
      </c>
      <c r="E396" s="81">
        <v>38916.76</v>
      </c>
    </row>
    <row r="397" spans="4:5" hidden="1" outlineLevel="1" x14ac:dyDescent="0.3">
      <c r="D397" s="80">
        <v>45560</v>
      </c>
      <c r="E397" s="81">
        <v>38602.21</v>
      </c>
    </row>
    <row r="398" spans="4:5" hidden="1" outlineLevel="1" x14ac:dyDescent="0.3">
      <c r="D398" s="80">
        <v>45559</v>
      </c>
      <c r="E398" s="81">
        <v>38507.550000000003</v>
      </c>
    </row>
    <row r="399" spans="4:5" hidden="1" outlineLevel="1" x14ac:dyDescent="0.3">
      <c r="D399" s="80">
        <v>45558</v>
      </c>
      <c r="E399" s="81">
        <v>38505.51</v>
      </c>
    </row>
    <row r="400" spans="4:5" hidden="1" outlineLevel="1" x14ac:dyDescent="0.3">
      <c r="D400" s="80">
        <v>45555</v>
      </c>
      <c r="E400" s="81">
        <v>38285.67</v>
      </c>
    </row>
    <row r="401" spans="4:5" hidden="1" outlineLevel="1" x14ac:dyDescent="0.3">
      <c r="D401" s="80">
        <v>45554</v>
      </c>
      <c r="E401" s="81">
        <v>37728.83</v>
      </c>
    </row>
    <row r="402" spans="4:5" hidden="1" outlineLevel="1" x14ac:dyDescent="0.3">
      <c r="D402" s="80">
        <v>45553</v>
      </c>
      <c r="E402" s="81">
        <v>37672.03</v>
      </c>
    </row>
    <row r="403" spans="4:5" hidden="1" outlineLevel="1" x14ac:dyDescent="0.3">
      <c r="D403" s="80">
        <v>45552</v>
      </c>
      <c r="E403" s="81">
        <v>37732.870000000003</v>
      </c>
    </row>
    <row r="404" spans="4:5" hidden="1" outlineLevel="1" x14ac:dyDescent="0.3">
      <c r="D404" s="80">
        <v>45551</v>
      </c>
      <c r="E404" s="81">
        <v>37681.24</v>
      </c>
    </row>
    <row r="405" spans="4:5" hidden="1" outlineLevel="1" x14ac:dyDescent="0.3">
      <c r="D405" s="80">
        <v>45548</v>
      </c>
      <c r="E405" s="81">
        <v>37640.800000000003</v>
      </c>
    </row>
    <row r="406" spans="4:5" hidden="1" outlineLevel="1" x14ac:dyDescent="0.3">
      <c r="D406" s="80">
        <v>45547</v>
      </c>
      <c r="E406" s="81">
        <v>37688.9</v>
      </c>
    </row>
    <row r="407" spans="4:5" hidden="1" outlineLevel="1" x14ac:dyDescent="0.3">
      <c r="D407" s="80">
        <v>45546</v>
      </c>
      <c r="E407" s="81">
        <v>36990.519999999997</v>
      </c>
    </row>
    <row r="408" spans="4:5" hidden="1" outlineLevel="1" x14ac:dyDescent="0.3">
      <c r="D408" s="80">
        <v>45545</v>
      </c>
      <c r="E408" s="81">
        <v>37172.57</v>
      </c>
    </row>
    <row r="409" spans="4:5" hidden="1" outlineLevel="1" x14ac:dyDescent="0.3">
      <c r="D409" s="80">
        <v>45544</v>
      </c>
      <c r="E409" s="81">
        <v>37017.15</v>
      </c>
    </row>
    <row r="410" spans="4:5" hidden="1" outlineLevel="1" x14ac:dyDescent="0.3">
      <c r="D410" s="80">
        <v>45541</v>
      </c>
      <c r="E410" s="81">
        <v>36892.07</v>
      </c>
    </row>
    <row r="411" spans="4:5" hidden="1" outlineLevel="1" x14ac:dyDescent="0.3">
      <c r="D411" s="80">
        <v>45540</v>
      </c>
      <c r="E411" s="81">
        <v>37326.99</v>
      </c>
    </row>
    <row r="412" spans="4:5" hidden="1" outlineLevel="1" x14ac:dyDescent="0.3">
      <c r="D412" s="80">
        <v>45539</v>
      </c>
      <c r="E412" s="81">
        <v>37406.550000000003</v>
      </c>
    </row>
    <row r="413" spans="4:5" hidden="1" outlineLevel="1" x14ac:dyDescent="0.3">
      <c r="D413" s="80">
        <v>45538</v>
      </c>
      <c r="E413" s="81">
        <v>37526.97</v>
      </c>
    </row>
    <row r="414" spans="4:5" hidden="1" outlineLevel="1" x14ac:dyDescent="0.3">
      <c r="D414" s="80">
        <v>45537</v>
      </c>
      <c r="E414" s="81">
        <v>37525.279999999999</v>
      </c>
    </row>
    <row r="415" spans="4:5" hidden="1" outlineLevel="1" x14ac:dyDescent="0.3">
      <c r="D415" s="80">
        <v>45534</v>
      </c>
      <c r="E415" s="81">
        <v>37461.730000000003</v>
      </c>
    </row>
    <row r="416" spans="4:5" hidden="1" outlineLevel="1" x14ac:dyDescent="0.3">
      <c r="D416" s="80">
        <v>45533</v>
      </c>
      <c r="E416" s="81">
        <v>37337.089999999997</v>
      </c>
    </row>
    <row r="417" spans="4:5" hidden="1" outlineLevel="1" x14ac:dyDescent="0.3">
      <c r="D417" s="80">
        <v>45532</v>
      </c>
      <c r="E417" s="81">
        <v>37189.269999999997</v>
      </c>
    </row>
    <row r="418" spans="4:5" hidden="1" outlineLevel="1" x14ac:dyDescent="0.3">
      <c r="D418" s="80">
        <v>45531</v>
      </c>
      <c r="E418" s="81">
        <v>37137.910000000003</v>
      </c>
    </row>
    <row r="419" spans="4:5" hidden="1" outlineLevel="1" x14ac:dyDescent="0.3">
      <c r="D419" s="80">
        <v>45530</v>
      </c>
      <c r="E419" s="81">
        <v>37127.300000000003</v>
      </c>
    </row>
    <row r="420" spans="4:5" hidden="1" outlineLevel="1" x14ac:dyDescent="0.3">
      <c r="D420" s="80">
        <v>45527</v>
      </c>
      <c r="E420" s="81">
        <v>36849.019999999997</v>
      </c>
    </row>
    <row r="421" spans="4:5" hidden="1" outlineLevel="1" x14ac:dyDescent="0.3">
      <c r="D421" s="80">
        <v>45526</v>
      </c>
      <c r="E421" s="81">
        <v>36828.5</v>
      </c>
    </row>
    <row r="422" spans="4:5" hidden="1" outlineLevel="1" x14ac:dyDescent="0.3">
      <c r="D422" s="80">
        <v>45525</v>
      </c>
      <c r="E422" s="81">
        <v>36767.19</v>
      </c>
    </row>
    <row r="423" spans="4:5" hidden="1" outlineLevel="1" x14ac:dyDescent="0.3">
      <c r="D423" s="80">
        <v>45524</v>
      </c>
      <c r="E423" s="81">
        <v>36661.24</v>
      </c>
    </row>
    <row r="424" spans="4:5" hidden="1" outlineLevel="1" x14ac:dyDescent="0.3">
      <c r="D424" s="80">
        <v>45523</v>
      </c>
      <c r="E424" s="81">
        <v>36473.949999999997</v>
      </c>
    </row>
    <row r="425" spans="4:5" hidden="1" outlineLevel="1" x14ac:dyDescent="0.3">
      <c r="D425" s="80">
        <v>45520</v>
      </c>
      <c r="E425" s="81">
        <v>36415.85</v>
      </c>
    </row>
    <row r="426" spans="4:5" hidden="1" outlineLevel="1" x14ac:dyDescent="0.3">
      <c r="D426" s="80">
        <v>45518</v>
      </c>
      <c r="E426" s="81">
        <v>35817.89</v>
      </c>
    </row>
    <row r="427" spans="4:5" hidden="1" outlineLevel="1" x14ac:dyDescent="0.3">
      <c r="D427" s="80">
        <v>45517</v>
      </c>
      <c r="E427" s="81">
        <v>35810.83</v>
      </c>
    </row>
    <row r="428" spans="4:5" hidden="1" outlineLevel="1" x14ac:dyDescent="0.3">
      <c r="D428" s="80">
        <v>45516</v>
      </c>
      <c r="E428" s="81">
        <v>36119.449999999997</v>
      </c>
    </row>
    <row r="429" spans="4:5" hidden="1" outlineLevel="1" x14ac:dyDescent="0.3">
      <c r="D429" s="80">
        <v>45513</v>
      </c>
      <c r="E429" s="81">
        <v>36126.230000000003</v>
      </c>
    </row>
    <row r="430" spans="4:5" hidden="1" outlineLevel="1" x14ac:dyDescent="0.3">
      <c r="D430" s="80">
        <v>45512</v>
      </c>
      <c r="E430" s="81">
        <v>35753.120000000003</v>
      </c>
    </row>
    <row r="431" spans="4:5" hidden="1" outlineLevel="1" x14ac:dyDescent="0.3">
      <c r="D431" s="80">
        <v>45511</v>
      </c>
      <c r="E431" s="81">
        <v>36020.75</v>
      </c>
    </row>
    <row r="432" spans="4:5" hidden="1" outlineLevel="1" x14ac:dyDescent="0.3">
      <c r="D432" s="80">
        <v>45510</v>
      </c>
      <c r="E432" s="81">
        <v>35554.15</v>
      </c>
    </row>
    <row r="433" spans="4:5" hidden="1" outlineLevel="1" x14ac:dyDescent="0.3">
      <c r="D433" s="80">
        <v>45509</v>
      </c>
      <c r="E433" s="81">
        <v>35646.370000000003</v>
      </c>
    </row>
    <row r="434" spans="4:5" hidden="1" outlineLevel="1" x14ac:dyDescent="0.3">
      <c r="D434" s="80">
        <v>45506</v>
      </c>
      <c r="E434" s="81">
        <v>36624.49</v>
      </c>
    </row>
    <row r="435" spans="4:5" hidden="1" outlineLevel="1" x14ac:dyDescent="0.3">
      <c r="D435" s="80">
        <v>45505</v>
      </c>
      <c r="E435" s="81">
        <v>37049.699999999997</v>
      </c>
    </row>
    <row r="436" spans="4:5" hidden="1" outlineLevel="1" x14ac:dyDescent="0.3">
      <c r="D436" s="80">
        <v>45504</v>
      </c>
      <c r="E436" s="81">
        <v>36959.480000000003</v>
      </c>
    </row>
    <row r="437" spans="4:5" hidden="1" outlineLevel="1" x14ac:dyDescent="0.3">
      <c r="D437" s="80">
        <v>45503</v>
      </c>
      <c r="E437" s="81">
        <v>36820.47</v>
      </c>
    </row>
    <row r="438" spans="4:5" hidden="1" outlineLevel="1" x14ac:dyDescent="0.3">
      <c r="D438" s="80">
        <v>45502</v>
      </c>
      <c r="E438" s="81">
        <v>36786.300000000003</v>
      </c>
    </row>
    <row r="439" spans="4:5" hidden="1" outlineLevel="1" x14ac:dyDescent="0.3">
      <c r="D439" s="80">
        <v>45499</v>
      </c>
      <c r="E439" s="81">
        <v>36784.480000000003</v>
      </c>
    </row>
    <row r="440" spans="4:5" hidden="1" outlineLevel="1" x14ac:dyDescent="0.3">
      <c r="D440" s="80">
        <v>45498</v>
      </c>
      <c r="E440" s="81">
        <v>36149.4</v>
      </c>
    </row>
    <row r="441" spans="4:5" hidden="1" outlineLevel="1" x14ac:dyDescent="0.3">
      <c r="D441" s="80">
        <v>45497</v>
      </c>
      <c r="E441" s="81">
        <v>36160.36</v>
      </c>
    </row>
    <row r="442" spans="4:5" hidden="1" outlineLevel="1" x14ac:dyDescent="0.3">
      <c r="D442" s="80">
        <v>45496</v>
      </c>
      <c r="E442" s="81">
        <v>36257.51</v>
      </c>
    </row>
    <row r="443" spans="4:5" hidden="1" outlineLevel="1" x14ac:dyDescent="0.3">
      <c r="D443" s="80">
        <v>45495</v>
      </c>
      <c r="E443" s="81">
        <v>36296.550000000003</v>
      </c>
    </row>
    <row r="444" spans="4:5" hidden="1" outlineLevel="1" x14ac:dyDescent="0.3">
      <c r="D444" s="80">
        <v>45492</v>
      </c>
      <c r="E444" s="81">
        <v>36328.6</v>
      </c>
    </row>
    <row r="445" spans="4:5" hidden="1" outlineLevel="1" x14ac:dyDescent="0.3">
      <c r="D445" s="80">
        <v>45491</v>
      </c>
      <c r="E445" s="81">
        <v>36723.93</v>
      </c>
    </row>
    <row r="446" spans="4:5" hidden="1" outlineLevel="1" x14ac:dyDescent="0.3">
      <c r="D446" s="80">
        <v>45489</v>
      </c>
      <c r="E446" s="81">
        <v>36445.79</v>
      </c>
    </row>
    <row r="447" spans="4:5" hidden="1" outlineLevel="1" x14ac:dyDescent="0.3">
      <c r="D447" s="80">
        <v>45488</v>
      </c>
      <c r="E447" s="81">
        <v>36403.86</v>
      </c>
    </row>
    <row r="448" spans="4:5" hidden="1" outlineLevel="1" x14ac:dyDescent="0.3">
      <c r="D448" s="80">
        <v>45485</v>
      </c>
      <c r="E448" s="81">
        <v>36278.67</v>
      </c>
    </row>
    <row r="449" spans="4:5" hidden="1" outlineLevel="1" x14ac:dyDescent="0.3">
      <c r="D449" s="80">
        <v>45484</v>
      </c>
      <c r="E449" s="81">
        <v>36000.25</v>
      </c>
    </row>
    <row r="450" spans="4:5" hidden="1" outlineLevel="1" x14ac:dyDescent="0.3">
      <c r="D450" s="80">
        <v>45483</v>
      </c>
      <c r="E450" s="81">
        <v>36012.82</v>
      </c>
    </row>
    <row r="451" spans="4:5" hidden="1" outlineLevel="1" x14ac:dyDescent="0.3">
      <c r="D451" s="80">
        <v>45482</v>
      </c>
      <c r="E451" s="81">
        <v>36173.870000000003</v>
      </c>
    </row>
    <row r="452" spans="4:5" hidden="1" outlineLevel="1" x14ac:dyDescent="0.3">
      <c r="D452" s="80">
        <v>45481</v>
      </c>
      <c r="E452" s="81">
        <v>36004.74</v>
      </c>
    </row>
    <row r="453" spans="4:5" hidden="1" outlineLevel="1" x14ac:dyDescent="0.3">
      <c r="D453" s="80">
        <v>45478</v>
      </c>
      <c r="E453" s="81">
        <v>36009.61</v>
      </c>
    </row>
    <row r="454" spans="4:5" hidden="1" outlineLevel="1" x14ac:dyDescent="0.3">
      <c r="D454" s="80">
        <v>45476</v>
      </c>
      <c r="E454" s="81">
        <v>35947.53</v>
      </c>
    </row>
    <row r="455" spans="4:5" hidden="1" outlineLevel="1" x14ac:dyDescent="0.3">
      <c r="D455" s="80">
        <v>45475</v>
      </c>
      <c r="E455" s="81">
        <v>35706.769999999997</v>
      </c>
    </row>
    <row r="456" spans="4:5" hidden="1" outlineLevel="1" x14ac:dyDescent="0.3">
      <c r="D456" s="80">
        <v>45474</v>
      </c>
      <c r="E456" s="81">
        <v>35733.58</v>
      </c>
    </row>
    <row r="457" spans="4:5" hidden="1" outlineLevel="1" x14ac:dyDescent="0.3">
      <c r="D457" s="80">
        <v>45471</v>
      </c>
      <c r="E457" s="81">
        <v>35539.160000000003</v>
      </c>
    </row>
    <row r="458" spans="4:5" hidden="1" outlineLevel="1" x14ac:dyDescent="0.3">
      <c r="D458" s="80">
        <v>45470</v>
      </c>
      <c r="E458" s="81">
        <v>35585.620000000003</v>
      </c>
    </row>
    <row r="459" spans="4:5" hidden="1" outlineLevel="1" x14ac:dyDescent="0.3">
      <c r="D459" s="80">
        <v>45469</v>
      </c>
      <c r="E459" s="81">
        <v>35324.11</v>
      </c>
    </row>
    <row r="460" spans="4:5" hidden="1" outlineLevel="1" x14ac:dyDescent="0.3">
      <c r="D460" s="80">
        <v>45468</v>
      </c>
      <c r="E460" s="81">
        <v>35105.79</v>
      </c>
    </row>
    <row r="461" spans="4:5" hidden="1" outlineLevel="1" x14ac:dyDescent="0.3">
      <c r="D461" s="80">
        <v>45467</v>
      </c>
      <c r="E461" s="81">
        <v>34834.33</v>
      </c>
    </row>
    <row r="462" spans="4:5" hidden="1" outlineLevel="1" x14ac:dyDescent="0.3">
      <c r="D462" s="80">
        <v>45464</v>
      </c>
      <c r="E462" s="81">
        <v>34779.9</v>
      </c>
    </row>
    <row r="463" spans="4:5" hidden="1" outlineLevel="1" x14ac:dyDescent="0.3">
      <c r="D463" s="80">
        <v>45463</v>
      </c>
      <c r="E463" s="81">
        <v>34873.15</v>
      </c>
    </row>
    <row r="464" spans="4:5" hidden="1" outlineLevel="1" x14ac:dyDescent="0.3">
      <c r="D464" s="80">
        <v>45462</v>
      </c>
      <c r="E464" s="81">
        <v>34786.58</v>
      </c>
    </row>
    <row r="465" spans="4:5" hidden="1" outlineLevel="1" x14ac:dyDescent="0.3">
      <c r="D465" s="80">
        <v>45461</v>
      </c>
      <c r="E465" s="81">
        <v>34847.24</v>
      </c>
    </row>
    <row r="466" spans="4:5" hidden="1" outlineLevel="1" x14ac:dyDescent="0.3">
      <c r="D466" s="80">
        <v>45457</v>
      </c>
      <c r="E466" s="81">
        <v>34710.67</v>
      </c>
    </row>
    <row r="467" spans="4:5" hidden="1" outlineLevel="1" x14ac:dyDescent="0.3">
      <c r="D467" s="80">
        <v>45456</v>
      </c>
      <c r="E467" s="81">
        <v>34600.19</v>
      </c>
    </row>
    <row r="468" spans="4:5" hidden="1" outlineLevel="1" x14ac:dyDescent="0.3">
      <c r="D468" s="80">
        <v>45455</v>
      </c>
      <c r="E468" s="81">
        <v>34487.879999999997</v>
      </c>
    </row>
    <row r="469" spans="4:5" hidden="1" outlineLevel="1" x14ac:dyDescent="0.3">
      <c r="D469" s="80">
        <v>45454</v>
      </c>
      <c r="E469" s="81">
        <v>34402</v>
      </c>
    </row>
    <row r="470" spans="4:5" hidden="1" outlineLevel="1" x14ac:dyDescent="0.3">
      <c r="D470" s="80">
        <v>45453</v>
      </c>
      <c r="E470" s="81">
        <v>34385.839999999997</v>
      </c>
    </row>
    <row r="471" spans="4:5" hidden="1" outlineLevel="1" x14ac:dyDescent="0.3">
      <c r="D471" s="80">
        <v>45450</v>
      </c>
      <c r="E471" s="81">
        <v>34431.61</v>
      </c>
    </row>
    <row r="472" spans="4:5" hidden="1" outlineLevel="1" x14ac:dyDescent="0.3">
      <c r="D472" s="80">
        <v>45449</v>
      </c>
      <c r="E472" s="81">
        <v>33738.58</v>
      </c>
    </row>
    <row r="473" spans="4:5" hidden="1" outlineLevel="1" x14ac:dyDescent="0.3">
      <c r="D473" s="80">
        <v>45448</v>
      </c>
      <c r="E473" s="81">
        <v>33441.4</v>
      </c>
    </row>
    <row r="474" spans="4:5" hidden="1" outlineLevel="1" x14ac:dyDescent="0.3">
      <c r="D474" s="80">
        <v>45447</v>
      </c>
      <c r="E474" s="81">
        <v>32353.5</v>
      </c>
    </row>
    <row r="475" spans="4:5" hidden="1" outlineLevel="1" x14ac:dyDescent="0.3">
      <c r="D475" s="80">
        <v>45446</v>
      </c>
      <c r="E475" s="81">
        <v>34369.129999999997</v>
      </c>
    </row>
    <row r="476" spans="4:5" hidden="1" outlineLevel="1" x14ac:dyDescent="0.3">
      <c r="D476" s="80">
        <v>45443</v>
      </c>
      <c r="E476" s="81">
        <v>33285.9</v>
      </c>
    </row>
    <row r="477" spans="4:5" hidden="1" outlineLevel="1" x14ac:dyDescent="0.3">
      <c r="D477" s="80">
        <v>45442</v>
      </c>
      <c r="E477" s="81">
        <v>33190.35</v>
      </c>
    </row>
    <row r="478" spans="4:5" hidden="1" outlineLevel="1" x14ac:dyDescent="0.3">
      <c r="D478" s="80">
        <v>45441</v>
      </c>
      <c r="E478" s="81">
        <v>33509.230000000003</v>
      </c>
    </row>
    <row r="479" spans="4:5" hidden="1" outlineLevel="1" x14ac:dyDescent="0.3">
      <c r="D479" s="80">
        <v>45440</v>
      </c>
      <c r="E479" s="81">
        <v>33780.01</v>
      </c>
    </row>
    <row r="480" spans="4:5" hidden="1" outlineLevel="1" x14ac:dyDescent="0.3">
      <c r="D480" s="80">
        <v>45439</v>
      </c>
      <c r="E480" s="81">
        <v>33845.39</v>
      </c>
    </row>
    <row r="481" spans="4:5" hidden="1" outlineLevel="1" x14ac:dyDescent="0.3">
      <c r="D481" s="80">
        <v>45436</v>
      </c>
      <c r="E481" s="81">
        <v>33881.75</v>
      </c>
    </row>
    <row r="482" spans="4:5" hidden="1" outlineLevel="1" x14ac:dyDescent="0.3">
      <c r="D482" s="80">
        <v>45435</v>
      </c>
      <c r="E482" s="81">
        <v>33895.660000000003</v>
      </c>
    </row>
    <row r="483" spans="4:5" hidden="1" outlineLevel="1" x14ac:dyDescent="0.3">
      <c r="D483" s="80">
        <v>45434</v>
      </c>
      <c r="E483" s="81">
        <v>33349.839999999997</v>
      </c>
    </row>
    <row r="484" spans="4:5" hidden="1" outlineLevel="1" x14ac:dyDescent="0.3">
      <c r="D484" s="80">
        <v>45433</v>
      </c>
      <c r="E484" s="81">
        <v>33230.839999999997</v>
      </c>
    </row>
    <row r="485" spans="4:5" hidden="1" outlineLevel="1" x14ac:dyDescent="0.3">
      <c r="D485" s="80">
        <v>45430</v>
      </c>
      <c r="E485" s="81">
        <v>33190.97</v>
      </c>
    </row>
    <row r="486" spans="4:5" hidden="1" outlineLevel="1" x14ac:dyDescent="0.3">
      <c r="D486" s="80">
        <v>45429</v>
      </c>
      <c r="E486" s="81">
        <v>33138.019999999997</v>
      </c>
    </row>
    <row r="487" spans="4:5" hidden="1" outlineLevel="1" x14ac:dyDescent="0.3">
      <c r="D487" s="80">
        <v>45428</v>
      </c>
      <c r="E487" s="81">
        <v>33046.160000000003</v>
      </c>
    </row>
    <row r="488" spans="4:5" hidden="1" outlineLevel="1" x14ac:dyDescent="0.3">
      <c r="D488" s="80">
        <v>45427</v>
      </c>
      <c r="E488" s="81">
        <v>32736.91</v>
      </c>
    </row>
    <row r="489" spans="4:5" hidden="1" outlineLevel="1" x14ac:dyDescent="0.3">
      <c r="D489" s="80">
        <v>45426</v>
      </c>
      <c r="E489" s="81">
        <v>32762.37</v>
      </c>
    </row>
    <row r="490" spans="4:5" hidden="1" outlineLevel="1" x14ac:dyDescent="0.3">
      <c r="D490" s="80">
        <v>45425</v>
      </c>
      <c r="E490" s="81">
        <v>32594.61</v>
      </c>
    </row>
    <row r="491" spans="4:5" hidden="1" outlineLevel="1" x14ac:dyDescent="0.3">
      <c r="D491" s="80">
        <v>45422</v>
      </c>
      <c r="E491" s="81">
        <v>32522.55</v>
      </c>
    </row>
    <row r="492" spans="4:5" hidden="1" outlineLevel="1" x14ac:dyDescent="0.3">
      <c r="D492" s="80">
        <v>45421</v>
      </c>
      <c r="E492" s="81">
        <v>32329.72</v>
      </c>
    </row>
    <row r="493" spans="4:5" hidden="1" outlineLevel="1" x14ac:dyDescent="0.3">
      <c r="D493" s="80">
        <v>45420</v>
      </c>
      <c r="E493" s="81">
        <v>32837.65</v>
      </c>
    </row>
    <row r="494" spans="4:5" hidden="1" outlineLevel="1" x14ac:dyDescent="0.3">
      <c r="D494" s="80">
        <v>45419</v>
      </c>
      <c r="E494" s="81">
        <v>32837.71</v>
      </c>
    </row>
    <row r="495" spans="4:5" hidden="1" outlineLevel="1" x14ac:dyDescent="0.3">
      <c r="D495" s="80">
        <v>45418</v>
      </c>
      <c r="E495" s="81">
        <v>33037.730000000003</v>
      </c>
    </row>
    <row r="496" spans="4:5" hidden="1" outlineLevel="1" x14ac:dyDescent="0.3">
      <c r="D496" s="80">
        <v>45415</v>
      </c>
      <c r="E496" s="81">
        <v>33086.51</v>
      </c>
    </row>
    <row r="497" spans="4:5" hidden="1" outlineLevel="1" x14ac:dyDescent="0.3">
      <c r="D497" s="80">
        <v>45414</v>
      </c>
      <c r="E497" s="81">
        <v>33340.199999999997</v>
      </c>
    </row>
    <row r="498" spans="4:5" hidden="1" outlineLevel="1" x14ac:dyDescent="0.3">
      <c r="D498" s="80">
        <v>45412</v>
      </c>
      <c r="E498" s="81">
        <v>33276.410000000003</v>
      </c>
    </row>
    <row r="499" spans="4:5" hidden="1" outlineLevel="1" x14ac:dyDescent="0.3">
      <c r="D499" s="80">
        <v>45408</v>
      </c>
      <c r="E499" s="81">
        <v>33333.120000000003</v>
      </c>
    </row>
    <row r="500" spans="4:5" hidden="1" outlineLevel="1" x14ac:dyDescent="0.3">
      <c r="D500" s="80">
        <v>45407</v>
      </c>
      <c r="E500" s="81">
        <v>33225.64</v>
      </c>
    </row>
    <row r="501" spans="4:5" hidden="1" outlineLevel="1" x14ac:dyDescent="0.3">
      <c r="D501" s="80">
        <v>45406</v>
      </c>
      <c r="E501" s="81">
        <v>32978.370000000003</v>
      </c>
    </row>
    <row r="502" spans="4:5" hidden="1" outlineLevel="1" x14ac:dyDescent="0.3">
      <c r="D502" s="80">
        <v>45405</v>
      </c>
      <c r="E502" s="81">
        <v>32927.730000000003</v>
      </c>
    </row>
    <row r="503" spans="4:5" hidden="1" outlineLevel="1" x14ac:dyDescent="0.3">
      <c r="D503" s="80">
        <v>45404</v>
      </c>
      <c r="E503" s="81">
        <v>32881.22</v>
      </c>
    </row>
    <row r="504" spans="4:5" hidden="1" outlineLevel="1" x14ac:dyDescent="0.3">
      <c r="D504" s="80">
        <v>45401</v>
      </c>
      <c r="E504" s="81">
        <v>32602.42</v>
      </c>
    </row>
    <row r="505" spans="4:5" hidden="1" outlineLevel="1" x14ac:dyDescent="0.3">
      <c r="D505" s="80">
        <v>45400</v>
      </c>
      <c r="E505" s="81">
        <v>32379.9</v>
      </c>
    </row>
    <row r="506" spans="4:5" hidden="1" outlineLevel="1" x14ac:dyDescent="0.3">
      <c r="D506" s="80">
        <v>45398</v>
      </c>
      <c r="E506" s="81">
        <v>32603.74</v>
      </c>
    </row>
    <row r="507" spans="4:5" hidden="1" outlineLevel="1" x14ac:dyDescent="0.3">
      <c r="D507" s="80">
        <v>45397</v>
      </c>
      <c r="E507" s="81">
        <v>32787.15</v>
      </c>
    </row>
    <row r="508" spans="4:5" hidden="1" outlineLevel="1" x14ac:dyDescent="0.3">
      <c r="D508" s="80">
        <v>45394</v>
      </c>
      <c r="E508" s="81">
        <v>33150.589999999997</v>
      </c>
    </row>
    <row r="509" spans="4:5" hidden="1" outlineLevel="1" x14ac:dyDescent="0.3">
      <c r="D509" s="80">
        <v>45392</v>
      </c>
      <c r="E509" s="81">
        <v>33495.65</v>
      </c>
    </row>
    <row r="510" spans="4:5" hidden="1" outlineLevel="1" x14ac:dyDescent="0.3">
      <c r="D510" s="80">
        <v>45391</v>
      </c>
      <c r="E510" s="81">
        <v>33332.19</v>
      </c>
    </row>
    <row r="511" spans="4:5" hidden="1" outlineLevel="1" x14ac:dyDescent="0.3">
      <c r="D511" s="80">
        <v>45390</v>
      </c>
      <c r="E511" s="81">
        <v>33366.870000000003</v>
      </c>
    </row>
    <row r="512" spans="4:5" hidden="1" outlineLevel="1" x14ac:dyDescent="0.3">
      <c r="D512" s="80">
        <v>45387</v>
      </c>
      <c r="E512" s="81">
        <v>33142.19</v>
      </c>
    </row>
    <row r="513" spans="4:5" hidden="1" outlineLevel="1" x14ac:dyDescent="0.3">
      <c r="D513" s="80">
        <v>45386</v>
      </c>
      <c r="E513" s="81">
        <v>33143.589999999997</v>
      </c>
    </row>
    <row r="514" spans="4:5" hidden="1" outlineLevel="1" x14ac:dyDescent="0.3">
      <c r="D514" s="80">
        <v>45385</v>
      </c>
      <c r="E514" s="81">
        <v>33025.82</v>
      </c>
    </row>
    <row r="515" spans="4:5" hidden="1" outlineLevel="1" x14ac:dyDescent="0.3">
      <c r="D515" s="80">
        <v>45384</v>
      </c>
      <c r="E515" s="81">
        <v>33053.33</v>
      </c>
    </row>
    <row r="516" spans="4:5" hidden="1" outlineLevel="1" x14ac:dyDescent="0.3">
      <c r="D516" s="80">
        <v>45383</v>
      </c>
      <c r="E516" s="81">
        <v>33066.129999999997</v>
      </c>
    </row>
    <row r="517" spans="4:5" hidden="1" outlineLevel="1" x14ac:dyDescent="0.3">
      <c r="D517" s="80">
        <v>45379</v>
      </c>
      <c r="E517" s="81">
        <v>32867.230000000003</v>
      </c>
    </row>
    <row r="518" spans="4:5" hidden="1" outlineLevel="1" x14ac:dyDescent="0.3">
      <c r="D518" s="80">
        <v>45378</v>
      </c>
      <c r="E518" s="81">
        <v>32568.01</v>
      </c>
    </row>
    <row r="519" spans="4:5" hidden="1" outlineLevel="1" x14ac:dyDescent="0.3">
      <c r="D519" s="80">
        <v>45377</v>
      </c>
      <c r="E519" s="81">
        <v>32392.94</v>
      </c>
    </row>
    <row r="520" spans="4:5" hidden="1" outlineLevel="1" x14ac:dyDescent="0.3">
      <c r="D520" s="80">
        <v>45373</v>
      </c>
      <c r="E520" s="81">
        <v>32528.43</v>
      </c>
    </row>
    <row r="521" spans="4:5" hidden="1" outlineLevel="1" x14ac:dyDescent="0.3">
      <c r="D521" s="80">
        <v>45372</v>
      </c>
      <c r="E521" s="81">
        <v>32403.599999999999</v>
      </c>
    </row>
    <row r="522" spans="4:5" hidden="1" outlineLevel="1" x14ac:dyDescent="0.3">
      <c r="D522" s="80">
        <v>45371</v>
      </c>
      <c r="E522" s="81">
        <v>32149.17</v>
      </c>
    </row>
    <row r="523" spans="4:5" hidden="1" outlineLevel="1" x14ac:dyDescent="0.3">
      <c r="D523" s="80">
        <v>45370</v>
      </c>
      <c r="E523" s="81">
        <v>32117.3</v>
      </c>
    </row>
    <row r="524" spans="4:5" hidden="1" outlineLevel="1" x14ac:dyDescent="0.3">
      <c r="D524" s="80">
        <v>45369</v>
      </c>
      <c r="E524" s="81">
        <v>32468</v>
      </c>
    </row>
    <row r="525" spans="4:5" hidden="1" outlineLevel="1" x14ac:dyDescent="0.3">
      <c r="D525" s="80">
        <v>45367</v>
      </c>
      <c r="E525" s="81">
        <v>32603.74</v>
      </c>
    </row>
    <row r="526" spans="4:5" hidden="1" outlineLevel="1" x14ac:dyDescent="0.3">
      <c r="D526" s="80">
        <v>45366</v>
      </c>
      <c r="E526" s="81">
        <v>32420.41</v>
      </c>
    </row>
    <row r="527" spans="4:5" hidden="1" outlineLevel="1" x14ac:dyDescent="0.3">
      <c r="D527" s="80">
        <v>45365</v>
      </c>
      <c r="E527" s="81">
        <v>32601.49</v>
      </c>
    </row>
    <row r="528" spans="4:5" hidden="1" outlineLevel="1" x14ac:dyDescent="0.3">
      <c r="D528" s="80">
        <v>45364</v>
      </c>
      <c r="E528" s="81">
        <v>32382.22</v>
      </c>
    </row>
    <row r="529" spans="4:5" hidden="1" outlineLevel="1" x14ac:dyDescent="0.3">
      <c r="D529" s="80">
        <v>45363</v>
      </c>
      <c r="E529" s="81">
        <v>32879.74</v>
      </c>
    </row>
    <row r="530" spans="4:5" hidden="1" outlineLevel="1" x14ac:dyDescent="0.3">
      <c r="D530" s="80">
        <v>45362</v>
      </c>
      <c r="E530" s="81">
        <v>32875.25</v>
      </c>
    </row>
    <row r="531" spans="4:5" hidden="1" outlineLevel="1" x14ac:dyDescent="0.3">
      <c r="D531" s="80">
        <v>45358</v>
      </c>
      <c r="E531" s="81">
        <v>33112.15</v>
      </c>
    </row>
    <row r="532" spans="4:5" hidden="1" outlineLevel="1" x14ac:dyDescent="0.3">
      <c r="D532" s="80">
        <v>45357</v>
      </c>
      <c r="E532" s="81">
        <v>33083.42</v>
      </c>
    </row>
    <row r="533" spans="4:5" hidden="1" outlineLevel="1" x14ac:dyDescent="0.3">
      <c r="D533" s="80">
        <v>45356</v>
      </c>
      <c r="E533" s="81">
        <v>32910.07</v>
      </c>
    </row>
    <row r="534" spans="4:5" hidden="1" outlineLevel="1" x14ac:dyDescent="0.3">
      <c r="D534" s="80">
        <v>45355</v>
      </c>
      <c r="E534" s="81">
        <v>32982.68</v>
      </c>
    </row>
    <row r="535" spans="4:5" hidden="1" outlineLevel="1" x14ac:dyDescent="0.3">
      <c r="D535" s="80">
        <v>45353</v>
      </c>
      <c r="E535" s="81">
        <v>32942.629999999997</v>
      </c>
    </row>
    <row r="536" spans="4:5" hidden="1" outlineLevel="1" x14ac:dyDescent="0.3">
      <c r="D536" s="80">
        <v>45352</v>
      </c>
      <c r="E536" s="81">
        <v>32884.29</v>
      </c>
    </row>
    <row r="537" spans="4:5" hidden="1" outlineLevel="1" x14ac:dyDescent="0.3">
      <c r="D537" s="80">
        <v>45351</v>
      </c>
      <c r="E537" s="81">
        <v>32360.25</v>
      </c>
    </row>
    <row r="538" spans="4:5" hidden="1" outlineLevel="1" x14ac:dyDescent="0.3">
      <c r="D538" s="80">
        <v>45350</v>
      </c>
      <c r="E538" s="81">
        <v>32313.7</v>
      </c>
    </row>
    <row r="539" spans="4:5" hidden="1" outlineLevel="1" x14ac:dyDescent="0.3">
      <c r="D539" s="80">
        <v>45349</v>
      </c>
      <c r="E539" s="81">
        <v>32677.61</v>
      </c>
    </row>
    <row r="540" spans="4:5" hidden="1" outlineLevel="1" x14ac:dyDescent="0.3">
      <c r="D540" s="80">
        <v>45348</v>
      </c>
      <c r="E540" s="81">
        <v>32565.29</v>
      </c>
    </row>
    <row r="541" spans="4:5" hidden="1" outlineLevel="1" x14ac:dyDescent="0.3">
      <c r="D541" s="80">
        <v>45345</v>
      </c>
      <c r="E541" s="81">
        <v>32698.69</v>
      </c>
    </row>
    <row r="542" spans="4:5" hidden="1" outlineLevel="1" x14ac:dyDescent="0.3">
      <c r="D542" s="80">
        <v>45344</v>
      </c>
      <c r="E542" s="81">
        <v>32705.7</v>
      </c>
    </row>
    <row r="543" spans="4:5" hidden="1" outlineLevel="1" x14ac:dyDescent="0.3">
      <c r="D543" s="80">
        <v>45343</v>
      </c>
      <c r="E543" s="81">
        <v>32466.65</v>
      </c>
    </row>
    <row r="544" spans="4:5" hidden="1" outlineLevel="1" x14ac:dyDescent="0.3">
      <c r="D544" s="80">
        <v>45342</v>
      </c>
      <c r="E544" s="81">
        <v>32675.53</v>
      </c>
    </row>
    <row r="545" spans="4:5" hidden="1" outlineLevel="1" x14ac:dyDescent="0.3">
      <c r="D545" s="80">
        <v>45341</v>
      </c>
      <c r="E545" s="81">
        <v>32561.34</v>
      </c>
    </row>
    <row r="546" spans="4:5" hidden="1" outlineLevel="1" x14ac:dyDescent="0.3">
      <c r="D546" s="80">
        <v>45338</v>
      </c>
      <c r="E546" s="81">
        <v>32441.32</v>
      </c>
    </row>
    <row r="547" spans="4:5" hidden="1" outlineLevel="1" x14ac:dyDescent="0.3">
      <c r="D547" s="80">
        <v>45337</v>
      </c>
      <c r="E547" s="81">
        <v>32244.79</v>
      </c>
    </row>
    <row r="548" spans="4:5" hidden="1" outlineLevel="1" x14ac:dyDescent="0.3">
      <c r="D548" s="80">
        <v>45336</v>
      </c>
      <c r="E548" s="81">
        <v>32133.040000000001</v>
      </c>
    </row>
    <row r="549" spans="4:5" hidden="1" outlineLevel="1" x14ac:dyDescent="0.3">
      <c r="D549" s="80">
        <v>45335</v>
      </c>
      <c r="E549" s="81">
        <v>31990.61</v>
      </c>
    </row>
    <row r="550" spans="4:5" hidden="1" outlineLevel="1" x14ac:dyDescent="0.3">
      <c r="D550" s="80">
        <v>45334</v>
      </c>
      <c r="E550" s="81">
        <v>31803.52</v>
      </c>
    </row>
    <row r="551" spans="4:5" hidden="1" outlineLevel="1" x14ac:dyDescent="0.3">
      <c r="D551" s="80">
        <v>45331</v>
      </c>
      <c r="E551" s="81">
        <v>32048.38</v>
      </c>
    </row>
    <row r="552" spans="4:5" hidden="1" outlineLevel="1" x14ac:dyDescent="0.3">
      <c r="D552" s="80">
        <v>45330</v>
      </c>
      <c r="E552" s="81">
        <v>31950.32</v>
      </c>
    </row>
    <row r="553" spans="4:5" hidden="1" outlineLevel="1" x14ac:dyDescent="0.3">
      <c r="D553" s="80">
        <v>45329</v>
      </c>
      <c r="E553" s="81">
        <v>32244.22</v>
      </c>
    </row>
    <row r="554" spans="4:5" hidden="1" outlineLevel="1" x14ac:dyDescent="0.3">
      <c r="D554" s="80">
        <v>45328</v>
      </c>
      <c r="E554" s="81">
        <v>32242.59</v>
      </c>
    </row>
    <row r="555" spans="4:5" hidden="1" outlineLevel="1" x14ac:dyDescent="0.3">
      <c r="D555" s="80">
        <v>45327</v>
      </c>
      <c r="E555" s="81">
        <v>32007.18</v>
      </c>
    </row>
    <row r="556" spans="4:5" hidden="1" outlineLevel="1" x14ac:dyDescent="0.3">
      <c r="D556" s="80">
        <v>45324</v>
      </c>
      <c r="E556" s="81">
        <v>32127.9</v>
      </c>
    </row>
    <row r="557" spans="4:5" hidden="1" outlineLevel="1" x14ac:dyDescent="0.3">
      <c r="D557" s="80">
        <v>45323</v>
      </c>
      <c r="E557" s="81">
        <v>31898.06</v>
      </c>
    </row>
    <row r="558" spans="4:5" hidden="1" outlineLevel="1" x14ac:dyDescent="0.3">
      <c r="D558" s="80">
        <v>45322</v>
      </c>
      <c r="E558" s="81">
        <v>31939.59</v>
      </c>
    </row>
    <row r="559" spans="4:5" hidden="1" outlineLevel="1" x14ac:dyDescent="0.3">
      <c r="D559" s="80">
        <v>45321</v>
      </c>
      <c r="E559" s="81">
        <v>31640.240000000002</v>
      </c>
    </row>
    <row r="560" spans="4:5" hidden="1" outlineLevel="1" x14ac:dyDescent="0.3">
      <c r="D560" s="80">
        <v>45320</v>
      </c>
      <c r="E560" s="81">
        <v>31957.05</v>
      </c>
    </row>
    <row r="561" spans="4:5" hidden="1" outlineLevel="1" x14ac:dyDescent="0.3">
      <c r="D561" s="80">
        <v>45316</v>
      </c>
      <c r="E561" s="81">
        <v>31391.07</v>
      </c>
    </row>
    <row r="562" spans="4:5" hidden="1" outlineLevel="1" x14ac:dyDescent="0.3">
      <c r="D562" s="80">
        <v>45315</v>
      </c>
      <c r="E562" s="81">
        <v>31540.07</v>
      </c>
    </row>
    <row r="563" spans="4:5" hidden="1" outlineLevel="1" x14ac:dyDescent="0.3">
      <c r="D563" s="80">
        <v>45314</v>
      </c>
      <c r="E563" s="81">
        <v>31223.3</v>
      </c>
    </row>
    <row r="564" spans="4:5" hidden="1" outlineLevel="1" x14ac:dyDescent="0.3">
      <c r="D564" s="80">
        <v>45311</v>
      </c>
      <c r="E564" s="81">
        <v>31712.86</v>
      </c>
    </row>
    <row r="565" spans="4:5" hidden="1" outlineLevel="1" x14ac:dyDescent="0.3">
      <c r="D565" s="80">
        <v>45310</v>
      </c>
      <c r="E565" s="81">
        <v>31787.24</v>
      </c>
    </row>
    <row r="566" spans="4:5" hidden="1" outlineLevel="1" x14ac:dyDescent="0.3">
      <c r="D566" s="80">
        <v>45309</v>
      </c>
      <c r="E566" s="81">
        <v>31538.400000000001</v>
      </c>
    </row>
    <row r="567" spans="4:5" hidden="1" outlineLevel="1" x14ac:dyDescent="0.3">
      <c r="D567" s="80">
        <v>45308</v>
      </c>
      <c r="E567" s="81">
        <v>31699.64</v>
      </c>
    </row>
    <row r="568" spans="4:5" hidden="1" outlineLevel="1" x14ac:dyDescent="0.3">
      <c r="D568" s="80">
        <v>45307</v>
      </c>
      <c r="E568" s="81">
        <v>32376.1</v>
      </c>
    </row>
    <row r="569" spans="4:5" hidden="1" outlineLevel="1" x14ac:dyDescent="0.3">
      <c r="D569" s="80">
        <v>45306</v>
      </c>
      <c r="E569" s="81">
        <v>32471.8</v>
      </c>
    </row>
    <row r="570" spans="4:5" hidden="1" outlineLevel="1" x14ac:dyDescent="0.3">
      <c r="D570" s="80">
        <v>45303</v>
      </c>
      <c r="E570" s="81">
        <v>32173.66</v>
      </c>
    </row>
    <row r="571" spans="4:5" hidden="1" outlineLevel="1" x14ac:dyDescent="0.3">
      <c r="D571" s="80">
        <v>45302</v>
      </c>
      <c r="E571" s="81">
        <v>31810.18</v>
      </c>
    </row>
    <row r="572" spans="4:5" hidden="1" outlineLevel="1" x14ac:dyDescent="0.3">
      <c r="D572" s="80">
        <v>45301</v>
      </c>
      <c r="E572" s="81">
        <v>31768.3</v>
      </c>
    </row>
    <row r="573" spans="4:5" hidden="1" outlineLevel="1" x14ac:dyDescent="0.3">
      <c r="D573" s="80">
        <v>45300</v>
      </c>
      <c r="E573" s="81">
        <v>31659.81</v>
      </c>
    </row>
    <row r="574" spans="4:5" hidden="1" outlineLevel="1" x14ac:dyDescent="0.3">
      <c r="D574" s="80">
        <v>45299</v>
      </c>
      <c r="E574" s="81">
        <v>31613.01</v>
      </c>
    </row>
    <row r="575" spans="4:5" hidden="1" outlineLevel="1" x14ac:dyDescent="0.3">
      <c r="D575" s="80">
        <v>45296</v>
      </c>
      <c r="E575" s="81">
        <v>31903.69</v>
      </c>
    </row>
    <row r="576" spans="4:5" hidden="1" outlineLevel="1" x14ac:dyDescent="0.3">
      <c r="D576" s="80">
        <v>45295</v>
      </c>
      <c r="E576" s="81">
        <v>31826.97</v>
      </c>
    </row>
    <row r="577" spans="4:5" hidden="1" outlineLevel="1" x14ac:dyDescent="0.3">
      <c r="D577" s="80">
        <v>45294</v>
      </c>
      <c r="E577" s="81">
        <v>31619.360000000001</v>
      </c>
    </row>
    <row r="578" spans="4:5" hidden="1" outlineLevel="1" x14ac:dyDescent="0.3">
      <c r="D578" s="80">
        <v>45293</v>
      </c>
      <c r="E578" s="81">
        <v>31837.56</v>
      </c>
    </row>
    <row r="579" spans="4:5" hidden="1" outlineLevel="1" x14ac:dyDescent="0.3">
      <c r="D579" s="80">
        <v>45292</v>
      </c>
      <c r="E579" s="81">
        <v>31949.360000000001</v>
      </c>
    </row>
    <row r="580" spans="4:5" hidden="1" outlineLevel="1" x14ac:dyDescent="0.3">
      <c r="D580" s="80">
        <v>45289</v>
      </c>
      <c r="E580" s="81">
        <v>31933.93</v>
      </c>
    </row>
    <row r="581" spans="4:5" hidden="1" outlineLevel="1" x14ac:dyDescent="0.3">
      <c r="D581" s="80">
        <v>45288</v>
      </c>
      <c r="E581" s="81">
        <v>32003.47</v>
      </c>
    </row>
    <row r="582" spans="4:5" hidden="1" outlineLevel="1" x14ac:dyDescent="0.3">
      <c r="D582" s="80">
        <v>45287</v>
      </c>
      <c r="E582" s="81">
        <v>31821.31</v>
      </c>
    </row>
    <row r="583" spans="4:5" hidden="1" outlineLevel="1" x14ac:dyDescent="0.3">
      <c r="D583" s="80">
        <v>45286</v>
      </c>
      <c r="E583" s="81">
        <v>31507.69</v>
      </c>
    </row>
    <row r="584" spans="4:5" hidden="1" outlineLevel="1" x14ac:dyDescent="0.3">
      <c r="D584" s="80">
        <v>45282</v>
      </c>
      <c r="E584" s="81">
        <v>31372.6</v>
      </c>
    </row>
    <row r="585" spans="4:5" hidden="1" outlineLevel="1" x14ac:dyDescent="0.3">
      <c r="D585" s="80">
        <v>45281</v>
      </c>
      <c r="E585" s="81">
        <v>31233.93</v>
      </c>
    </row>
    <row r="586" spans="4:5" hidden="1" outlineLevel="1" x14ac:dyDescent="0.3">
      <c r="D586" s="80">
        <v>45280</v>
      </c>
      <c r="E586" s="81">
        <v>31079.759999999998</v>
      </c>
    </row>
    <row r="587" spans="4:5" hidden="1" outlineLevel="1" x14ac:dyDescent="0.3">
      <c r="D587" s="80">
        <v>45279</v>
      </c>
      <c r="E587" s="81">
        <v>31525</v>
      </c>
    </row>
    <row r="588" spans="4:5" hidden="1" outlineLevel="1" x14ac:dyDescent="0.3">
      <c r="D588" s="80">
        <v>45278</v>
      </c>
      <c r="E588" s="81">
        <v>31474.35</v>
      </c>
    </row>
    <row r="589" spans="4:5" hidden="1" outlineLevel="1" x14ac:dyDescent="0.3">
      <c r="D589" s="80">
        <v>45275</v>
      </c>
      <c r="E589" s="81">
        <v>31530.19</v>
      </c>
    </row>
    <row r="590" spans="4:5" hidden="1" outlineLevel="1" x14ac:dyDescent="0.3">
      <c r="D590" s="80">
        <v>45274</v>
      </c>
      <c r="E590" s="81">
        <v>31127.599999999999</v>
      </c>
    </row>
    <row r="591" spans="4:5" hidden="1" outlineLevel="1" x14ac:dyDescent="0.3">
      <c r="D591" s="80">
        <v>45273</v>
      </c>
      <c r="E591" s="81">
        <v>30750.95</v>
      </c>
    </row>
    <row r="592" spans="4:5" hidden="1" outlineLevel="1" x14ac:dyDescent="0.3">
      <c r="D592" s="80">
        <v>45272</v>
      </c>
      <c r="E592" s="81">
        <v>30721.59</v>
      </c>
    </row>
    <row r="593" spans="4:5" hidden="1" outlineLevel="1" x14ac:dyDescent="0.3">
      <c r="D593" s="80">
        <v>45271</v>
      </c>
      <c r="E593" s="81">
        <v>30854.9</v>
      </c>
    </row>
    <row r="594" spans="4:5" hidden="1" outlineLevel="1" x14ac:dyDescent="0.3">
      <c r="D594" s="80">
        <v>45268</v>
      </c>
      <c r="E594" s="81">
        <v>30814.15</v>
      </c>
    </row>
    <row r="595" spans="4:5" hidden="1" outlineLevel="1" x14ac:dyDescent="0.3">
      <c r="D595" s="80">
        <v>45267</v>
      </c>
      <c r="E595" s="81">
        <v>30713.86</v>
      </c>
    </row>
    <row r="596" spans="4:5" hidden="1" outlineLevel="1" x14ac:dyDescent="0.3">
      <c r="D596" s="80">
        <v>45266</v>
      </c>
      <c r="E596" s="81">
        <v>30767.599999999999</v>
      </c>
    </row>
    <row r="597" spans="4:5" hidden="1" outlineLevel="1" x14ac:dyDescent="0.3">
      <c r="D597" s="80">
        <v>45265</v>
      </c>
      <c r="E597" s="81">
        <v>30646.19</v>
      </c>
    </row>
    <row r="598" spans="4:5" hidden="1" outlineLevel="1" x14ac:dyDescent="0.3">
      <c r="D598" s="80">
        <v>45264</v>
      </c>
      <c r="E598" s="81">
        <v>30398.91</v>
      </c>
    </row>
    <row r="599" spans="4:5" hidden="1" outlineLevel="1" x14ac:dyDescent="0.3">
      <c r="D599" s="80">
        <v>45261</v>
      </c>
      <c r="E599" s="81">
        <v>29783.34</v>
      </c>
    </row>
    <row r="600" spans="4:5" hidden="1" outlineLevel="1" x14ac:dyDescent="0.3">
      <c r="D600" s="80">
        <v>45260</v>
      </c>
      <c r="E600" s="81">
        <v>29585.360000000001</v>
      </c>
    </row>
    <row r="601" spans="4:5" hidden="1" outlineLevel="1" x14ac:dyDescent="0.3">
      <c r="D601" s="80">
        <v>45259</v>
      </c>
      <c r="E601" s="81">
        <v>29531.63</v>
      </c>
    </row>
    <row r="602" spans="4:5" hidden="1" outlineLevel="1" x14ac:dyDescent="0.3">
      <c r="D602" s="80">
        <v>45258</v>
      </c>
      <c r="E602" s="81">
        <v>29227.61</v>
      </c>
    </row>
    <row r="603" spans="4:5" hidden="1" outlineLevel="1" x14ac:dyDescent="0.3">
      <c r="D603" s="80">
        <v>45254</v>
      </c>
      <c r="E603" s="81">
        <v>29087.95</v>
      </c>
    </row>
    <row r="604" spans="4:5" hidden="1" outlineLevel="1" x14ac:dyDescent="0.3">
      <c r="D604" s="80">
        <v>45253</v>
      </c>
      <c r="E604" s="81">
        <v>29098.74</v>
      </c>
    </row>
    <row r="605" spans="4:5" hidden="1" outlineLevel="1" x14ac:dyDescent="0.3">
      <c r="D605" s="80">
        <v>45252</v>
      </c>
      <c r="E605" s="81">
        <v>29113.18</v>
      </c>
    </row>
    <row r="606" spans="4:5" hidden="1" outlineLevel="1" x14ac:dyDescent="0.3">
      <c r="D606" s="80">
        <v>45251</v>
      </c>
      <c r="E606" s="81">
        <v>29071.360000000001</v>
      </c>
    </row>
    <row r="607" spans="4:5" hidden="1" outlineLevel="1" x14ac:dyDescent="0.3">
      <c r="D607" s="80">
        <v>45250</v>
      </c>
      <c r="E607" s="81">
        <v>28939.98</v>
      </c>
    </row>
    <row r="608" spans="4:5" hidden="1" outlineLevel="1" x14ac:dyDescent="0.3">
      <c r="D608" s="80">
        <v>45247</v>
      </c>
      <c r="E608" s="81">
        <v>28995.52</v>
      </c>
    </row>
    <row r="609" spans="4:5" hidden="1" outlineLevel="1" x14ac:dyDescent="0.3">
      <c r="D609" s="80">
        <v>45246</v>
      </c>
      <c r="E609" s="81">
        <v>29044.66</v>
      </c>
    </row>
    <row r="610" spans="4:5" hidden="1" outlineLevel="1" x14ac:dyDescent="0.3">
      <c r="D610" s="80">
        <v>45245</v>
      </c>
      <c r="E610" s="81">
        <v>28906.7</v>
      </c>
    </row>
    <row r="611" spans="4:5" hidden="1" outlineLevel="1" x14ac:dyDescent="0.3">
      <c r="D611" s="80">
        <v>45243</v>
      </c>
      <c r="E611" s="81">
        <v>28565.95</v>
      </c>
    </row>
    <row r="612" spans="4:5" hidden="1" outlineLevel="1" x14ac:dyDescent="0.3">
      <c r="D612" s="80">
        <v>45242</v>
      </c>
      <c r="E612" s="81">
        <v>28686.47</v>
      </c>
    </row>
    <row r="613" spans="4:5" hidden="1" outlineLevel="1" x14ac:dyDescent="0.3">
      <c r="D613" s="80">
        <v>45240</v>
      </c>
      <c r="E613" s="81">
        <v>28539.24</v>
      </c>
    </row>
    <row r="614" spans="4:5" hidden="1" outlineLevel="1" x14ac:dyDescent="0.3">
      <c r="D614" s="80">
        <v>45239</v>
      </c>
      <c r="E614" s="81">
        <v>28495.08</v>
      </c>
    </row>
    <row r="615" spans="4:5" hidden="1" outlineLevel="1" x14ac:dyDescent="0.3">
      <c r="D615" s="80">
        <v>45238</v>
      </c>
      <c r="E615" s="81">
        <v>28565.86</v>
      </c>
    </row>
    <row r="616" spans="4:5" hidden="1" outlineLevel="1" x14ac:dyDescent="0.3">
      <c r="D616" s="80">
        <v>45237</v>
      </c>
      <c r="E616" s="81">
        <v>28511.81</v>
      </c>
    </row>
    <row r="617" spans="4:5" hidden="1" outlineLevel="1" x14ac:dyDescent="0.3">
      <c r="D617" s="80">
        <v>45236</v>
      </c>
      <c r="E617" s="81">
        <v>28519.25</v>
      </c>
    </row>
    <row r="618" spans="4:5" hidden="1" outlineLevel="1" x14ac:dyDescent="0.3">
      <c r="D618" s="80">
        <v>45233</v>
      </c>
      <c r="E618" s="81">
        <v>28253.09</v>
      </c>
    </row>
    <row r="619" spans="4:5" hidden="1" outlineLevel="1" x14ac:dyDescent="0.3">
      <c r="D619" s="80">
        <v>45232</v>
      </c>
      <c r="E619" s="81">
        <v>28105.75</v>
      </c>
    </row>
    <row r="620" spans="4:5" hidden="1" outlineLevel="1" x14ac:dyDescent="0.3">
      <c r="D620" s="80">
        <v>45231</v>
      </c>
      <c r="E620" s="81">
        <v>27886.240000000002</v>
      </c>
    </row>
    <row r="621" spans="4:5" hidden="1" outlineLevel="1" x14ac:dyDescent="0.3">
      <c r="D621" s="80">
        <v>45230</v>
      </c>
      <c r="E621" s="81">
        <v>28017.360000000001</v>
      </c>
    </row>
    <row r="622" spans="4:5" hidden="1" outlineLevel="1" x14ac:dyDescent="0.3">
      <c r="D622" s="80">
        <v>45229</v>
      </c>
      <c r="E622" s="81">
        <v>28107.42</v>
      </c>
    </row>
    <row r="623" spans="4:5" hidden="1" outlineLevel="1" x14ac:dyDescent="0.3">
      <c r="D623" s="80">
        <v>45226</v>
      </c>
      <c r="E623" s="81">
        <v>27969.919999999998</v>
      </c>
    </row>
    <row r="624" spans="4:5" hidden="1" outlineLevel="1" x14ac:dyDescent="0.3">
      <c r="D624" s="80">
        <v>45225</v>
      </c>
      <c r="E624" s="81">
        <v>27690.29</v>
      </c>
    </row>
    <row r="625" spans="4:5" hidden="1" outlineLevel="1" x14ac:dyDescent="0.3">
      <c r="D625" s="80">
        <v>45224</v>
      </c>
      <c r="E625" s="81">
        <v>28079.26</v>
      </c>
    </row>
    <row r="626" spans="4:5" hidden="1" outlineLevel="1" x14ac:dyDescent="0.3">
      <c r="D626" s="80">
        <v>45222</v>
      </c>
      <c r="E626" s="81">
        <v>28291.96</v>
      </c>
    </row>
    <row r="627" spans="4:5" hidden="1" outlineLevel="1" x14ac:dyDescent="0.3">
      <c r="D627" s="80">
        <v>45219</v>
      </c>
      <c r="E627" s="81">
        <v>28674.78</v>
      </c>
    </row>
    <row r="628" spans="4:5" hidden="1" outlineLevel="1" x14ac:dyDescent="0.3">
      <c r="D628" s="80">
        <v>45218</v>
      </c>
      <c r="E628" s="81">
        <v>28790.880000000001</v>
      </c>
    </row>
    <row r="629" spans="4:5" hidden="1" outlineLevel="1" x14ac:dyDescent="0.3">
      <c r="D629" s="80">
        <v>45217</v>
      </c>
      <c r="E629" s="81">
        <v>28855.87</v>
      </c>
    </row>
    <row r="630" spans="4:5" hidden="1" outlineLevel="1" x14ac:dyDescent="0.3">
      <c r="D630" s="80">
        <v>45216</v>
      </c>
      <c r="E630" s="81">
        <v>29061.8</v>
      </c>
    </row>
    <row r="631" spans="4:5" hidden="1" outlineLevel="1" x14ac:dyDescent="0.3">
      <c r="D631" s="80">
        <v>45215</v>
      </c>
      <c r="E631" s="81">
        <v>28944.87</v>
      </c>
    </row>
    <row r="632" spans="4:5" hidden="1" outlineLevel="1" x14ac:dyDescent="0.3">
      <c r="D632" s="80">
        <v>45212</v>
      </c>
      <c r="E632" s="81">
        <v>28973.14</v>
      </c>
    </row>
    <row r="633" spans="4:5" hidden="1" outlineLevel="1" x14ac:dyDescent="0.3">
      <c r="D633" s="80">
        <v>45211</v>
      </c>
      <c r="E633" s="81">
        <v>29036.17</v>
      </c>
    </row>
    <row r="634" spans="4:5" hidden="1" outlineLevel="1" x14ac:dyDescent="0.3">
      <c r="D634" s="80">
        <v>45210</v>
      </c>
      <c r="E634" s="81">
        <v>29061.61</v>
      </c>
    </row>
    <row r="635" spans="4:5" hidden="1" outlineLevel="1" x14ac:dyDescent="0.3">
      <c r="D635" s="80">
        <v>45209</v>
      </c>
      <c r="E635" s="81">
        <v>28883.35</v>
      </c>
    </row>
    <row r="636" spans="4:5" hidden="1" outlineLevel="1" x14ac:dyDescent="0.3">
      <c r="D636" s="80">
        <v>45208</v>
      </c>
      <c r="E636" s="81">
        <v>28622.98</v>
      </c>
    </row>
    <row r="637" spans="4:5" hidden="1" outlineLevel="1" x14ac:dyDescent="0.3">
      <c r="D637" s="80">
        <v>45205</v>
      </c>
      <c r="E637" s="81">
        <v>28830.080000000002</v>
      </c>
    </row>
    <row r="638" spans="4:5" hidden="1" outlineLevel="1" x14ac:dyDescent="0.3">
      <c r="D638" s="80">
        <v>45204</v>
      </c>
      <c r="E638" s="81">
        <v>28671.97</v>
      </c>
    </row>
    <row r="639" spans="4:5" hidden="1" outlineLevel="1" x14ac:dyDescent="0.3">
      <c r="D639" s="80">
        <v>45203</v>
      </c>
      <c r="E639" s="81">
        <v>28511.13</v>
      </c>
    </row>
    <row r="640" spans="4:5" hidden="1" outlineLevel="1" x14ac:dyDescent="0.3">
      <c r="D640" s="80">
        <v>45202</v>
      </c>
      <c r="E640" s="81">
        <v>28647.040000000001</v>
      </c>
    </row>
    <row r="641" spans="4:5" hidden="1" outlineLevel="1" x14ac:dyDescent="0.3">
      <c r="D641" s="80">
        <v>45198</v>
      </c>
      <c r="E641" s="81">
        <v>28807.77</v>
      </c>
    </row>
    <row r="642" spans="4:5" hidden="1" outlineLevel="1" x14ac:dyDescent="0.3">
      <c r="D642" s="80">
        <v>45197</v>
      </c>
      <c r="E642" s="81">
        <v>28639.439999999999</v>
      </c>
    </row>
    <row r="643" spans="4:5" hidden="1" outlineLevel="1" x14ac:dyDescent="0.3">
      <c r="D643" s="80">
        <v>45196</v>
      </c>
      <c r="E643" s="81">
        <v>28922.43</v>
      </c>
    </row>
    <row r="644" spans="4:5" hidden="1" outlineLevel="1" x14ac:dyDescent="0.3">
      <c r="D644" s="80">
        <v>45195</v>
      </c>
      <c r="E644" s="81">
        <v>28846.47</v>
      </c>
    </row>
    <row r="645" spans="4:5" hidden="1" outlineLevel="1" x14ac:dyDescent="0.3">
      <c r="D645" s="80">
        <v>45194</v>
      </c>
      <c r="E645" s="81">
        <v>28860.9</v>
      </c>
    </row>
    <row r="646" spans="4:5" hidden="1" outlineLevel="1" x14ac:dyDescent="0.3">
      <c r="D646" s="80">
        <v>45191</v>
      </c>
      <c r="E646" s="81">
        <v>28860.46</v>
      </c>
    </row>
    <row r="647" spans="4:5" hidden="1" outlineLevel="1" x14ac:dyDescent="0.3">
      <c r="D647" s="80">
        <v>45190</v>
      </c>
      <c r="E647" s="81">
        <v>28960.36</v>
      </c>
    </row>
    <row r="648" spans="4:5" hidden="1" outlineLevel="1" x14ac:dyDescent="0.3">
      <c r="D648" s="80">
        <v>45189</v>
      </c>
      <c r="E648" s="81">
        <v>29193.69</v>
      </c>
    </row>
    <row r="649" spans="4:5" hidden="1" outlineLevel="1" x14ac:dyDescent="0.3">
      <c r="D649" s="80">
        <v>45187</v>
      </c>
      <c r="E649" s="81">
        <v>29533.91</v>
      </c>
    </row>
    <row r="650" spans="4:5" hidden="1" outlineLevel="1" x14ac:dyDescent="0.3">
      <c r="D650" s="80">
        <v>45184</v>
      </c>
      <c r="E650" s="81">
        <v>29620.53</v>
      </c>
    </row>
    <row r="651" spans="4:5" hidden="1" outlineLevel="1" x14ac:dyDescent="0.3">
      <c r="D651" s="80">
        <v>45183</v>
      </c>
      <c r="E651" s="81">
        <v>29489.61</v>
      </c>
    </row>
    <row r="652" spans="4:5" hidden="1" outlineLevel="1" x14ac:dyDescent="0.3">
      <c r="D652" s="80">
        <v>45182</v>
      </c>
      <c r="E652" s="81">
        <v>29441.040000000001</v>
      </c>
    </row>
    <row r="653" spans="4:5" hidden="1" outlineLevel="1" x14ac:dyDescent="0.3">
      <c r="D653" s="80">
        <v>45181</v>
      </c>
      <c r="E653" s="81">
        <v>29328.37</v>
      </c>
    </row>
    <row r="654" spans="4:5" hidden="1" outlineLevel="1" x14ac:dyDescent="0.3">
      <c r="D654" s="80">
        <v>45180</v>
      </c>
      <c r="E654" s="81">
        <v>29333</v>
      </c>
    </row>
    <row r="655" spans="4:5" hidden="1" outlineLevel="1" x14ac:dyDescent="0.3">
      <c r="D655" s="80">
        <v>45177</v>
      </c>
      <c r="E655" s="81">
        <v>29074.22</v>
      </c>
    </row>
    <row r="656" spans="4:5" hidden="1" outlineLevel="1" x14ac:dyDescent="0.3">
      <c r="D656" s="80">
        <v>45176</v>
      </c>
      <c r="E656" s="81">
        <v>28937.96</v>
      </c>
    </row>
    <row r="657" spans="4:5" hidden="1" outlineLevel="1" x14ac:dyDescent="0.3">
      <c r="D657" s="80">
        <v>45175</v>
      </c>
      <c r="E657" s="81">
        <v>28767.78</v>
      </c>
    </row>
    <row r="658" spans="4:5" hidden="1" outlineLevel="1" x14ac:dyDescent="0.3">
      <c r="D658" s="80">
        <v>45174</v>
      </c>
      <c r="E658" s="81">
        <v>28714.78</v>
      </c>
    </row>
    <row r="659" spans="4:5" hidden="1" outlineLevel="1" x14ac:dyDescent="0.3">
      <c r="D659" s="80">
        <v>45173</v>
      </c>
      <c r="E659" s="81">
        <v>28647.16</v>
      </c>
    </row>
    <row r="660" spans="4:5" hidden="1" outlineLevel="1" x14ac:dyDescent="0.3">
      <c r="D660" s="80">
        <v>45170</v>
      </c>
      <c r="E660" s="81">
        <v>28509.94</v>
      </c>
    </row>
    <row r="661" spans="4:5" hidden="1" outlineLevel="1" x14ac:dyDescent="0.3">
      <c r="D661" s="80">
        <v>45169</v>
      </c>
      <c r="E661" s="81">
        <v>28243.74</v>
      </c>
    </row>
    <row r="662" spans="4:5" hidden="1" outlineLevel="1" x14ac:dyDescent="0.3">
      <c r="D662" s="80">
        <v>45168</v>
      </c>
      <c r="E662" s="81">
        <v>28381.13</v>
      </c>
    </row>
    <row r="663" spans="4:5" hidden="1" outlineLevel="1" x14ac:dyDescent="0.3">
      <c r="D663" s="80">
        <v>45167</v>
      </c>
      <c r="E663" s="81">
        <v>28374.03</v>
      </c>
    </row>
    <row r="664" spans="4:5" hidden="1" outlineLevel="1" x14ac:dyDescent="0.3">
      <c r="D664" s="80">
        <v>45166</v>
      </c>
      <c r="E664" s="81">
        <v>28320.400000000001</v>
      </c>
    </row>
    <row r="665" spans="4:5" hidden="1" outlineLevel="1" x14ac:dyDescent="0.3">
      <c r="D665" s="80">
        <v>45163</v>
      </c>
      <c r="E665" s="81">
        <v>28261.32</v>
      </c>
    </row>
    <row r="666" spans="4:5" hidden="1" outlineLevel="1" x14ac:dyDescent="0.3">
      <c r="D666" s="80">
        <v>45162</v>
      </c>
      <c r="E666" s="81">
        <v>28438.68</v>
      </c>
    </row>
    <row r="667" spans="4:5" hidden="1" outlineLevel="1" x14ac:dyDescent="0.3">
      <c r="D667" s="80">
        <v>45161</v>
      </c>
      <c r="E667" s="81">
        <v>28522.76</v>
      </c>
    </row>
    <row r="668" spans="4:5" hidden="1" outlineLevel="1" x14ac:dyDescent="0.3">
      <c r="D668" s="80">
        <v>45160</v>
      </c>
      <c r="E668" s="81">
        <v>28453.01</v>
      </c>
    </row>
    <row r="669" spans="4:5" hidden="1" outlineLevel="1" x14ac:dyDescent="0.3">
      <c r="D669" s="80">
        <v>45159</v>
      </c>
      <c r="E669" s="81">
        <v>28448.83</v>
      </c>
    </row>
    <row r="670" spans="4:5" hidden="1" outlineLevel="1" x14ac:dyDescent="0.3">
      <c r="D670" s="80">
        <v>45156</v>
      </c>
      <c r="E670" s="81">
        <v>28316.31</v>
      </c>
    </row>
    <row r="671" spans="4:5" hidden="1" outlineLevel="1" x14ac:dyDescent="0.3">
      <c r="D671" s="80">
        <v>45155</v>
      </c>
      <c r="E671" s="81">
        <v>28393.16</v>
      </c>
    </row>
    <row r="672" spans="4:5" hidden="1" outlineLevel="1" x14ac:dyDescent="0.3">
      <c r="D672" s="80">
        <v>45154</v>
      </c>
      <c r="E672" s="81">
        <v>28539.38</v>
      </c>
    </row>
    <row r="673" spans="4:5" hidden="1" outlineLevel="1" x14ac:dyDescent="0.3">
      <c r="D673" s="80">
        <v>45152</v>
      </c>
      <c r="E673" s="81">
        <v>28494.78</v>
      </c>
    </row>
    <row r="674" spans="4:5" hidden="1" outlineLevel="1" x14ac:dyDescent="0.3">
      <c r="D674" s="80">
        <v>45149</v>
      </c>
      <c r="E674" s="81">
        <v>28482.45</v>
      </c>
    </row>
    <row r="675" spans="4:5" hidden="1" outlineLevel="1" x14ac:dyDescent="0.3">
      <c r="D675" s="80">
        <v>45148</v>
      </c>
      <c r="E675" s="81">
        <v>28638.92</v>
      </c>
    </row>
    <row r="676" spans="4:5" hidden="1" outlineLevel="1" x14ac:dyDescent="0.3">
      <c r="D676" s="80">
        <v>45147</v>
      </c>
      <c r="E676" s="81">
        <v>28769.97</v>
      </c>
    </row>
    <row r="677" spans="4:5" hidden="1" outlineLevel="1" x14ac:dyDescent="0.3">
      <c r="D677" s="80">
        <v>45146</v>
      </c>
      <c r="E677" s="81">
        <v>28661.08</v>
      </c>
    </row>
    <row r="678" spans="4:5" hidden="1" outlineLevel="1" x14ac:dyDescent="0.3">
      <c r="D678" s="80">
        <v>45145</v>
      </c>
      <c r="E678" s="81">
        <v>28699.8</v>
      </c>
    </row>
    <row r="679" spans="4:5" hidden="1" outlineLevel="1" x14ac:dyDescent="0.3">
      <c r="D679" s="80">
        <v>45142</v>
      </c>
      <c r="E679" s="81">
        <v>28582.25</v>
      </c>
    </row>
    <row r="680" spans="4:5" hidden="1" outlineLevel="1" x14ac:dyDescent="0.3">
      <c r="D680" s="80">
        <v>45141</v>
      </c>
      <c r="E680" s="81">
        <v>28383.279999999999</v>
      </c>
    </row>
    <row r="681" spans="4:5" hidden="1" outlineLevel="1" x14ac:dyDescent="0.3">
      <c r="D681" s="80">
        <v>45140</v>
      </c>
      <c r="E681" s="81">
        <v>28589.81</v>
      </c>
    </row>
    <row r="682" spans="4:5" hidden="1" outlineLevel="1" x14ac:dyDescent="0.3">
      <c r="D682" s="80">
        <v>45139</v>
      </c>
      <c r="E682" s="81">
        <v>28880.78</v>
      </c>
    </row>
    <row r="683" spans="4:5" hidden="1" outlineLevel="1" x14ac:dyDescent="0.3">
      <c r="D683" s="80">
        <v>45138</v>
      </c>
      <c r="E683" s="81">
        <v>28910.43</v>
      </c>
    </row>
    <row r="684" spans="4:5" hidden="1" outlineLevel="1" x14ac:dyDescent="0.3">
      <c r="D684" s="80">
        <v>45135</v>
      </c>
      <c r="E684" s="81">
        <v>28752.69</v>
      </c>
    </row>
    <row r="685" spans="4:5" hidden="1" outlineLevel="1" x14ac:dyDescent="0.3">
      <c r="D685" s="80">
        <v>45134</v>
      </c>
      <c r="E685" s="81">
        <v>28769.02</v>
      </c>
    </row>
    <row r="686" spans="4:5" hidden="1" outlineLevel="1" x14ac:dyDescent="0.3">
      <c r="D686" s="80">
        <v>45133</v>
      </c>
      <c r="E686" s="81">
        <v>28939.3</v>
      </c>
    </row>
    <row r="687" spans="4:5" hidden="1" outlineLevel="1" x14ac:dyDescent="0.3">
      <c r="D687" s="80">
        <v>45132</v>
      </c>
      <c r="E687" s="81">
        <v>28796.35</v>
      </c>
    </row>
    <row r="688" spans="4:5" hidden="1" outlineLevel="1" x14ac:dyDescent="0.3">
      <c r="D688" s="80">
        <v>45131</v>
      </c>
      <c r="E688" s="81">
        <v>28784.26</v>
      </c>
    </row>
    <row r="689" spans="4:5" hidden="1" outlineLevel="1" x14ac:dyDescent="0.3">
      <c r="D689" s="80">
        <v>45128</v>
      </c>
      <c r="E689" s="81">
        <v>28890.53</v>
      </c>
    </row>
    <row r="690" spans="4:5" hidden="1" outlineLevel="1" x14ac:dyDescent="0.3">
      <c r="D690" s="80">
        <v>45127</v>
      </c>
      <c r="E690" s="81">
        <v>29231.71</v>
      </c>
    </row>
    <row r="691" spans="4:5" hidden="1" outlineLevel="1" x14ac:dyDescent="0.3">
      <c r="D691" s="80">
        <v>45126</v>
      </c>
      <c r="E691" s="81">
        <v>29011.55</v>
      </c>
    </row>
    <row r="692" spans="4:5" hidden="1" outlineLevel="1" x14ac:dyDescent="0.3">
      <c r="D692" s="80">
        <v>45125</v>
      </c>
      <c r="E692" s="81">
        <v>28888.85</v>
      </c>
    </row>
    <row r="693" spans="4:5" hidden="1" outlineLevel="1" x14ac:dyDescent="0.3">
      <c r="D693" s="80">
        <v>45124</v>
      </c>
      <c r="E693" s="81">
        <v>28833.54</v>
      </c>
    </row>
    <row r="694" spans="4:5" hidden="1" outlineLevel="1" x14ac:dyDescent="0.3">
      <c r="D694" s="80">
        <v>45121</v>
      </c>
      <c r="E694" s="81">
        <v>28618.6</v>
      </c>
    </row>
    <row r="695" spans="4:5" hidden="1" outlineLevel="1" x14ac:dyDescent="0.3">
      <c r="D695" s="80">
        <v>45120</v>
      </c>
      <c r="E695" s="81">
        <v>28393.32</v>
      </c>
    </row>
    <row r="696" spans="4:5" hidden="1" outlineLevel="1" x14ac:dyDescent="0.3">
      <c r="D696" s="80">
        <v>45119</v>
      </c>
      <c r="E696" s="81">
        <v>28348.880000000001</v>
      </c>
    </row>
    <row r="697" spans="4:5" hidden="1" outlineLevel="1" x14ac:dyDescent="0.3">
      <c r="D697" s="80">
        <v>45118</v>
      </c>
      <c r="E697" s="81">
        <v>28429.42</v>
      </c>
    </row>
    <row r="698" spans="4:5" hidden="1" outlineLevel="1" x14ac:dyDescent="0.3">
      <c r="D698" s="80">
        <v>45117</v>
      </c>
      <c r="E698" s="81">
        <v>28304.66</v>
      </c>
    </row>
    <row r="699" spans="4:5" hidden="1" outlineLevel="1" x14ac:dyDescent="0.3">
      <c r="D699" s="80">
        <v>45114</v>
      </c>
      <c r="E699" s="81">
        <v>28269.43</v>
      </c>
    </row>
    <row r="700" spans="4:5" hidden="1" outlineLevel="1" x14ac:dyDescent="0.3">
      <c r="D700" s="80">
        <v>45113</v>
      </c>
      <c r="E700" s="81">
        <v>28510.39</v>
      </c>
    </row>
    <row r="701" spans="4:5" hidden="1" outlineLevel="1" x14ac:dyDescent="0.3">
      <c r="D701" s="80">
        <v>45112</v>
      </c>
      <c r="E701" s="81">
        <v>28365.96</v>
      </c>
    </row>
    <row r="702" spans="4:5" hidden="1" outlineLevel="1" x14ac:dyDescent="0.3">
      <c r="D702" s="80">
        <v>45111</v>
      </c>
      <c r="E702" s="81">
        <v>28352.01</v>
      </c>
    </row>
    <row r="703" spans="4:5" hidden="1" outlineLevel="1" x14ac:dyDescent="0.3">
      <c r="D703" s="80">
        <v>45110</v>
      </c>
      <c r="E703" s="81">
        <v>28254.9</v>
      </c>
    </row>
    <row r="704" spans="4:5" hidden="1" outlineLevel="1" x14ac:dyDescent="0.3">
      <c r="D704" s="80">
        <v>45107</v>
      </c>
      <c r="E704" s="81">
        <v>28059.65</v>
      </c>
    </row>
    <row r="705" spans="4:5" hidden="1" outlineLevel="1" x14ac:dyDescent="0.3">
      <c r="D705" s="80">
        <v>45105</v>
      </c>
      <c r="E705" s="81">
        <v>27739.64</v>
      </c>
    </row>
    <row r="706" spans="4:5" hidden="1" outlineLevel="1" x14ac:dyDescent="0.3">
      <c r="D706" s="80">
        <v>45104</v>
      </c>
      <c r="E706" s="81">
        <v>27513.45</v>
      </c>
    </row>
    <row r="707" spans="4:5" hidden="1" outlineLevel="1" x14ac:dyDescent="0.3">
      <c r="D707" s="80">
        <v>45103</v>
      </c>
      <c r="E707" s="81">
        <v>27328.91</v>
      </c>
    </row>
    <row r="708" spans="4:5" hidden="1" outlineLevel="1" x14ac:dyDescent="0.3">
      <c r="D708" s="80">
        <v>45100</v>
      </c>
      <c r="E708" s="81">
        <v>27291.39</v>
      </c>
    </row>
    <row r="709" spans="4:5" hidden="1" outlineLevel="1" x14ac:dyDescent="0.3">
      <c r="D709" s="80">
        <v>45099</v>
      </c>
      <c r="E709" s="81">
        <v>27445.97</v>
      </c>
    </row>
    <row r="710" spans="4:5" hidden="1" outlineLevel="1" x14ac:dyDescent="0.3">
      <c r="D710" s="80">
        <v>45098</v>
      </c>
      <c r="E710" s="81">
        <v>27571.14</v>
      </c>
    </row>
    <row r="711" spans="4:5" hidden="1" outlineLevel="1" x14ac:dyDescent="0.3">
      <c r="D711" s="80">
        <v>45097</v>
      </c>
      <c r="E711" s="81">
        <v>27512.41</v>
      </c>
    </row>
    <row r="712" spans="4:5" hidden="1" outlineLevel="1" x14ac:dyDescent="0.3">
      <c r="D712" s="80">
        <v>45096</v>
      </c>
      <c r="E712" s="81">
        <v>27422.87</v>
      </c>
    </row>
    <row r="713" spans="4:5" hidden="1" outlineLevel="1" x14ac:dyDescent="0.3">
      <c r="D713" s="80">
        <v>45093</v>
      </c>
      <c r="E713" s="81">
        <v>27519.439999999999</v>
      </c>
    </row>
    <row r="714" spans="4:5" hidden="1" outlineLevel="1" x14ac:dyDescent="0.3">
      <c r="D714" s="80">
        <v>45092</v>
      </c>
      <c r="E714" s="81">
        <v>27317.25</v>
      </c>
    </row>
    <row r="715" spans="4:5" hidden="1" outlineLevel="1" x14ac:dyDescent="0.3">
      <c r="D715" s="80">
        <v>45091</v>
      </c>
      <c r="E715" s="81">
        <v>27408.12</v>
      </c>
    </row>
    <row r="716" spans="4:5" hidden="1" outlineLevel="1" x14ac:dyDescent="0.3">
      <c r="D716" s="80">
        <v>45090</v>
      </c>
      <c r="E716" s="81">
        <v>27350.09</v>
      </c>
    </row>
    <row r="717" spans="4:5" hidden="1" outlineLevel="1" x14ac:dyDescent="0.3">
      <c r="D717" s="80">
        <v>45089</v>
      </c>
      <c r="E717" s="81">
        <v>27182.55</v>
      </c>
    </row>
    <row r="718" spans="4:5" hidden="1" outlineLevel="1" x14ac:dyDescent="0.3">
      <c r="D718" s="80">
        <v>45086</v>
      </c>
      <c r="E718" s="81">
        <v>27126.86</v>
      </c>
    </row>
    <row r="719" spans="4:5" hidden="1" outlineLevel="1" x14ac:dyDescent="0.3">
      <c r="D719" s="80">
        <v>45085</v>
      </c>
      <c r="E719" s="81">
        <v>27227.59</v>
      </c>
    </row>
    <row r="720" spans="4:5" hidden="1" outlineLevel="1" x14ac:dyDescent="0.3">
      <c r="D720" s="80">
        <v>45084</v>
      </c>
      <c r="E720" s="81">
        <v>27361.85</v>
      </c>
    </row>
    <row r="721" spans="4:5" hidden="1" outlineLevel="1" x14ac:dyDescent="0.3">
      <c r="D721" s="80">
        <v>45083</v>
      </c>
      <c r="E721" s="81">
        <v>27175.7</v>
      </c>
    </row>
    <row r="722" spans="4:5" hidden="1" outlineLevel="1" x14ac:dyDescent="0.3">
      <c r="D722" s="80">
        <v>45082</v>
      </c>
      <c r="E722" s="81">
        <v>27168.13</v>
      </c>
    </row>
    <row r="723" spans="4:5" hidden="1" outlineLevel="1" x14ac:dyDescent="0.3">
      <c r="D723" s="80">
        <v>45079</v>
      </c>
      <c r="E723" s="81">
        <v>27080.87</v>
      </c>
    </row>
    <row r="724" spans="4:5" hidden="1" outlineLevel="1" x14ac:dyDescent="0.3">
      <c r="D724" s="80">
        <v>45078</v>
      </c>
      <c r="E724" s="81">
        <v>26989.35</v>
      </c>
    </row>
    <row r="725" spans="4:5" hidden="1" outlineLevel="1" x14ac:dyDescent="0.3">
      <c r="D725" s="80">
        <v>45077</v>
      </c>
      <c r="E725" s="81">
        <v>27057.439999999999</v>
      </c>
    </row>
    <row r="726" spans="4:5" hidden="1" outlineLevel="1" x14ac:dyDescent="0.3">
      <c r="D726" s="80">
        <v>45076</v>
      </c>
      <c r="E726" s="81">
        <v>27188.18</v>
      </c>
    </row>
    <row r="727" spans="4:5" hidden="1" outlineLevel="1" x14ac:dyDescent="0.3">
      <c r="D727" s="80">
        <v>45075</v>
      </c>
      <c r="E727" s="81">
        <v>27136.82</v>
      </c>
    </row>
    <row r="728" spans="4:5" hidden="1" outlineLevel="1" x14ac:dyDescent="0.3">
      <c r="D728" s="80">
        <v>45072</v>
      </c>
      <c r="E728" s="81">
        <v>26991.87</v>
      </c>
    </row>
    <row r="729" spans="4:5" hidden="1" outlineLevel="1" x14ac:dyDescent="0.3">
      <c r="D729" s="80">
        <v>45071</v>
      </c>
      <c r="E729" s="81">
        <v>26731.86</v>
      </c>
    </row>
    <row r="730" spans="4:5" hidden="1" outlineLevel="1" x14ac:dyDescent="0.3">
      <c r="D730" s="80">
        <v>45070</v>
      </c>
      <c r="E730" s="81">
        <v>26679.72</v>
      </c>
    </row>
    <row r="731" spans="4:5" hidden="1" outlineLevel="1" x14ac:dyDescent="0.3">
      <c r="D731" s="80">
        <v>45069</v>
      </c>
      <c r="E731" s="81">
        <v>26771.1</v>
      </c>
    </row>
    <row r="732" spans="4:5" hidden="1" outlineLevel="1" x14ac:dyDescent="0.3">
      <c r="D732" s="80">
        <v>45068</v>
      </c>
      <c r="E732" s="81">
        <v>26722.03</v>
      </c>
    </row>
    <row r="733" spans="4:5" hidden="1" outlineLevel="1" x14ac:dyDescent="0.3">
      <c r="D733" s="80">
        <v>45065</v>
      </c>
      <c r="E733" s="81">
        <v>26560.1</v>
      </c>
    </row>
    <row r="734" spans="4:5" hidden="1" outlineLevel="1" x14ac:dyDescent="0.3">
      <c r="D734" s="80">
        <v>45064</v>
      </c>
      <c r="E734" s="81">
        <v>26451.26</v>
      </c>
    </row>
    <row r="735" spans="4:5" hidden="1" outlineLevel="1" x14ac:dyDescent="0.3">
      <c r="D735" s="80">
        <v>45063</v>
      </c>
      <c r="E735" s="81">
        <v>26526.82</v>
      </c>
    </row>
    <row r="736" spans="4:5" hidden="1" outlineLevel="1" x14ac:dyDescent="0.3">
      <c r="D736" s="80">
        <v>45062</v>
      </c>
      <c r="E736" s="81">
        <v>26679.67</v>
      </c>
    </row>
    <row r="737" spans="4:5" hidden="1" outlineLevel="1" x14ac:dyDescent="0.3">
      <c r="D737" s="80">
        <v>45061</v>
      </c>
      <c r="E737" s="81">
        <v>26789.02</v>
      </c>
    </row>
    <row r="738" spans="4:5" hidden="1" outlineLevel="1" x14ac:dyDescent="0.3">
      <c r="D738" s="80">
        <v>45058</v>
      </c>
      <c r="E738" s="81">
        <v>26666.67</v>
      </c>
    </row>
    <row r="739" spans="4:5" hidden="1" outlineLevel="1" x14ac:dyDescent="0.3">
      <c r="D739" s="80">
        <v>45057</v>
      </c>
      <c r="E739" s="81">
        <v>26640.77</v>
      </c>
    </row>
    <row r="740" spans="4:5" hidden="1" outlineLevel="1" x14ac:dyDescent="0.3">
      <c r="D740" s="80">
        <v>45056</v>
      </c>
      <c r="E740" s="81">
        <v>26667.11</v>
      </c>
    </row>
    <row r="741" spans="4:5" hidden="1" outlineLevel="1" x14ac:dyDescent="0.3">
      <c r="D741" s="80">
        <v>45055</v>
      </c>
      <c r="E741" s="81">
        <v>26595.52</v>
      </c>
    </row>
    <row r="742" spans="4:5" hidden="1" outlineLevel="1" x14ac:dyDescent="0.3">
      <c r="D742" s="80">
        <v>45054</v>
      </c>
      <c r="E742" s="81">
        <v>26593.29</v>
      </c>
    </row>
    <row r="743" spans="4:5" hidden="1" outlineLevel="1" x14ac:dyDescent="0.3">
      <c r="D743" s="80">
        <v>45051</v>
      </c>
      <c r="E743" s="81">
        <v>26308.78</v>
      </c>
    </row>
    <row r="744" spans="4:5" hidden="1" outlineLevel="1" x14ac:dyDescent="0.3">
      <c r="D744" s="80">
        <v>45050</v>
      </c>
      <c r="E744" s="81">
        <v>26580.77</v>
      </c>
    </row>
    <row r="745" spans="4:5" hidden="1" outlineLevel="1" x14ac:dyDescent="0.3">
      <c r="D745" s="80">
        <v>45049</v>
      </c>
      <c r="E745" s="81">
        <v>26339.14</v>
      </c>
    </row>
    <row r="746" spans="4:5" hidden="1" outlineLevel="1" x14ac:dyDescent="0.3">
      <c r="D746" s="80">
        <v>45048</v>
      </c>
      <c r="E746" s="81">
        <v>26423.3</v>
      </c>
    </row>
    <row r="747" spans="4:5" hidden="1" outlineLevel="1" x14ac:dyDescent="0.3">
      <c r="D747" s="80">
        <v>45044</v>
      </c>
      <c r="E747" s="81">
        <v>26302.92</v>
      </c>
    </row>
    <row r="748" spans="4:5" hidden="1" outlineLevel="1" x14ac:dyDescent="0.3">
      <c r="D748" s="80">
        <v>45043</v>
      </c>
      <c r="E748" s="81">
        <v>26078.38</v>
      </c>
    </row>
    <row r="749" spans="4:5" hidden="1" outlineLevel="1" x14ac:dyDescent="0.3">
      <c r="D749" s="80">
        <v>45042</v>
      </c>
      <c r="E749" s="81">
        <v>25930.7</v>
      </c>
    </row>
    <row r="750" spans="4:5" hidden="1" outlineLevel="1" x14ac:dyDescent="0.3">
      <c r="D750" s="80">
        <v>45041</v>
      </c>
      <c r="E750" s="81">
        <v>25866.09</v>
      </c>
    </row>
    <row r="751" spans="4:5" hidden="1" outlineLevel="1" x14ac:dyDescent="0.3">
      <c r="D751" s="80">
        <v>45040</v>
      </c>
      <c r="E751" s="81">
        <v>25828.46</v>
      </c>
    </row>
    <row r="752" spans="4:5" hidden="1" outlineLevel="1" x14ac:dyDescent="0.3">
      <c r="D752" s="80">
        <v>45037</v>
      </c>
      <c r="E752" s="81">
        <v>25654.78</v>
      </c>
    </row>
    <row r="753" spans="4:5" hidden="1" outlineLevel="1" x14ac:dyDescent="0.3">
      <c r="D753" s="80">
        <v>45036</v>
      </c>
      <c r="E753" s="81">
        <v>25654.16</v>
      </c>
    </row>
    <row r="754" spans="4:5" hidden="1" outlineLevel="1" x14ac:dyDescent="0.3">
      <c r="D754" s="80">
        <v>45035</v>
      </c>
      <c r="E754" s="81">
        <v>25645.82</v>
      </c>
    </row>
    <row r="755" spans="4:5" hidden="1" outlineLevel="1" x14ac:dyDescent="0.3">
      <c r="D755" s="80">
        <v>45034</v>
      </c>
      <c r="E755" s="81">
        <v>25706.09</v>
      </c>
    </row>
    <row r="756" spans="4:5" hidden="1" outlineLevel="1" x14ac:dyDescent="0.3">
      <c r="D756" s="80">
        <v>45033</v>
      </c>
      <c r="E756" s="81">
        <v>25774.07</v>
      </c>
    </row>
    <row r="757" spans="4:5" hidden="1" outlineLevel="1" x14ac:dyDescent="0.3">
      <c r="D757" s="80">
        <v>45029</v>
      </c>
      <c r="E757" s="81">
        <v>25950.39</v>
      </c>
    </row>
    <row r="758" spans="4:5" hidden="1" outlineLevel="1" x14ac:dyDescent="0.3">
      <c r="D758" s="80">
        <v>45028</v>
      </c>
      <c r="E758" s="81">
        <v>25924.89</v>
      </c>
    </row>
    <row r="759" spans="4:5" hidden="1" outlineLevel="1" x14ac:dyDescent="0.3">
      <c r="D759" s="80">
        <v>45027</v>
      </c>
      <c r="E759" s="81">
        <v>25793.77</v>
      </c>
    </row>
    <row r="760" spans="4:5" hidden="1" outlineLevel="1" x14ac:dyDescent="0.3">
      <c r="D760" s="80">
        <v>45026</v>
      </c>
      <c r="E760" s="81">
        <v>25650.73</v>
      </c>
    </row>
    <row r="761" spans="4:5" hidden="1" outlineLevel="1" x14ac:dyDescent="0.3">
      <c r="D761" s="80">
        <v>45022</v>
      </c>
      <c r="E761" s="81">
        <v>25614.55</v>
      </c>
    </row>
    <row r="762" spans="4:5" hidden="1" outlineLevel="1" x14ac:dyDescent="0.3">
      <c r="D762" s="80">
        <v>45021</v>
      </c>
      <c r="E762" s="81">
        <v>25553.279999999999</v>
      </c>
    </row>
    <row r="763" spans="4:5" hidden="1" outlineLevel="1" x14ac:dyDescent="0.3">
      <c r="D763" s="80">
        <v>45019</v>
      </c>
      <c r="E763" s="81">
        <v>25321.85</v>
      </c>
    </row>
    <row r="764" spans="4:5" hidden="1" outlineLevel="1" x14ac:dyDescent="0.3">
      <c r="D764" s="80">
        <v>45016</v>
      </c>
      <c r="E764" s="81">
        <v>25266.06</v>
      </c>
    </row>
    <row r="765" spans="4:5" hidden="1" outlineLevel="1" x14ac:dyDescent="0.3">
      <c r="D765" s="80">
        <v>45014</v>
      </c>
      <c r="E765" s="81">
        <v>24859.93</v>
      </c>
    </row>
    <row r="766" spans="4:5" hidden="1" outlineLevel="1" x14ac:dyDescent="0.3">
      <c r="D766" s="80">
        <v>45013</v>
      </c>
      <c r="E766" s="81">
        <v>24672.17</v>
      </c>
    </row>
    <row r="767" spans="4:5" hidden="1" outlineLevel="1" x14ac:dyDescent="0.3">
      <c r="D767" s="80">
        <v>45012</v>
      </c>
      <c r="E767" s="81">
        <v>24721.71</v>
      </c>
    </row>
    <row r="768" spans="4:5" hidden="1" outlineLevel="1" x14ac:dyDescent="0.3">
      <c r="D768" s="80">
        <v>45009</v>
      </c>
      <c r="E768" s="81">
        <v>24662.53</v>
      </c>
    </row>
    <row r="769" spans="4:5" hidden="1" outlineLevel="1" x14ac:dyDescent="0.3">
      <c r="D769" s="80">
        <v>45008</v>
      </c>
      <c r="E769" s="81">
        <v>24854.39</v>
      </c>
    </row>
    <row r="770" spans="4:5" hidden="1" outlineLevel="1" x14ac:dyDescent="0.3">
      <c r="D770" s="80">
        <v>45007</v>
      </c>
      <c r="E770" s="81">
        <v>24963.55</v>
      </c>
    </row>
    <row r="771" spans="4:5" hidden="1" outlineLevel="1" x14ac:dyDescent="0.3">
      <c r="D771" s="80">
        <v>45006</v>
      </c>
      <c r="E771" s="81">
        <v>24898.97</v>
      </c>
    </row>
    <row r="772" spans="4:5" hidden="1" outlineLevel="1" x14ac:dyDescent="0.3">
      <c r="D772" s="80">
        <v>45005</v>
      </c>
      <c r="E772" s="81">
        <v>24725.599999999999</v>
      </c>
    </row>
    <row r="773" spans="4:5" hidden="1" outlineLevel="1" x14ac:dyDescent="0.3">
      <c r="D773" s="80">
        <v>45002</v>
      </c>
      <c r="E773" s="81">
        <v>24888.1</v>
      </c>
    </row>
    <row r="774" spans="4:5" hidden="1" outlineLevel="1" x14ac:dyDescent="0.3">
      <c r="D774" s="80">
        <v>45001</v>
      </c>
      <c r="E774" s="81">
        <v>24721.52</v>
      </c>
    </row>
    <row r="775" spans="4:5" hidden="1" outlineLevel="1" x14ac:dyDescent="0.3">
      <c r="D775" s="80">
        <v>45000</v>
      </c>
      <c r="E775" s="81">
        <v>24701.599999999999</v>
      </c>
    </row>
    <row r="776" spans="4:5" hidden="1" outlineLevel="1" x14ac:dyDescent="0.3">
      <c r="D776" s="80">
        <v>44999</v>
      </c>
      <c r="E776" s="81">
        <v>24805.11</v>
      </c>
    </row>
    <row r="777" spans="4:5" hidden="1" outlineLevel="1" x14ac:dyDescent="0.3">
      <c r="D777" s="80">
        <v>44998</v>
      </c>
      <c r="E777" s="81">
        <v>24966.68</v>
      </c>
    </row>
    <row r="778" spans="4:5" hidden="1" outlineLevel="1" x14ac:dyDescent="0.3">
      <c r="D778" s="80">
        <v>44995</v>
      </c>
      <c r="E778" s="81">
        <v>25343.09</v>
      </c>
    </row>
    <row r="779" spans="4:5" hidden="1" outlineLevel="1" x14ac:dyDescent="0.3">
      <c r="D779" s="80">
        <v>44994</v>
      </c>
      <c r="E779" s="81">
        <v>25600.240000000002</v>
      </c>
    </row>
    <row r="780" spans="4:5" hidden="1" outlineLevel="1" x14ac:dyDescent="0.3">
      <c r="D780" s="80">
        <v>44993</v>
      </c>
      <c r="E780" s="81">
        <v>25840.12</v>
      </c>
    </row>
    <row r="781" spans="4:5" hidden="1" outlineLevel="1" x14ac:dyDescent="0.3">
      <c r="D781" s="80">
        <v>44991</v>
      </c>
      <c r="E781" s="81">
        <v>25777.599999999999</v>
      </c>
    </row>
    <row r="782" spans="4:5" hidden="1" outlineLevel="1" x14ac:dyDescent="0.3">
      <c r="D782" s="80">
        <v>44988</v>
      </c>
      <c r="E782" s="81">
        <v>25607.14</v>
      </c>
    </row>
    <row r="783" spans="4:5" hidden="1" outlineLevel="1" x14ac:dyDescent="0.3">
      <c r="D783" s="80">
        <v>44987</v>
      </c>
      <c r="E783" s="81">
        <v>25210.65</v>
      </c>
    </row>
    <row r="784" spans="4:5" hidden="1" outlineLevel="1" x14ac:dyDescent="0.3">
      <c r="D784" s="80">
        <v>44986</v>
      </c>
      <c r="E784" s="81">
        <v>25398.400000000001</v>
      </c>
    </row>
    <row r="785" spans="4:5" hidden="1" outlineLevel="1" x14ac:dyDescent="0.3">
      <c r="D785" s="80">
        <v>44985</v>
      </c>
      <c r="E785" s="81">
        <v>25184.47</v>
      </c>
    </row>
    <row r="786" spans="4:5" hidden="1" outlineLevel="1" x14ac:dyDescent="0.3">
      <c r="D786" s="80">
        <v>44984</v>
      </c>
      <c r="E786" s="81">
        <v>25313.7</v>
      </c>
    </row>
    <row r="787" spans="4:5" hidden="1" outlineLevel="1" x14ac:dyDescent="0.3">
      <c r="D787" s="80">
        <v>44981</v>
      </c>
      <c r="E787" s="81">
        <v>25420.07</v>
      </c>
    </row>
    <row r="788" spans="4:5" hidden="1" outlineLevel="1" x14ac:dyDescent="0.3">
      <c r="D788" s="80">
        <v>44980</v>
      </c>
      <c r="E788" s="81">
        <v>25485.97</v>
      </c>
    </row>
    <row r="789" spans="4:5" hidden="1" outlineLevel="1" x14ac:dyDescent="0.3">
      <c r="D789" s="80">
        <v>44979</v>
      </c>
      <c r="E789" s="81">
        <v>25548.67</v>
      </c>
    </row>
    <row r="790" spans="4:5" hidden="1" outlineLevel="1" x14ac:dyDescent="0.3">
      <c r="D790" s="80">
        <v>44978</v>
      </c>
      <c r="E790" s="81">
        <v>25945.08</v>
      </c>
    </row>
    <row r="791" spans="4:5" hidden="1" outlineLevel="1" x14ac:dyDescent="0.3">
      <c r="D791" s="80">
        <v>44977</v>
      </c>
      <c r="E791" s="81">
        <v>25971.19</v>
      </c>
    </row>
    <row r="792" spans="4:5" hidden="1" outlineLevel="1" x14ac:dyDescent="0.3">
      <c r="D792" s="80">
        <v>44974</v>
      </c>
      <c r="E792" s="81">
        <v>26116.12</v>
      </c>
    </row>
    <row r="793" spans="4:5" hidden="1" outlineLevel="1" x14ac:dyDescent="0.3">
      <c r="D793" s="80">
        <v>44973</v>
      </c>
      <c r="E793" s="81">
        <v>26249.52</v>
      </c>
    </row>
    <row r="794" spans="4:5" hidden="1" outlineLevel="1" x14ac:dyDescent="0.3">
      <c r="D794" s="80">
        <v>44972</v>
      </c>
      <c r="E794" s="81">
        <v>26220.43</v>
      </c>
    </row>
    <row r="795" spans="4:5" hidden="1" outlineLevel="1" x14ac:dyDescent="0.3">
      <c r="D795" s="80">
        <v>44971</v>
      </c>
      <c r="E795" s="81">
        <v>26077.93</v>
      </c>
    </row>
    <row r="796" spans="4:5" hidden="1" outlineLevel="1" x14ac:dyDescent="0.3">
      <c r="D796" s="80">
        <v>44970</v>
      </c>
      <c r="E796" s="81">
        <v>25846.7</v>
      </c>
    </row>
    <row r="797" spans="4:5" hidden="1" outlineLevel="1" x14ac:dyDescent="0.3">
      <c r="D797" s="80">
        <v>44967</v>
      </c>
      <c r="E797" s="81">
        <v>25971.23</v>
      </c>
    </row>
    <row r="798" spans="4:5" hidden="1" outlineLevel="1" x14ac:dyDescent="0.3">
      <c r="D798" s="80">
        <v>44966</v>
      </c>
      <c r="E798" s="81">
        <v>26024.94</v>
      </c>
    </row>
    <row r="799" spans="4:5" hidden="1" outlineLevel="1" x14ac:dyDescent="0.3">
      <c r="D799" s="80">
        <v>44965</v>
      </c>
      <c r="E799" s="81">
        <v>25993.34</v>
      </c>
    </row>
    <row r="800" spans="4:5" hidden="1" outlineLevel="1" x14ac:dyDescent="0.3">
      <c r="D800" s="80">
        <v>44964</v>
      </c>
      <c r="E800" s="81">
        <v>25772.19</v>
      </c>
    </row>
    <row r="801" spans="4:5" hidden="1" outlineLevel="1" x14ac:dyDescent="0.3">
      <c r="D801" s="80">
        <v>44963</v>
      </c>
      <c r="E801" s="81">
        <v>25834.87</v>
      </c>
    </row>
    <row r="802" spans="4:5" hidden="1" outlineLevel="1" x14ac:dyDescent="0.3">
      <c r="D802" s="80">
        <v>44960</v>
      </c>
      <c r="E802" s="81">
        <v>25965</v>
      </c>
    </row>
    <row r="803" spans="4:5" hidden="1" outlineLevel="1" x14ac:dyDescent="0.3">
      <c r="D803" s="80">
        <v>44959</v>
      </c>
      <c r="E803" s="81">
        <v>25610.65</v>
      </c>
    </row>
    <row r="804" spans="4:5" hidden="1" outlineLevel="1" x14ac:dyDescent="0.3">
      <c r="D804" s="80">
        <v>44958</v>
      </c>
      <c r="E804" s="81">
        <v>25619.24</v>
      </c>
    </row>
    <row r="805" spans="4:5" hidden="1" outlineLevel="1" x14ac:dyDescent="0.3">
      <c r="D805" s="80">
        <v>44957</v>
      </c>
      <c r="E805" s="81">
        <v>25685.94</v>
      </c>
    </row>
    <row r="806" spans="4:5" hidden="1" outlineLevel="1" x14ac:dyDescent="0.3">
      <c r="D806" s="80">
        <v>44956</v>
      </c>
      <c r="E806" s="81">
        <v>25666.69</v>
      </c>
    </row>
    <row r="807" spans="4:5" hidden="1" outlineLevel="1" x14ac:dyDescent="0.3">
      <c r="D807" s="80">
        <v>44953</v>
      </c>
      <c r="E807" s="81">
        <v>25601.88</v>
      </c>
    </row>
    <row r="808" spans="4:5" hidden="1" outlineLevel="1" x14ac:dyDescent="0.3">
      <c r="D808" s="80">
        <v>44951</v>
      </c>
      <c r="E808" s="81">
        <v>26020.13</v>
      </c>
    </row>
    <row r="809" spans="4:5" hidden="1" outlineLevel="1" x14ac:dyDescent="0.3">
      <c r="D809" s="80">
        <v>44950</v>
      </c>
      <c r="E809" s="81">
        <v>26349.279999999999</v>
      </c>
    </row>
    <row r="810" spans="4:5" hidden="1" outlineLevel="1" x14ac:dyDescent="0.3">
      <c r="D810" s="80">
        <v>44949</v>
      </c>
      <c r="E810" s="81">
        <v>26349.14</v>
      </c>
    </row>
    <row r="811" spans="4:5" hidden="1" outlineLevel="1" x14ac:dyDescent="0.3">
      <c r="D811" s="80">
        <v>44946</v>
      </c>
      <c r="E811" s="81">
        <v>26216.94</v>
      </c>
    </row>
    <row r="812" spans="4:5" hidden="1" outlineLevel="1" x14ac:dyDescent="0.3">
      <c r="D812" s="80">
        <v>44945</v>
      </c>
      <c r="E812" s="81">
        <v>26333.57</v>
      </c>
    </row>
    <row r="813" spans="4:5" hidden="1" outlineLevel="1" x14ac:dyDescent="0.3">
      <c r="D813" s="80">
        <v>44944</v>
      </c>
      <c r="E813" s="81">
        <v>26413.71</v>
      </c>
    </row>
    <row r="814" spans="4:5" hidden="1" outlineLevel="1" x14ac:dyDescent="0.3">
      <c r="D814" s="80">
        <v>44943</v>
      </c>
      <c r="E814" s="81">
        <v>26250.81</v>
      </c>
    </row>
    <row r="815" spans="4:5" hidden="1" outlineLevel="1" x14ac:dyDescent="0.3">
      <c r="D815" s="80">
        <v>44942</v>
      </c>
      <c r="E815" s="81">
        <v>26020.39</v>
      </c>
    </row>
    <row r="816" spans="4:5" hidden="1" outlineLevel="1" x14ac:dyDescent="0.3">
      <c r="D816" s="80">
        <v>44939</v>
      </c>
      <c r="E816" s="81">
        <v>26110.2</v>
      </c>
    </row>
    <row r="817" spans="4:5" hidden="1" outlineLevel="1" x14ac:dyDescent="0.3">
      <c r="D817" s="80">
        <v>44938</v>
      </c>
      <c r="E817" s="81">
        <v>25967.07</v>
      </c>
    </row>
    <row r="818" spans="4:5" hidden="1" outlineLevel="1" x14ac:dyDescent="0.3">
      <c r="D818" s="80">
        <v>44937</v>
      </c>
      <c r="E818" s="81">
        <v>26021.599999999999</v>
      </c>
    </row>
    <row r="819" spans="4:5" hidden="1" outlineLevel="1" x14ac:dyDescent="0.3">
      <c r="D819" s="80">
        <v>44936</v>
      </c>
      <c r="E819" s="81">
        <v>26048.47</v>
      </c>
    </row>
    <row r="820" spans="4:5" hidden="1" outlineLevel="1" x14ac:dyDescent="0.3">
      <c r="D820" s="80">
        <v>44935</v>
      </c>
      <c r="E820" s="81">
        <v>26320.41</v>
      </c>
    </row>
    <row r="821" spans="4:5" hidden="1" outlineLevel="1" x14ac:dyDescent="0.3">
      <c r="D821" s="80">
        <v>44932</v>
      </c>
      <c r="E821" s="81">
        <v>25968.95</v>
      </c>
    </row>
    <row r="822" spans="4:5" hidden="1" outlineLevel="1" x14ac:dyDescent="0.3">
      <c r="D822" s="80">
        <v>44931</v>
      </c>
      <c r="E822" s="81">
        <v>26161.85</v>
      </c>
    </row>
    <row r="823" spans="4:5" hidden="1" outlineLevel="1" x14ac:dyDescent="0.3">
      <c r="D823" s="80">
        <v>44930</v>
      </c>
      <c r="E823" s="81">
        <v>26235.73</v>
      </c>
    </row>
    <row r="824" spans="4:5" hidden="1" outlineLevel="1" x14ac:dyDescent="0.3">
      <c r="D824" s="80">
        <v>44929</v>
      </c>
      <c r="E824" s="81">
        <v>26511.45</v>
      </c>
    </row>
    <row r="825" spans="4:5" hidden="1" outlineLevel="1" x14ac:dyDescent="0.3">
      <c r="D825" s="80">
        <v>44928</v>
      </c>
      <c r="E825" s="81">
        <v>26460.41</v>
      </c>
    </row>
    <row r="826" spans="4:5" hidden="1" outlineLevel="1" x14ac:dyDescent="0.3">
      <c r="D826" s="80">
        <v>44925</v>
      </c>
      <c r="E826" s="81">
        <v>26326.37</v>
      </c>
    </row>
    <row r="827" spans="4:5" hidden="1" outlineLevel="1" x14ac:dyDescent="0.3">
      <c r="D827" s="80">
        <v>44924</v>
      </c>
      <c r="E827" s="81">
        <v>26451.02</v>
      </c>
    </row>
    <row r="828" spans="4:5" hidden="1" outlineLevel="1" x14ac:dyDescent="0.3">
      <c r="D828" s="80">
        <v>44923</v>
      </c>
      <c r="E828" s="81">
        <v>26351.4</v>
      </c>
    </row>
    <row r="829" spans="4:5" hidden="1" outlineLevel="1" x14ac:dyDescent="0.3">
      <c r="D829" s="80">
        <v>44922</v>
      </c>
      <c r="E829" s="81">
        <v>26365.65</v>
      </c>
    </row>
    <row r="830" spans="4:5" hidden="1" outlineLevel="1" x14ac:dyDescent="0.3">
      <c r="D830" s="80">
        <v>44921</v>
      </c>
      <c r="E830" s="81">
        <v>26194.52</v>
      </c>
    </row>
    <row r="831" spans="4:5" hidden="1" outlineLevel="1" x14ac:dyDescent="0.3">
      <c r="D831" s="80">
        <v>44918</v>
      </c>
      <c r="E831" s="81">
        <v>25892.35</v>
      </c>
    </row>
    <row r="832" spans="4:5" hidden="1" outlineLevel="1" x14ac:dyDescent="0.3">
      <c r="D832" s="80">
        <v>44917</v>
      </c>
      <c r="E832" s="81">
        <v>26358.44</v>
      </c>
    </row>
    <row r="833" spans="4:5" hidden="1" outlineLevel="1" x14ac:dyDescent="0.3">
      <c r="D833" s="80">
        <v>44916</v>
      </c>
      <c r="E833" s="81">
        <v>26462.77</v>
      </c>
    </row>
    <row r="834" spans="4:5" hidden="1" outlineLevel="1" x14ac:dyDescent="0.3">
      <c r="D834" s="80">
        <v>44915</v>
      </c>
      <c r="E834" s="81">
        <v>26733.51</v>
      </c>
    </row>
    <row r="835" spans="4:5" hidden="1" outlineLevel="1" x14ac:dyDescent="0.3">
      <c r="D835" s="80">
        <v>44914</v>
      </c>
      <c r="E835" s="81">
        <v>26784.68</v>
      </c>
    </row>
    <row r="836" spans="4:5" hidden="1" outlineLevel="1" x14ac:dyDescent="0.3">
      <c r="D836" s="80">
        <v>44911</v>
      </c>
      <c r="E836" s="81">
        <v>26564.46</v>
      </c>
    </row>
    <row r="837" spans="4:5" hidden="1" outlineLevel="1" x14ac:dyDescent="0.3">
      <c r="D837" s="80">
        <v>44910</v>
      </c>
      <c r="E837" s="81">
        <v>26776.560000000001</v>
      </c>
    </row>
    <row r="838" spans="4:5" hidden="1" outlineLevel="1" x14ac:dyDescent="0.3">
      <c r="D838" s="80">
        <v>44909</v>
      </c>
      <c r="E838" s="81">
        <v>27133.4</v>
      </c>
    </row>
    <row r="839" spans="4:5" hidden="1" outlineLevel="1" x14ac:dyDescent="0.3">
      <c r="D839" s="80">
        <v>44908</v>
      </c>
      <c r="E839" s="81">
        <v>27057.35</v>
      </c>
    </row>
    <row r="840" spans="4:5" hidden="1" outlineLevel="1" x14ac:dyDescent="0.3">
      <c r="D840" s="80">
        <v>44907</v>
      </c>
      <c r="E840" s="81">
        <v>26896.21</v>
      </c>
    </row>
    <row r="841" spans="4:5" hidden="1" outlineLevel="1" x14ac:dyDescent="0.3">
      <c r="D841" s="80">
        <v>44904</v>
      </c>
      <c r="E841" s="81">
        <v>26895.35</v>
      </c>
    </row>
    <row r="842" spans="4:5" hidden="1" outlineLevel="1" x14ac:dyDescent="0.3">
      <c r="D842" s="80">
        <v>44903</v>
      </c>
      <c r="E842" s="81">
        <v>27059.31</v>
      </c>
    </row>
    <row r="843" spans="4:5" hidden="1" outlineLevel="1" x14ac:dyDescent="0.3">
      <c r="D843" s="80">
        <v>44902</v>
      </c>
      <c r="E843" s="81">
        <v>26988.31</v>
      </c>
    </row>
    <row r="844" spans="4:5" hidden="1" outlineLevel="1" x14ac:dyDescent="0.3">
      <c r="D844" s="80">
        <v>44901</v>
      </c>
      <c r="E844" s="81">
        <v>27107.87</v>
      </c>
    </row>
    <row r="845" spans="4:5" hidden="1" outlineLevel="1" x14ac:dyDescent="0.3">
      <c r="D845" s="80">
        <v>44900</v>
      </c>
      <c r="E845" s="81">
        <v>27192.639999999999</v>
      </c>
    </row>
    <row r="846" spans="4:5" hidden="1" outlineLevel="1" x14ac:dyDescent="0.3">
      <c r="D846" s="80">
        <v>44897</v>
      </c>
      <c r="E846" s="81">
        <v>27185.439999999999</v>
      </c>
    </row>
    <row r="847" spans="4:5" hidden="1" outlineLevel="1" x14ac:dyDescent="0.3">
      <c r="D847" s="80">
        <v>44896</v>
      </c>
      <c r="E847" s="81">
        <v>27354.74</v>
      </c>
    </row>
    <row r="848" spans="4:5" hidden="1" outlineLevel="1" x14ac:dyDescent="0.3">
      <c r="D848" s="80">
        <v>44895</v>
      </c>
      <c r="E848" s="81">
        <v>27276.01</v>
      </c>
    </row>
    <row r="849" spans="4:5" hidden="1" outlineLevel="1" x14ac:dyDescent="0.3">
      <c r="D849" s="80">
        <v>44894</v>
      </c>
      <c r="E849" s="81">
        <v>27071.98</v>
      </c>
    </row>
    <row r="850" spans="4:5" hidden="1" outlineLevel="1" x14ac:dyDescent="0.3">
      <c r="D850" s="80">
        <v>44893</v>
      </c>
      <c r="E850" s="81">
        <v>26991.599999999999</v>
      </c>
    </row>
    <row r="851" spans="4:5" hidden="1" outlineLevel="1" x14ac:dyDescent="0.3">
      <c r="D851" s="80">
        <v>44890</v>
      </c>
      <c r="E851" s="81">
        <v>26918.89</v>
      </c>
    </row>
    <row r="852" spans="4:5" hidden="1" outlineLevel="1" x14ac:dyDescent="0.3">
      <c r="D852" s="80">
        <v>44889</v>
      </c>
      <c r="E852" s="81">
        <v>26877.24</v>
      </c>
    </row>
    <row r="853" spans="4:5" hidden="1" outlineLevel="1" x14ac:dyDescent="0.3">
      <c r="D853" s="80">
        <v>44888</v>
      </c>
      <c r="E853" s="81">
        <v>26561.89</v>
      </c>
    </row>
    <row r="854" spans="4:5" hidden="1" outlineLevel="1" x14ac:dyDescent="0.3">
      <c r="D854" s="80">
        <v>44887</v>
      </c>
      <c r="E854" s="81">
        <v>26528.400000000001</v>
      </c>
    </row>
    <row r="855" spans="4:5" hidden="1" outlineLevel="1" x14ac:dyDescent="0.3">
      <c r="D855" s="80">
        <v>44886</v>
      </c>
      <c r="E855" s="81">
        <v>26405.9</v>
      </c>
    </row>
    <row r="856" spans="4:5" hidden="1" outlineLevel="1" x14ac:dyDescent="0.3">
      <c r="D856" s="80">
        <v>44883</v>
      </c>
      <c r="E856" s="81">
        <v>26620.61</v>
      </c>
    </row>
    <row r="857" spans="4:5" hidden="1" outlineLevel="1" x14ac:dyDescent="0.3">
      <c r="D857" s="80">
        <v>44882</v>
      </c>
      <c r="E857" s="81">
        <v>26673.32</v>
      </c>
    </row>
    <row r="858" spans="4:5" hidden="1" outlineLevel="1" x14ac:dyDescent="0.3">
      <c r="D858" s="80">
        <v>44881</v>
      </c>
      <c r="E858" s="81">
        <v>26768.95</v>
      </c>
    </row>
    <row r="859" spans="4:5" hidden="1" outlineLevel="1" x14ac:dyDescent="0.3">
      <c r="D859" s="80">
        <v>44880</v>
      </c>
      <c r="E859" s="81">
        <v>26759.85</v>
      </c>
    </row>
    <row r="860" spans="4:5" hidden="1" outlineLevel="1" x14ac:dyDescent="0.3">
      <c r="D860" s="80">
        <v>44879</v>
      </c>
      <c r="E860" s="81">
        <v>26651.93</v>
      </c>
    </row>
    <row r="861" spans="4:5" hidden="1" outlineLevel="1" x14ac:dyDescent="0.3">
      <c r="D861" s="80">
        <v>44876</v>
      </c>
      <c r="E861" s="81">
        <v>26681.759999999998</v>
      </c>
    </row>
    <row r="862" spans="4:5" hidden="1" outlineLevel="1" x14ac:dyDescent="0.3">
      <c r="D862" s="80">
        <v>44875</v>
      </c>
      <c r="E862" s="81">
        <v>26214.31</v>
      </c>
    </row>
    <row r="863" spans="4:5" hidden="1" outlineLevel="1" x14ac:dyDescent="0.3">
      <c r="D863" s="80">
        <v>44874</v>
      </c>
      <c r="E863" s="81">
        <v>26401.58</v>
      </c>
    </row>
    <row r="864" spans="4:5" hidden="1" outlineLevel="1" x14ac:dyDescent="0.3">
      <c r="D864" s="80">
        <v>44872</v>
      </c>
      <c r="E864" s="81">
        <v>26464.44</v>
      </c>
    </row>
    <row r="865" spans="4:5" hidden="1" outlineLevel="1" x14ac:dyDescent="0.3">
      <c r="D865" s="80">
        <v>44869</v>
      </c>
      <c r="E865" s="81">
        <v>26339.9</v>
      </c>
    </row>
    <row r="866" spans="4:5" hidden="1" outlineLevel="1" x14ac:dyDescent="0.3">
      <c r="D866" s="80">
        <v>44868</v>
      </c>
      <c r="E866" s="81">
        <v>26246.23</v>
      </c>
    </row>
    <row r="867" spans="4:5" hidden="1" outlineLevel="1" x14ac:dyDescent="0.3">
      <c r="D867" s="80">
        <v>44867</v>
      </c>
      <c r="E867" s="81">
        <v>26290.01</v>
      </c>
    </row>
    <row r="868" spans="4:5" hidden="1" outlineLevel="1" x14ac:dyDescent="0.3">
      <c r="D868" s="80">
        <v>44866</v>
      </c>
      <c r="E868" s="81">
        <v>26380.97</v>
      </c>
    </row>
    <row r="869" spans="4:5" hidden="1" outlineLevel="1" x14ac:dyDescent="0.3">
      <c r="D869" s="80">
        <v>44865</v>
      </c>
      <c r="E869" s="81">
        <v>26182.36</v>
      </c>
    </row>
    <row r="870" spans="4:5" hidden="1" outlineLevel="1" x14ac:dyDescent="0.3">
      <c r="D870" s="80">
        <v>44862</v>
      </c>
      <c r="E870" s="81">
        <v>25852.720000000001</v>
      </c>
    </row>
    <row r="871" spans="4:5" hidden="1" outlineLevel="1" x14ac:dyDescent="0.3">
      <c r="D871" s="80">
        <v>44861</v>
      </c>
      <c r="E871" s="81">
        <v>25780.23</v>
      </c>
    </row>
    <row r="872" spans="4:5" hidden="1" outlineLevel="1" x14ac:dyDescent="0.3">
      <c r="D872" s="80">
        <v>44859</v>
      </c>
      <c r="E872" s="81">
        <v>25643.34</v>
      </c>
    </row>
    <row r="873" spans="4:5" hidden="1" outlineLevel="1" x14ac:dyDescent="0.3">
      <c r="D873" s="80">
        <v>44858</v>
      </c>
      <c r="E873" s="81">
        <v>25751.45</v>
      </c>
    </row>
    <row r="874" spans="4:5" hidden="1" outlineLevel="1" x14ac:dyDescent="0.3">
      <c r="D874" s="80">
        <v>44855</v>
      </c>
      <c r="E874" s="81">
        <v>25527.09</v>
      </c>
    </row>
    <row r="875" spans="4:5" hidden="1" outlineLevel="1" x14ac:dyDescent="0.3">
      <c r="D875" s="80">
        <v>44854</v>
      </c>
      <c r="E875" s="81">
        <v>25509.14</v>
      </c>
    </row>
    <row r="876" spans="4:5" hidden="1" outlineLevel="1" x14ac:dyDescent="0.3">
      <c r="D876" s="80">
        <v>44853</v>
      </c>
      <c r="E876" s="81">
        <v>25434.1</v>
      </c>
    </row>
    <row r="877" spans="4:5" hidden="1" outlineLevel="1" x14ac:dyDescent="0.3">
      <c r="D877" s="80">
        <v>44852</v>
      </c>
      <c r="E877" s="81">
        <v>25393.89</v>
      </c>
    </row>
    <row r="878" spans="4:5" hidden="1" outlineLevel="1" x14ac:dyDescent="0.3">
      <c r="D878" s="80">
        <v>44851</v>
      </c>
      <c r="E878" s="81">
        <v>25139.55</v>
      </c>
    </row>
    <row r="879" spans="4:5" hidden="1" outlineLevel="1" x14ac:dyDescent="0.3">
      <c r="D879" s="80">
        <v>44848</v>
      </c>
      <c r="E879" s="81">
        <v>24953.75</v>
      </c>
    </row>
    <row r="880" spans="4:5" hidden="1" outlineLevel="1" x14ac:dyDescent="0.3">
      <c r="D880" s="80">
        <v>44847</v>
      </c>
      <c r="E880" s="81">
        <v>24704.95</v>
      </c>
    </row>
    <row r="881" spans="4:5" hidden="1" outlineLevel="1" x14ac:dyDescent="0.3">
      <c r="D881" s="80">
        <v>44846</v>
      </c>
      <c r="E881" s="81">
        <v>24863.58</v>
      </c>
    </row>
    <row r="882" spans="4:5" hidden="1" outlineLevel="1" x14ac:dyDescent="0.3">
      <c r="D882" s="80">
        <v>44845</v>
      </c>
      <c r="E882" s="81">
        <v>24660.2</v>
      </c>
    </row>
    <row r="883" spans="4:5" hidden="1" outlineLevel="1" x14ac:dyDescent="0.3">
      <c r="D883" s="80">
        <v>44844</v>
      </c>
      <c r="E883" s="81">
        <v>25034.02</v>
      </c>
    </row>
    <row r="884" spans="4:5" hidden="1" outlineLevel="1" x14ac:dyDescent="0.3">
      <c r="D884" s="80">
        <v>44841</v>
      </c>
      <c r="E884" s="81">
        <v>25140.99</v>
      </c>
    </row>
    <row r="885" spans="4:5" hidden="1" outlineLevel="1" x14ac:dyDescent="0.3">
      <c r="D885" s="80">
        <v>44840</v>
      </c>
      <c r="E885" s="81">
        <v>25165.85</v>
      </c>
    </row>
    <row r="886" spans="4:5" hidden="1" outlineLevel="1" x14ac:dyDescent="0.3">
      <c r="D886" s="80">
        <v>44838</v>
      </c>
      <c r="E886" s="81">
        <v>25082.39</v>
      </c>
    </row>
    <row r="887" spans="4:5" hidden="1" outlineLevel="1" x14ac:dyDescent="0.3">
      <c r="D887" s="80">
        <v>44837</v>
      </c>
      <c r="E887" s="81">
        <v>24520.52</v>
      </c>
    </row>
    <row r="888" spans="4:5" hidden="1" outlineLevel="1" x14ac:dyDescent="0.3">
      <c r="D888" s="80">
        <v>44834</v>
      </c>
      <c r="E888" s="81">
        <v>24821.08</v>
      </c>
    </row>
    <row r="889" spans="4:5" hidden="1" outlineLevel="1" x14ac:dyDescent="0.3">
      <c r="D889" s="80">
        <v>44833</v>
      </c>
      <c r="E889" s="81">
        <v>24419.98</v>
      </c>
    </row>
    <row r="890" spans="4:5" hidden="1" outlineLevel="1" x14ac:dyDescent="0.3">
      <c r="D890" s="80">
        <v>44832</v>
      </c>
      <c r="E890" s="81">
        <v>24478.82</v>
      </c>
    </row>
    <row r="891" spans="4:5" hidden="1" outlineLevel="1" x14ac:dyDescent="0.3">
      <c r="D891" s="80">
        <v>44831</v>
      </c>
      <c r="E891" s="81">
        <v>24694.83</v>
      </c>
    </row>
    <row r="892" spans="4:5" hidden="1" outlineLevel="1" x14ac:dyDescent="0.3">
      <c r="D892" s="80">
        <v>44830</v>
      </c>
      <c r="E892" s="81">
        <v>24707.77</v>
      </c>
    </row>
    <row r="893" spans="4:5" hidden="1" outlineLevel="1" x14ac:dyDescent="0.3">
      <c r="D893" s="80">
        <v>44827</v>
      </c>
      <c r="E893" s="81">
        <v>25159.42</v>
      </c>
    </row>
    <row r="894" spans="4:5" hidden="1" outlineLevel="1" x14ac:dyDescent="0.3">
      <c r="D894" s="80">
        <v>44826</v>
      </c>
      <c r="E894" s="81">
        <v>25598.6</v>
      </c>
    </row>
    <row r="895" spans="4:5" hidden="1" outlineLevel="1" x14ac:dyDescent="0.3">
      <c r="D895" s="80">
        <v>44825</v>
      </c>
      <c r="E895" s="81">
        <v>25727.13</v>
      </c>
    </row>
    <row r="896" spans="4:5" hidden="1" outlineLevel="1" x14ac:dyDescent="0.3">
      <c r="D896" s="80">
        <v>44824</v>
      </c>
      <c r="E896" s="81">
        <v>25869.27</v>
      </c>
    </row>
    <row r="897" spans="4:5" hidden="1" outlineLevel="1" x14ac:dyDescent="0.3">
      <c r="D897" s="80">
        <v>44823</v>
      </c>
      <c r="E897" s="81">
        <v>25587.63</v>
      </c>
    </row>
    <row r="898" spans="4:5" hidden="1" outlineLevel="1" x14ac:dyDescent="0.3">
      <c r="D898" s="80">
        <v>44820</v>
      </c>
      <c r="E898" s="81">
        <v>25454.93</v>
      </c>
    </row>
    <row r="899" spans="4:5" hidden="1" outlineLevel="1" x14ac:dyDescent="0.3">
      <c r="D899" s="80">
        <v>44819</v>
      </c>
      <c r="E899" s="81">
        <v>25958.06</v>
      </c>
    </row>
    <row r="900" spans="4:5" hidden="1" outlineLevel="1" x14ac:dyDescent="0.3">
      <c r="D900" s="80">
        <v>44818</v>
      </c>
      <c r="E900" s="81">
        <v>26141.52</v>
      </c>
    </row>
    <row r="901" spans="4:5" hidden="1" outlineLevel="1" x14ac:dyDescent="0.3">
      <c r="D901" s="80">
        <v>44817</v>
      </c>
      <c r="E901" s="81">
        <v>26237.81</v>
      </c>
    </row>
    <row r="902" spans="4:5" hidden="1" outlineLevel="1" x14ac:dyDescent="0.3">
      <c r="D902" s="80">
        <v>44816</v>
      </c>
      <c r="E902" s="81">
        <v>26043.69</v>
      </c>
    </row>
    <row r="903" spans="4:5" hidden="1" outlineLevel="1" x14ac:dyDescent="0.3">
      <c r="D903" s="80">
        <v>44813</v>
      </c>
      <c r="E903" s="81">
        <v>25894.12</v>
      </c>
    </row>
    <row r="904" spans="4:5" hidden="1" outlineLevel="1" x14ac:dyDescent="0.3">
      <c r="D904" s="80">
        <v>44812</v>
      </c>
      <c r="E904" s="81">
        <v>25843.86</v>
      </c>
    </row>
    <row r="905" spans="4:5" hidden="1" outlineLevel="1" x14ac:dyDescent="0.3">
      <c r="D905" s="80">
        <v>44811</v>
      </c>
      <c r="E905" s="81">
        <v>25590.73</v>
      </c>
    </row>
    <row r="906" spans="4:5" hidden="1" outlineLevel="1" x14ac:dyDescent="0.3">
      <c r="D906" s="80">
        <v>44810</v>
      </c>
      <c r="E906" s="81">
        <v>25636.01</v>
      </c>
    </row>
    <row r="907" spans="4:5" hidden="1" outlineLevel="1" x14ac:dyDescent="0.3">
      <c r="D907" s="80">
        <v>44809</v>
      </c>
      <c r="E907" s="81">
        <v>25650.83</v>
      </c>
    </row>
    <row r="908" spans="4:5" hidden="1" outlineLevel="1" x14ac:dyDescent="0.3">
      <c r="D908" s="80">
        <v>44806</v>
      </c>
      <c r="E908" s="81">
        <v>25467.41</v>
      </c>
    </row>
    <row r="909" spans="4:5" hidden="1" outlineLevel="1" x14ac:dyDescent="0.3">
      <c r="D909" s="80">
        <v>44805</v>
      </c>
      <c r="E909" s="81">
        <v>25472.240000000002</v>
      </c>
    </row>
    <row r="910" spans="4:5" hidden="1" outlineLevel="1" x14ac:dyDescent="0.3">
      <c r="D910" s="80">
        <v>44803</v>
      </c>
      <c r="E910" s="81">
        <v>25786.59</v>
      </c>
    </row>
    <row r="911" spans="4:5" hidden="1" outlineLevel="1" x14ac:dyDescent="0.3">
      <c r="D911" s="80">
        <v>44802</v>
      </c>
      <c r="E911" s="81">
        <v>25138.400000000001</v>
      </c>
    </row>
    <row r="912" spans="4:5" hidden="1" outlineLevel="1" x14ac:dyDescent="0.3">
      <c r="D912" s="80">
        <v>44799</v>
      </c>
      <c r="E912" s="81">
        <v>25495.64</v>
      </c>
    </row>
    <row r="913" spans="4:5" hidden="1" outlineLevel="1" x14ac:dyDescent="0.3">
      <c r="D913" s="80">
        <v>44798</v>
      </c>
      <c r="E913" s="81">
        <v>25442.67</v>
      </c>
    </row>
    <row r="914" spans="4:5" hidden="1" outlineLevel="1" x14ac:dyDescent="0.3">
      <c r="D914" s="80">
        <v>44797</v>
      </c>
      <c r="E914" s="81">
        <v>25562.51</v>
      </c>
    </row>
    <row r="915" spans="4:5" hidden="1" outlineLevel="1" x14ac:dyDescent="0.3">
      <c r="D915" s="80">
        <v>44796</v>
      </c>
      <c r="E915" s="81">
        <v>25522.62</v>
      </c>
    </row>
    <row r="916" spans="4:5" hidden="1" outlineLevel="1" x14ac:dyDescent="0.3">
      <c r="D916" s="80">
        <v>44795</v>
      </c>
      <c r="E916" s="81">
        <v>25396.57</v>
      </c>
    </row>
    <row r="917" spans="4:5" hidden="1" outlineLevel="1" x14ac:dyDescent="0.3">
      <c r="D917" s="80">
        <v>44792</v>
      </c>
      <c r="E917" s="81">
        <v>25785.4</v>
      </c>
    </row>
    <row r="918" spans="4:5" hidden="1" outlineLevel="1" x14ac:dyDescent="0.3">
      <c r="D918" s="80">
        <v>44791</v>
      </c>
      <c r="E918" s="81">
        <v>26067.35</v>
      </c>
    </row>
    <row r="919" spans="4:5" hidden="1" outlineLevel="1" x14ac:dyDescent="0.3">
      <c r="D919" s="80">
        <v>44790</v>
      </c>
      <c r="E919" s="81">
        <v>26035.87</v>
      </c>
    </row>
    <row r="920" spans="4:5" hidden="1" outlineLevel="1" x14ac:dyDescent="0.3">
      <c r="D920" s="80">
        <v>44789</v>
      </c>
      <c r="E920" s="81">
        <v>25863.24</v>
      </c>
    </row>
    <row r="921" spans="4:5" hidden="1" outlineLevel="1" x14ac:dyDescent="0.3">
      <c r="D921" s="80">
        <v>44785</v>
      </c>
      <c r="E921" s="81">
        <v>25678.83</v>
      </c>
    </row>
    <row r="922" spans="4:5" hidden="1" outlineLevel="1" x14ac:dyDescent="0.3">
      <c r="D922" s="80">
        <v>44784</v>
      </c>
      <c r="E922" s="81">
        <v>25621.06</v>
      </c>
    </row>
    <row r="923" spans="4:5" hidden="1" outlineLevel="1" x14ac:dyDescent="0.3">
      <c r="D923" s="80">
        <v>44783</v>
      </c>
      <c r="E923" s="81">
        <v>25431.919999999998</v>
      </c>
    </row>
    <row r="924" spans="4:5" hidden="1" outlineLevel="1" x14ac:dyDescent="0.3">
      <c r="D924" s="80">
        <v>44781</v>
      </c>
      <c r="E924" s="81">
        <v>25413.25</v>
      </c>
    </row>
    <row r="925" spans="4:5" hidden="1" outlineLevel="1" x14ac:dyDescent="0.3">
      <c r="D925" s="80">
        <v>44778</v>
      </c>
      <c r="E925" s="81">
        <v>25215.93</v>
      </c>
    </row>
    <row r="926" spans="4:5" hidden="1" outlineLevel="1" x14ac:dyDescent="0.3">
      <c r="D926" s="80">
        <v>44777</v>
      </c>
      <c r="E926" s="81">
        <v>25193.41</v>
      </c>
    </row>
    <row r="927" spans="4:5" hidden="1" outlineLevel="1" x14ac:dyDescent="0.3">
      <c r="D927" s="80">
        <v>44776</v>
      </c>
      <c r="E927" s="81">
        <v>25202.38</v>
      </c>
    </row>
    <row r="928" spans="4:5" hidden="1" outlineLevel="1" x14ac:dyDescent="0.3">
      <c r="D928" s="80">
        <v>44775</v>
      </c>
      <c r="E928" s="81">
        <v>25137.82</v>
      </c>
    </row>
    <row r="929" spans="4:5" hidden="1" outlineLevel="1" x14ac:dyDescent="0.3">
      <c r="D929" s="80">
        <v>44774</v>
      </c>
      <c r="E929" s="81">
        <v>25128.57</v>
      </c>
    </row>
    <row r="930" spans="4:5" hidden="1" outlineLevel="1" x14ac:dyDescent="0.3">
      <c r="D930" s="80">
        <v>44771</v>
      </c>
      <c r="E930" s="81">
        <v>24862.7</v>
      </c>
    </row>
    <row r="931" spans="4:5" hidden="1" outlineLevel="1" x14ac:dyDescent="0.3">
      <c r="D931" s="80">
        <v>44770</v>
      </c>
      <c r="E931" s="81">
        <v>24531.38</v>
      </c>
    </row>
    <row r="932" spans="4:5" hidden="1" outlineLevel="1" x14ac:dyDescent="0.3">
      <c r="D932" s="80">
        <v>44769</v>
      </c>
      <c r="E932" s="81">
        <v>24114.41</v>
      </c>
    </row>
    <row r="933" spans="4:5" hidden="1" outlineLevel="1" x14ac:dyDescent="0.3">
      <c r="D933" s="80">
        <v>44768</v>
      </c>
      <c r="E933" s="81">
        <v>23882.26</v>
      </c>
    </row>
    <row r="934" spans="4:5" hidden="1" outlineLevel="1" x14ac:dyDescent="0.3">
      <c r="D934" s="80">
        <v>44767</v>
      </c>
      <c r="E934" s="81">
        <v>24095.46</v>
      </c>
    </row>
    <row r="935" spans="4:5" hidden="1" outlineLevel="1" x14ac:dyDescent="0.3">
      <c r="D935" s="80">
        <v>44764</v>
      </c>
      <c r="E935" s="81">
        <v>24223.56</v>
      </c>
    </row>
    <row r="936" spans="4:5" hidden="1" outlineLevel="1" x14ac:dyDescent="0.3">
      <c r="D936" s="80">
        <v>44763</v>
      </c>
      <c r="E936" s="81">
        <v>24058.17</v>
      </c>
    </row>
    <row r="937" spans="4:5" hidden="1" outlineLevel="1" x14ac:dyDescent="0.3">
      <c r="D937" s="80">
        <v>44762</v>
      </c>
      <c r="E937" s="81">
        <v>23920.880000000001</v>
      </c>
    </row>
    <row r="938" spans="4:5" hidden="1" outlineLevel="1" x14ac:dyDescent="0.3">
      <c r="D938" s="80">
        <v>44761</v>
      </c>
      <c r="E938" s="81">
        <v>23659.85</v>
      </c>
    </row>
    <row r="939" spans="4:5" hidden="1" outlineLevel="1" x14ac:dyDescent="0.3">
      <c r="D939" s="80">
        <v>44760</v>
      </c>
      <c r="E939" s="81">
        <v>23566.52</v>
      </c>
    </row>
    <row r="940" spans="4:5" hidden="1" outlineLevel="1" x14ac:dyDescent="0.3">
      <c r="D940" s="80">
        <v>44757</v>
      </c>
      <c r="E940" s="81">
        <v>23234.52</v>
      </c>
    </row>
    <row r="941" spans="4:5" hidden="1" outlineLevel="1" x14ac:dyDescent="0.3">
      <c r="D941" s="80">
        <v>44756</v>
      </c>
      <c r="E941" s="81">
        <v>23074.52</v>
      </c>
    </row>
    <row r="942" spans="4:5" hidden="1" outlineLevel="1" x14ac:dyDescent="0.3">
      <c r="D942" s="80">
        <v>44755</v>
      </c>
      <c r="E942" s="81">
        <v>23107.47</v>
      </c>
    </row>
    <row r="943" spans="4:5" hidden="1" outlineLevel="1" x14ac:dyDescent="0.3">
      <c r="D943" s="80">
        <v>44754</v>
      </c>
      <c r="E943" s="81">
        <v>23239.9</v>
      </c>
    </row>
    <row r="944" spans="4:5" hidden="1" outlineLevel="1" x14ac:dyDescent="0.3">
      <c r="D944" s="80">
        <v>44753</v>
      </c>
      <c r="E944" s="81">
        <v>23468.14</v>
      </c>
    </row>
    <row r="945" spans="4:5" hidden="1" outlineLevel="1" x14ac:dyDescent="0.3">
      <c r="D945" s="80">
        <v>44750</v>
      </c>
      <c r="E945" s="81">
        <v>23473.61</v>
      </c>
    </row>
    <row r="946" spans="4:5" hidden="1" outlineLevel="1" x14ac:dyDescent="0.3">
      <c r="D946" s="80">
        <v>44749</v>
      </c>
      <c r="E946" s="81">
        <v>23345.61</v>
      </c>
    </row>
    <row r="947" spans="4:5" hidden="1" outlineLevel="1" x14ac:dyDescent="0.3">
      <c r="D947" s="80">
        <v>44748</v>
      </c>
      <c r="E947" s="81">
        <v>23137.7</v>
      </c>
    </row>
    <row r="948" spans="4:5" hidden="1" outlineLevel="1" x14ac:dyDescent="0.3">
      <c r="D948" s="80">
        <v>44747</v>
      </c>
      <c r="E948" s="81">
        <v>22878.720000000001</v>
      </c>
    </row>
    <row r="949" spans="4:5" hidden="1" outlineLevel="1" x14ac:dyDescent="0.3">
      <c r="D949" s="80">
        <v>44746</v>
      </c>
      <c r="E949" s="81">
        <v>22914.2</v>
      </c>
    </row>
    <row r="950" spans="4:5" hidden="1" outlineLevel="1" x14ac:dyDescent="0.3">
      <c r="D950" s="80">
        <v>44743</v>
      </c>
      <c r="E950" s="81">
        <v>22788.18</v>
      </c>
    </row>
    <row r="951" spans="4:5" hidden="1" outlineLevel="1" x14ac:dyDescent="0.3">
      <c r="D951" s="80">
        <v>44742</v>
      </c>
      <c r="E951" s="81">
        <v>22828.93</v>
      </c>
    </row>
    <row r="952" spans="4:5" hidden="1" outlineLevel="1" x14ac:dyDescent="0.3">
      <c r="D952" s="80">
        <v>44741</v>
      </c>
      <c r="E952" s="81">
        <v>22848.35</v>
      </c>
    </row>
    <row r="953" spans="4:5" hidden="1" outlineLevel="1" x14ac:dyDescent="0.3">
      <c r="D953" s="80">
        <v>44740</v>
      </c>
      <c r="E953" s="81">
        <v>22922.240000000002</v>
      </c>
    </row>
    <row r="954" spans="4:5" hidden="1" outlineLevel="1" x14ac:dyDescent="0.3">
      <c r="D954" s="80">
        <v>44739</v>
      </c>
      <c r="E954" s="81">
        <v>22896.02</v>
      </c>
    </row>
    <row r="955" spans="4:5" hidden="1" outlineLevel="1" x14ac:dyDescent="0.3">
      <c r="D955" s="80">
        <v>44736</v>
      </c>
      <c r="E955" s="81">
        <v>22703.95</v>
      </c>
    </row>
    <row r="956" spans="4:5" hidden="1" outlineLevel="1" x14ac:dyDescent="0.3">
      <c r="D956" s="80">
        <v>44735</v>
      </c>
      <c r="E956" s="81">
        <v>22497.71</v>
      </c>
    </row>
    <row r="957" spans="4:5" hidden="1" outlineLevel="1" x14ac:dyDescent="0.3">
      <c r="D957" s="80">
        <v>44734</v>
      </c>
      <c r="E957" s="81">
        <v>22290.46</v>
      </c>
    </row>
    <row r="958" spans="4:5" hidden="1" outlineLevel="1" x14ac:dyDescent="0.3">
      <c r="D958" s="80">
        <v>44733</v>
      </c>
      <c r="E958" s="81">
        <v>22616.52</v>
      </c>
    </row>
    <row r="959" spans="4:5" hidden="1" outlineLevel="1" x14ac:dyDescent="0.3">
      <c r="D959" s="80">
        <v>44732</v>
      </c>
      <c r="E959" s="81">
        <v>22199.11</v>
      </c>
    </row>
    <row r="960" spans="4:5" hidden="1" outlineLevel="1" x14ac:dyDescent="0.3">
      <c r="D960" s="80">
        <v>44729</v>
      </c>
      <c r="E960" s="81">
        <v>22114.97</v>
      </c>
    </row>
    <row r="961" spans="4:5" hidden="1" outlineLevel="1" x14ac:dyDescent="0.3">
      <c r="D961" s="80">
        <v>44728</v>
      </c>
      <c r="E961" s="81">
        <v>22211.98</v>
      </c>
    </row>
    <row r="962" spans="4:5" hidden="1" outlineLevel="1" x14ac:dyDescent="0.3">
      <c r="D962" s="80">
        <v>44727</v>
      </c>
      <c r="E962" s="81">
        <v>22691.46</v>
      </c>
    </row>
    <row r="963" spans="4:5" hidden="1" outlineLevel="1" x14ac:dyDescent="0.3">
      <c r="D963" s="80">
        <v>44726</v>
      </c>
      <c r="E963" s="81">
        <v>22729.97</v>
      </c>
    </row>
    <row r="964" spans="4:5" hidden="1" outlineLevel="1" x14ac:dyDescent="0.3">
      <c r="D964" s="80">
        <v>44725</v>
      </c>
      <c r="E964" s="81">
        <v>22791.119999999999</v>
      </c>
    </row>
    <row r="965" spans="4:5" hidden="1" outlineLevel="1" x14ac:dyDescent="0.3">
      <c r="D965" s="80">
        <v>44722</v>
      </c>
      <c r="E965" s="81">
        <v>23408.59</v>
      </c>
    </row>
    <row r="966" spans="4:5" hidden="1" outlineLevel="1" x14ac:dyDescent="0.3">
      <c r="D966" s="80">
        <v>44721</v>
      </c>
      <c r="E966" s="81">
        <v>23807.84</v>
      </c>
    </row>
    <row r="967" spans="4:5" hidden="1" outlineLevel="1" x14ac:dyDescent="0.3">
      <c r="D967" s="80">
        <v>44720</v>
      </c>
      <c r="E967" s="81">
        <v>23628.32</v>
      </c>
    </row>
    <row r="968" spans="4:5" hidden="1" outlineLevel="1" x14ac:dyDescent="0.3">
      <c r="D968" s="80">
        <v>44719</v>
      </c>
      <c r="E968" s="81">
        <v>23715.1</v>
      </c>
    </row>
    <row r="969" spans="4:5" hidden="1" outlineLevel="1" x14ac:dyDescent="0.3">
      <c r="D969" s="80">
        <v>44718</v>
      </c>
      <c r="E969" s="81">
        <v>23936.44</v>
      </c>
    </row>
    <row r="970" spans="4:5" hidden="1" outlineLevel="1" x14ac:dyDescent="0.3">
      <c r="D970" s="80">
        <v>44715</v>
      </c>
      <c r="E970" s="81">
        <v>23957.71</v>
      </c>
    </row>
    <row r="971" spans="4:5" hidden="1" outlineLevel="1" x14ac:dyDescent="0.3">
      <c r="D971" s="80">
        <v>44714</v>
      </c>
      <c r="E971" s="81">
        <v>24020.89</v>
      </c>
    </row>
    <row r="972" spans="4:5" hidden="1" outlineLevel="1" x14ac:dyDescent="0.3">
      <c r="D972" s="80">
        <v>44713</v>
      </c>
      <c r="E972" s="81">
        <v>23868.85</v>
      </c>
    </row>
    <row r="973" spans="4:5" hidden="1" outlineLevel="1" x14ac:dyDescent="0.3">
      <c r="D973" s="80">
        <v>44712</v>
      </c>
      <c r="E973" s="81">
        <v>23958.1</v>
      </c>
    </row>
    <row r="974" spans="4:5" hidden="1" outlineLevel="1" x14ac:dyDescent="0.3">
      <c r="D974" s="80">
        <v>44711</v>
      </c>
      <c r="E974" s="81">
        <v>24031.25</v>
      </c>
    </row>
    <row r="975" spans="4:5" hidden="1" outlineLevel="1" x14ac:dyDescent="0.3">
      <c r="D975" s="80">
        <v>44708</v>
      </c>
      <c r="E975" s="81">
        <v>23585.61</v>
      </c>
    </row>
    <row r="976" spans="4:5" hidden="1" outlineLevel="1" x14ac:dyDescent="0.3">
      <c r="D976" s="80">
        <v>44707</v>
      </c>
      <c r="E976" s="81">
        <v>23322.66</v>
      </c>
    </row>
    <row r="977" spans="4:5" hidden="1" outlineLevel="1" x14ac:dyDescent="0.3">
      <c r="D977" s="80">
        <v>44706</v>
      </c>
      <c r="E977" s="81">
        <v>23096.63</v>
      </c>
    </row>
    <row r="978" spans="4:5" hidden="1" outlineLevel="1" x14ac:dyDescent="0.3">
      <c r="D978" s="80">
        <v>44705</v>
      </c>
      <c r="E978" s="81">
        <v>23223.25</v>
      </c>
    </row>
    <row r="979" spans="4:5" hidden="1" outlineLevel="1" x14ac:dyDescent="0.3">
      <c r="D979" s="80">
        <v>44704</v>
      </c>
      <c r="E979" s="81">
        <v>23352.22</v>
      </c>
    </row>
    <row r="980" spans="4:5" hidden="1" outlineLevel="1" x14ac:dyDescent="0.3">
      <c r="D980" s="80">
        <v>44701</v>
      </c>
      <c r="E980" s="81">
        <v>23426.36</v>
      </c>
    </row>
    <row r="981" spans="4:5" hidden="1" outlineLevel="1" x14ac:dyDescent="0.3">
      <c r="D981" s="80">
        <v>44700</v>
      </c>
      <c r="E981" s="81">
        <v>22768.49</v>
      </c>
    </row>
    <row r="982" spans="4:5" hidden="1" outlineLevel="1" x14ac:dyDescent="0.3">
      <c r="D982" s="80">
        <v>44699</v>
      </c>
      <c r="E982" s="81">
        <v>23389.07</v>
      </c>
    </row>
    <row r="983" spans="4:5" hidden="1" outlineLevel="1" x14ac:dyDescent="0.3">
      <c r="D983" s="80">
        <v>44698</v>
      </c>
      <c r="E983" s="81">
        <v>23416.46</v>
      </c>
    </row>
    <row r="984" spans="4:5" hidden="1" outlineLevel="1" x14ac:dyDescent="0.3">
      <c r="D984" s="80">
        <v>44697</v>
      </c>
      <c r="E984" s="81">
        <v>22815.88</v>
      </c>
    </row>
    <row r="985" spans="4:5" hidden="1" outlineLevel="1" x14ac:dyDescent="0.3">
      <c r="D985" s="80">
        <v>44694</v>
      </c>
      <c r="E985" s="81">
        <v>22729.279999999999</v>
      </c>
    </row>
    <row r="986" spans="4:5" hidden="1" outlineLevel="1" x14ac:dyDescent="0.3">
      <c r="D986" s="80">
        <v>44693</v>
      </c>
      <c r="E986" s="81">
        <v>22766.52</v>
      </c>
    </row>
    <row r="987" spans="4:5" hidden="1" outlineLevel="1" x14ac:dyDescent="0.3">
      <c r="D987" s="80">
        <v>44692</v>
      </c>
      <c r="E987" s="81">
        <v>23260.85</v>
      </c>
    </row>
    <row r="988" spans="4:5" hidden="1" outlineLevel="1" x14ac:dyDescent="0.3">
      <c r="D988" s="80">
        <v>44691</v>
      </c>
      <c r="E988" s="81">
        <v>23365.81</v>
      </c>
    </row>
    <row r="989" spans="4:5" hidden="1" outlineLevel="1" x14ac:dyDescent="0.3">
      <c r="D989" s="80">
        <v>44690</v>
      </c>
      <c r="E989" s="81">
        <v>23454.71</v>
      </c>
    </row>
    <row r="990" spans="4:5" hidden="1" outlineLevel="1" x14ac:dyDescent="0.3">
      <c r="D990" s="80">
        <v>44687</v>
      </c>
      <c r="E990" s="81">
        <v>23612.16</v>
      </c>
    </row>
    <row r="991" spans="4:5" hidden="1" outlineLevel="1" x14ac:dyDescent="0.3">
      <c r="D991" s="80">
        <v>44686</v>
      </c>
      <c r="E991" s="81">
        <v>24002.58</v>
      </c>
    </row>
    <row r="992" spans="4:5" hidden="1" outlineLevel="1" x14ac:dyDescent="0.3">
      <c r="D992" s="80">
        <v>44685</v>
      </c>
      <c r="E992" s="81">
        <v>23995.35</v>
      </c>
    </row>
    <row r="993" spans="4:5" hidden="1" outlineLevel="1" x14ac:dyDescent="0.3">
      <c r="D993" s="80">
        <v>44683</v>
      </c>
      <c r="E993" s="81">
        <v>24558.61</v>
      </c>
    </row>
    <row r="994" spans="4:5" hidden="1" outlineLevel="1" x14ac:dyDescent="0.3">
      <c r="D994" s="80">
        <v>44680</v>
      </c>
      <c r="E994" s="81">
        <v>24606.78</v>
      </c>
    </row>
    <row r="995" spans="4:5" hidden="1" outlineLevel="1" x14ac:dyDescent="0.3">
      <c r="D995" s="80">
        <v>44679</v>
      </c>
      <c r="E995" s="81">
        <v>24811.78</v>
      </c>
    </row>
    <row r="996" spans="4:5" hidden="1" outlineLevel="1" x14ac:dyDescent="0.3">
      <c r="D996" s="80">
        <v>44678</v>
      </c>
      <c r="E996" s="81">
        <v>24508.3</v>
      </c>
    </row>
    <row r="997" spans="4:5" hidden="1" outlineLevel="1" x14ac:dyDescent="0.3">
      <c r="D997" s="80">
        <v>44677</v>
      </c>
      <c r="E997" s="81">
        <v>24741.88</v>
      </c>
    </row>
    <row r="998" spans="4:5" hidden="1" outlineLevel="1" x14ac:dyDescent="0.3">
      <c r="D998" s="80">
        <v>44676</v>
      </c>
      <c r="E998" s="81">
        <v>24386.78</v>
      </c>
    </row>
    <row r="999" spans="4:5" hidden="1" outlineLevel="1" x14ac:dyDescent="0.3">
      <c r="D999" s="80">
        <v>44673</v>
      </c>
      <c r="E999" s="81">
        <v>24700.36</v>
      </c>
    </row>
    <row r="1000" spans="4:5" hidden="1" outlineLevel="1" x14ac:dyDescent="0.3">
      <c r="D1000" s="80">
        <v>44672</v>
      </c>
      <c r="E1000" s="81">
        <v>25017.73</v>
      </c>
    </row>
    <row r="1001" spans="4:5" hidden="1" outlineLevel="1" x14ac:dyDescent="0.3">
      <c r="D1001" s="80">
        <v>44671</v>
      </c>
      <c r="E1001" s="81">
        <v>24648.400000000001</v>
      </c>
    </row>
    <row r="1002" spans="4:5" hidden="1" outlineLevel="1" x14ac:dyDescent="0.3">
      <c r="D1002" s="80">
        <v>44670</v>
      </c>
      <c r="E1002" s="81">
        <v>24392.54</v>
      </c>
    </row>
    <row r="1003" spans="4:5" hidden="1" outlineLevel="1" x14ac:dyDescent="0.3">
      <c r="D1003" s="80">
        <v>44669</v>
      </c>
      <c r="E1003" s="81">
        <v>24701.75</v>
      </c>
    </row>
    <row r="1004" spans="4:5" hidden="1" outlineLevel="1" x14ac:dyDescent="0.3">
      <c r="D1004" s="80">
        <v>44664</v>
      </c>
      <c r="E1004" s="81">
        <v>25136.13</v>
      </c>
    </row>
    <row r="1005" spans="4:5" hidden="1" outlineLevel="1" x14ac:dyDescent="0.3">
      <c r="D1005" s="80">
        <v>44663</v>
      </c>
      <c r="E1005" s="81">
        <v>25214.76</v>
      </c>
    </row>
    <row r="1006" spans="4:5" hidden="1" outlineLevel="1" x14ac:dyDescent="0.3">
      <c r="D1006" s="80">
        <v>44662</v>
      </c>
      <c r="E1006" s="81">
        <v>25422.81</v>
      </c>
    </row>
    <row r="1007" spans="4:5" hidden="1" outlineLevel="1" x14ac:dyDescent="0.3">
      <c r="D1007" s="80">
        <v>44659</v>
      </c>
      <c r="E1007" s="81">
        <v>25580.15</v>
      </c>
    </row>
    <row r="1008" spans="4:5" hidden="1" outlineLevel="1" x14ac:dyDescent="0.3">
      <c r="D1008" s="80">
        <v>44658</v>
      </c>
      <c r="E1008" s="81">
        <v>25371.88</v>
      </c>
    </row>
    <row r="1009" spans="4:5" hidden="1" outlineLevel="1" x14ac:dyDescent="0.3">
      <c r="D1009" s="80">
        <v>44657</v>
      </c>
      <c r="E1009" s="81">
        <v>25613.71</v>
      </c>
    </row>
    <row r="1010" spans="4:5" hidden="1" outlineLevel="1" x14ac:dyDescent="0.3">
      <c r="D1010" s="80">
        <v>44656</v>
      </c>
      <c r="E1010" s="81">
        <v>25829.11</v>
      </c>
    </row>
    <row r="1011" spans="4:5" hidden="1" outlineLevel="1" x14ac:dyDescent="0.3">
      <c r="D1011" s="80">
        <v>44655</v>
      </c>
      <c r="E1011" s="81">
        <v>25964.720000000001</v>
      </c>
    </row>
    <row r="1012" spans="4:5" hidden="1" outlineLevel="1" x14ac:dyDescent="0.3">
      <c r="D1012" s="80">
        <v>44652</v>
      </c>
      <c r="E1012" s="81">
        <v>25413.94</v>
      </c>
    </row>
    <row r="1013" spans="4:5" hidden="1" outlineLevel="1" x14ac:dyDescent="0.3">
      <c r="D1013" s="80">
        <v>44651</v>
      </c>
      <c r="E1013" s="81">
        <v>25118.14</v>
      </c>
    </row>
    <row r="1014" spans="4:5" hidden="1" outlineLevel="1" x14ac:dyDescent="0.3">
      <c r="D1014" s="80">
        <v>44650</v>
      </c>
      <c r="E1014" s="81">
        <v>25166.31</v>
      </c>
    </row>
    <row r="1015" spans="4:5" hidden="1" outlineLevel="1" x14ac:dyDescent="0.3">
      <c r="D1015" s="80">
        <v>44649</v>
      </c>
      <c r="E1015" s="81">
        <v>24917.57</v>
      </c>
    </row>
    <row r="1016" spans="4:5" hidden="1" outlineLevel="1" x14ac:dyDescent="0.3">
      <c r="D1016" s="80">
        <v>44648</v>
      </c>
      <c r="E1016" s="81">
        <v>24768.69</v>
      </c>
    </row>
    <row r="1017" spans="4:5" hidden="1" outlineLevel="1" x14ac:dyDescent="0.3">
      <c r="D1017" s="80">
        <v>44645</v>
      </c>
      <c r="E1017" s="81">
        <v>24669.45</v>
      </c>
    </row>
    <row r="1018" spans="4:5" hidden="1" outlineLevel="1" x14ac:dyDescent="0.3">
      <c r="D1018" s="80">
        <v>44644</v>
      </c>
      <c r="E1018" s="81">
        <v>24769.75</v>
      </c>
    </row>
    <row r="1019" spans="4:5" hidden="1" outlineLevel="1" x14ac:dyDescent="0.3">
      <c r="D1019" s="80">
        <v>44643</v>
      </c>
      <c r="E1019" s="81">
        <v>24802.74</v>
      </c>
    </row>
    <row r="1020" spans="4:5" hidden="1" outlineLevel="1" x14ac:dyDescent="0.3">
      <c r="D1020" s="80">
        <v>44642</v>
      </c>
      <c r="E1020" s="81">
        <v>24903.14</v>
      </c>
    </row>
    <row r="1021" spans="4:5" hidden="1" outlineLevel="1" x14ac:dyDescent="0.3">
      <c r="D1021" s="80">
        <v>44641</v>
      </c>
      <c r="E1021" s="81">
        <v>24618.52</v>
      </c>
    </row>
    <row r="1022" spans="4:5" hidden="1" outlineLevel="1" x14ac:dyDescent="0.3">
      <c r="D1022" s="80">
        <v>44637</v>
      </c>
      <c r="E1022" s="81">
        <v>24862.27</v>
      </c>
    </row>
    <row r="1023" spans="4:5" hidden="1" outlineLevel="1" x14ac:dyDescent="0.3">
      <c r="D1023" s="80">
        <v>44636</v>
      </c>
      <c r="E1023" s="81">
        <v>24414</v>
      </c>
    </row>
    <row r="1024" spans="4:5" hidden="1" outlineLevel="1" x14ac:dyDescent="0.3">
      <c r="D1024" s="80">
        <v>44635</v>
      </c>
      <c r="E1024" s="81">
        <v>23964.720000000001</v>
      </c>
    </row>
    <row r="1025" spans="4:5" hidden="1" outlineLevel="1" x14ac:dyDescent="0.3">
      <c r="D1025" s="80">
        <v>44634</v>
      </c>
      <c r="E1025" s="81">
        <v>24264.29</v>
      </c>
    </row>
    <row r="1026" spans="4:5" hidden="1" outlineLevel="1" x14ac:dyDescent="0.3">
      <c r="D1026" s="80">
        <v>44631</v>
      </c>
      <c r="E1026" s="81">
        <v>23917.96</v>
      </c>
    </row>
    <row r="1027" spans="4:5" hidden="1" outlineLevel="1" x14ac:dyDescent="0.3">
      <c r="D1027" s="80">
        <v>44630</v>
      </c>
      <c r="E1027" s="81">
        <v>23866.77</v>
      </c>
    </row>
    <row r="1028" spans="4:5" hidden="1" outlineLevel="1" x14ac:dyDescent="0.3">
      <c r="D1028" s="80">
        <v>44629</v>
      </c>
      <c r="E1028" s="81">
        <v>23507.87</v>
      </c>
    </row>
    <row r="1029" spans="4:5" hidden="1" outlineLevel="1" x14ac:dyDescent="0.3">
      <c r="D1029" s="80">
        <v>44628</v>
      </c>
      <c r="E1029" s="81">
        <v>23030.560000000001</v>
      </c>
    </row>
    <row r="1030" spans="4:5" hidden="1" outlineLevel="1" x14ac:dyDescent="0.3">
      <c r="D1030" s="80">
        <v>44627</v>
      </c>
      <c r="E1030" s="81">
        <v>22814.41</v>
      </c>
    </row>
    <row r="1031" spans="4:5" hidden="1" outlineLevel="1" x14ac:dyDescent="0.3">
      <c r="D1031" s="80">
        <v>44624</v>
      </c>
      <c r="E1031" s="81">
        <v>23364.07</v>
      </c>
    </row>
    <row r="1032" spans="4:5" hidden="1" outlineLevel="1" x14ac:dyDescent="0.3">
      <c r="D1032" s="80">
        <v>44623</v>
      </c>
      <c r="E1032" s="81">
        <v>23727.54</v>
      </c>
    </row>
    <row r="1033" spans="4:5" hidden="1" outlineLevel="1" x14ac:dyDescent="0.3">
      <c r="D1033" s="80">
        <v>44622</v>
      </c>
      <c r="E1033" s="81">
        <v>23882.720000000001</v>
      </c>
    </row>
    <row r="1034" spans="4:5" hidden="1" outlineLevel="1" x14ac:dyDescent="0.3">
      <c r="D1034" s="80">
        <v>44620</v>
      </c>
      <c r="E1034" s="81">
        <v>24153.01</v>
      </c>
    </row>
    <row r="1035" spans="4:5" hidden="1" outlineLevel="1" x14ac:dyDescent="0.3">
      <c r="D1035" s="80">
        <v>44617</v>
      </c>
      <c r="E1035" s="81">
        <v>23958.1</v>
      </c>
    </row>
    <row r="1036" spans="4:5" hidden="1" outlineLevel="1" x14ac:dyDescent="0.3">
      <c r="D1036" s="80">
        <v>44616</v>
      </c>
      <c r="E1036" s="81">
        <v>23367.85</v>
      </c>
    </row>
    <row r="1037" spans="4:5" hidden="1" outlineLevel="1" x14ac:dyDescent="0.3">
      <c r="D1037" s="80">
        <v>44615</v>
      </c>
      <c r="E1037" s="81">
        <v>24540.41</v>
      </c>
    </row>
    <row r="1038" spans="4:5" hidden="1" outlineLevel="1" x14ac:dyDescent="0.3">
      <c r="D1038" s="80">
        <v>44614</v>
      </c>
      <c r="E1038" s="81">
        <v>24582.05</v>
      </c>
    </row>
    <row r="1039" spans="4:5" hidden="1" outlineLevel="1" x14ac:dyDescent="0.3">
      <c r="D1039" s="80">
        <v>44613</v>
      </c>
      <c r="E1039" s="81">
        <v>24746.59</v>
      </c>
    </row>
    <row r="1040" spans="4:5" hidden="1" outlineLevel="1" x14ac:dyDescent="0.3">
      <c r="D1040" s="80">
        <v>44610</v>
      </c>
      <c r="E1040" s="81">
        <v>24838.68</v>
      </c>
    </row>
    <row r="1041" spans="4:5" hidden="1" outlineLevel="1" x14ac:dyDescent="0.3">
      <c r="D1041" s="80">
        <v>44609</v>
      </c>
      <c r="E1041" s="81">
        <v>24879.32</v>
      </c>
    </row>
    <row r="1042" spans="4:5" hidden="1" outlineLevel="1" x14ac:dyDescent="0.3">
      <c r="D1042" s="80">
        <v>44608</v>
      </c>
      <c r="E1042" s="81">
        <v>24904.67</v>
      </c>
    </row>
    <row r="1043" spans="4:5" hidden="1" outlineLevel="1" x14ac:dyDescent="0.3">
      <c r="D1043" s="80">
        <v>44607</v>
      </c>
      <c r="E1043" s="81">
        <v>24941.93</v>
      </c>
    </row>
    <row r="1044" spans="4:5" hidden="1" outlineLevel="1" x14ac:dyDescent="0.3">
      <c r="D1044" s="80">
        <v>44606</v>
      </c>
      <c r="E1044" s="81">
        <v>24209.38</v>
      </c>
    </row>
    <row r="1045" spans="4:5" hidden="1" outlineLevel="1" x14ac:dyDescent="0.3">
      <c r="D1045" s="80">
        <v>44603</v>
      </c>
      <c r="E1045" s="81">
        <v>24958.45</v>
      </c>
    </row>
    <row r="1046" spans="4:5" hidden="1" outlineLevel="1" x14ac:dyDescent="0.3">
      <c r="D1046" s="80">
        <v>44602</v>
      </c>
      <c r="E1046" s="81">
        <v>25290.42</v>
      </c>
    </row>
    <row r="1047" spans="4:5" hidden="1" outlineLevel="1" x14ac:dyDescent="0.3">
      <c r="D1047" s="80">
        <v>44601</v>
      </c>
      <c r="E1047" s="81">
        <v>25084.6</v>
      </c>
    </row>
    <row r="1048" spans="4:5" hidden="1" outlineLevel="1" x14ac:dyDescent="0.3">
      <c r="D1048" s="80">
        <v>44600</v>
      </c>
      <c r="E1048" s="81">
        <v>24795.759999999998</v>
      </c>
    </row>
    <row r="1049" spans="4:5" hidden="1" outlineLevel="1" x14ac:dyDescent="0.3">
      <c r="D1049" s="80">
        <v>44599</v>
      </c>
      <c r="E1049" s="81">
        <v>24719.45</v>
      </c>
    </row>
    <row r="1050" spans="4:5" hidden="1" outlineLevel="1" x14ac:dyDescent="0.3">
      <c r="D1050" s="80">
        <v>44596</v>
      </c>
      <c r="E1050" s="81">
        <v>25154.14</v>
      </c>
    </row>
    <row r="1051" spans="4:5" hidden="1" outlineLevel="1" x14ac:dyDescent="0.3">
      <c r="D1051" s="80">
        <v>44595</v>
      </c>
      <c r="E1051" s="81">
        <v>25217.200000000001</v>
      </c>
    </row>
    <row r="1052" spans="4:5" hidden="1" outlineLevel="1" x14ac:dyDescent="0.3">
      <c r="D1052" s="80">
        <v>44594</v>
      </c>
      <c r="E1052" s="81">
        <v>25526.55</v>
      </c>
    </row>
    <row r="1053" spans="4:5" hidden="1" outlineLevel="1" x14ac:dyDescent="0.3">
      <c r="D1053" s="80">
        <v>44593</v>
      </c>
      <c r="E1053" s="81">
        <v>25234.89</v>
      </c>
    </row>
    <row r="1054" spans="4:5" hidden="1" outlineLevel="1" x14ac:dyDescent="0.3">
      <c r="D1054" s="80">
        <v>44592</v>
      </c>
      <c r="E1054" s="81">
        <v>24894.62</v>
      </c>
    </row>
    <row r="1055" spans="4:5" hidden="1" outlineLevel="1" x14ac:dyDescent="0.3">
      <c r="D1055" s="80">
        <v>44589</v>
      </c>
      <c r="E1055" s="81">
        <v>24553.040000000001</v>
      </c>
    </row>
    <row r="1056" spans="4:5" hidden="1" outlineLevel="1" x14ac:dyDescent="0.3">
      <c r="D1056" s="80">
        <v>44588</v>
      </c>
      <c r="E1056" s="81">
        <v>24564.81</v>
      </c>
    </row>
    <row r="1057" spans="4:5" hidden="1" outlineLevel="1" x14ac:dyDescent="0.3">
      <c r="D1057" s="80">
        <v>44586</v>
      </c>
      <c r="E1057" s="81">
        <v>24805.75</v>
      </c>
    </row>
    <row r="1058" spans="4:5" hidden="1" outlineLevel="1" x14ac:dyDescent="0.3">
      <c r="D1058" s="80">
        <v>44585</v>
      </c>
      <c r="E1058" s="81">
        <v>24620.720000000001</v>
      </c>
    </row>
    <row r="1059" spans="4:5" hidden="1" outlineLevel="1" x14ac:dyDescent="0.3">
      <c r="D1059" s="80">
        <v>44582</v>
      </c>
      <c r="E1059" s="81">
        <v>25292.720000000001</v>
      </c>
    </row>
    <row r="1060" spans="4:5" hidden="1" outlineLevel="1" x14ac:dyDescent="0.3">
      <c r="D1060" s="80">
        <v>44581</v>
      </c>
      <c r="E1060" s="81">
        <v>25492.99</v>
      </c>
    </row>
    <row r="1061" spans="4:5" hidden="1" outlineLevel="1" x14ac:dyDescent="0.3">
      <c r="D1061" s="80">
        <v>44580</v>
      </c>
      <c r="E1061" s="81">
        <v>25749.81</v>
      </c>
    </row>
    <row r="1062" spans="4:5" hidden="1" outlineLevel="1" x14ac:dyDescent="0.3">
      <c r="D1062" s="80">
        <v>44579</v>
      </c>
      <c r="E1062" s="81">
        <v>25998.14</v>
      </c>
    </row>
    <row r="1063" spans="4:5" hidden="1" outlineLevel="1" x14ac:dyDescent="0.3">
      <c r="D1063" s="80">
        <v>44578</v>
      </c>
      <c r="E1063" s="81">
        <v>26278.07</v>
      </c>
    </row>
    <row r="1064" spans="4:5" hidden="1" outlineLevel="1" x14ac:dyDescent="0.3">
      <c r="D1064" s="80">
        <v>44575</v>
      </c>
      <c r="E1064" s="81">
        <v>26202.97</v>
      </c>
    </row>
    <row r="1065" spans="4:5" hidden="1" outlineLevel="1" x14ac:dyDescent="0.3">
      <c r="D1065" s="80">
        <v>44574</v>
      </c>
      <c r="E1065" s="81">
        <v>26205.87</v>
      </c>
    </row>
    <row r="1066" spans="4:5" hidden="1" outlineLevel="1" x14ac:dyDescent="0.3">
      <c r="D1066" s="80">
        <v>44573</v>
      </c>
      <c r="E1066" s="81">
        <v>26140.68</v>
      </c>
    </row>
    <row r="1067" spans="4:5" hidden="1" outlineLevel="1" x14ac:dyDescent="0.3">
      <c r="D1067" s="80">
        <v>44572</v>
      </c>
      <c r="E1067" s="81">
        <v>25915.89</v>
      </c>
    </row>
    <row r="1068" spans="4:5" hidden="1" outlineLevel="1" x14ac:dyDescent="0.3">
      <c r="D1068" s="80">
        <v>44571</v>
      </c>
      <c r="E1068" s="81">
        <v>25840.62</v>
      </c>
    </row>
    <row r="1069" spans="4:5" hidden="1" outlineLevel="1" x14ac:dyDescent="0.3">
      <c r="D1069" s="80">
        <v>44568</v>
      </c>
      <c r="E1069" s="81">
        <v>25567.06</v>
      </c>
    </row>
    <row r="1070" spans="4:5" hidden="1" outlineLevel="1" x14ac:dyDescent="0.3">
      <c r="D1070" s="80">
        <v>44567</v>
      </c>
      <c r="E1070" s="81">
        <v>25471.18</v>
      </c>
    </row>
    <row r="1071" spans="4:5" hidden="1" outlineLevel="1" x14ac:dyDescent="0.3">
      <c r="D1071" s="80">
        <v>44566</v>
      </c>
      <c r="E1071" s="81">
        <v>25728.58</v>
      </c>
    </row>
    <row r="1072" spans="4:5" hidden="1" outlineLevel="1" x14ac:dyDescent="0.3">
      <c r="D1072" s="80">
        <v>44565</v>
      </c>
      <c r="E1072" s="81">
        <v>25556.34</v>
      </c>
    </row>
    <row r="1073" spans="4:5" hidden="1" outlineLevel="1" x14ac:dyDescent="0.3">
      <c r="D1073" s="80">
        <v>44564</v>
      </c>
      <c r="E1073" s="81">
        <v>25298.63</v>
      </c>
    </row>
    <row r="1074" spans="4:5" hidden="1" outlineLevel="1" x14ac:dyDescent="0.3">
      <c r="D1074" s="80">
        <v>44561</v>
      </c>
      <c r="E1074" s="81">
        <v>24908.71</v>
      </c>
    </row>
    <row r="1075" spans="4:5" hidden="1" outlineLevel="1" x14ac:dyDescent="0.3">
      <c r="D1075" s="80">
        <v>44560</v>
      </c>
      <c r="E1075" s="81">
        <v>24693.25</v>
      </c>
    </row>
    <row r="1076" spans="4:5" hidden="1" outlineLevel="1" x14ac:dyDescent="0.3">
      <c r="D1076" s="80">
        <v>44559</v>
      </c>
      <c r="E1076" s="81">
        <v>24707.1</v>
      </c>
    </row>
    <row r="1077" spans="4:5" hidden="1" outlineLevel="1" x14ac:dyDescent="0.3">
      <c r="D1077" s="80">
        <v>44558</v>
      </c>
      <c r="E1077" s="81">
        <v>24735.32</v>
      </c>
    </row>
    <row r="1078" spans="4:5" hidden="1" outlineLevel="1" x14ac:dyDescent="0.3">
      <c r="D1078" s="80">
        <v>44557</v>
      </c>
      <c r="E1078" s="81">
        <v>24524.36</v>
      </c>
    </row>
    <row r="1079" spans="4:5" hidden="1" outlineLevel="1" x14ac:dyDescent="0.3">
      <c r="D1079" s="80">
        <v>44554</v>
      </c>
      <c r="E1079" s="81">
        <v>24405.96</v>
      </c>
    </row>
    <row r="1080" spans="4:5" hidden="1" outlineLevel="1" x14ac:dyDescent="0.3">
      <c r="D1080" s="80">
        <v>44553</v>
      </c>
      <c r="E1080" s="81">
        <v>24504.75</v>
      </c>
    </row>
    <row r="1081" spans="4:5" hidden="1" outlineLevel="1" x14ac:dyDescent="0.3">
      <c r="D1081" s="80">
        <v>44552</v>
      </c>
      <c r="E1081" s="81">
        <v>24336.62</v>
      </c>
    </row>
    <row r="1082" spans="4:5" hidden="1" outlineLevel="1" x14ac:dyDescent="0.3">
      <c r="D1082" s="80">
        <v>44551</v>
      </c>
      <c r="E1082" s="81">
        <v>24063.78</v>
      </c>
    </row>
    <row r="1083" spans="4:5" hidden="1" outlineLevel="1" x14ac:dyDescent="0.3">
      <c r="D1083" s="80">
        <v>44550</v>
      </c>
      <c r="E1083" s="81">
        <v>23839.01</v>
      </c>
    </row>
    <row r="1084" spans="4:5" hidden="1" outlineLevel="1" x14ac:dyDescent="0.3">
      <c r="D1084" s="80">
        <v>44547</v>
      </c>
      <c r="E1084" s="81">
        <v>24371.37</v>
      </c>
    </row>
    <row r="1085" spans="4:5" hidden="1" outlineLevel="1" x14ac:dyDescent="0.3">
      <c r="D1085" s="80">
        <v>44546</v>
      </c>
      <c r="E1085" s="81">
        <v>24749.01</v>
      </c>
    </row>
    <row r="1086" spans="4:5" hidden="1" outlineLevel="1" x14ac:dyDescent="0.3">
      <c r="D1086" s="80">
        <v>44545</v>
      </c>
      <c r="E1086" s="81">
        <v>24710.3</v>
      </c>
    </row>
    <row r="1087" spans="4:5" hidden="1" outlineLevel="1" x14ac:dyDescent="0.3">
      <c r="D1087" s="80">
        <v>44544</v>
      </c>
      <c r="E1087" s="81">
        <v>24858.79</v>
      </c>
    </row>
    <row r="1088" spans="4:5" hidden="1" outlineLevel="1" x14ac:dyDescent="0.3">
      <c r="D1088" s="80">
        <v>44543</v>
      </c>
      <c r="E1088" s="81">
        <v>24921.02</v>
      </c>
    </row>
    <row r="1089" spans="4:5" hidden="1" outlineLevel="1" x14ac:dyDescent="0.3">
      <c r="D1089" s="80">
        <v>44540</v>
      </c>
      <c r="E1089" s="81">
        <v>25126.240000000002</v>
      </c>
    </row>
    <row r="1090" spans="4:5" hidden="1" outlineLevel="1" x14ac:dyDescent="0.3">
      <c r="D1090" s="80">
        <v>44539</v>
      </c>
      <c r="E1090" s="81">
        <v>25134.23</v>
      </c>
    </row>
    <row r="1091" spans="4:5" hidden="1" outlineLevel="1" x14ac:dyDescent="0.3">
      <c r="D1091" s="80">
        <v>44538</v>
      </c>
      <c r="E1091" s="81">
        <v>25066.62</v>
      </c>
    </row>
    <row r="1092" spans="4:5" hidden="1" outlineLevel="1" x14ac:dyDescent="0.3">
      <c r="D1092" s="80">
        <v>44537</v>
      </c>
      <c r="E1092" s="81">
        <v>24646.18</v>
      </c>
    </row>
    <row r="1093" spans="4:5" hidden="1" outlineLevel="1" x14ac:dyDescent="0.3">
      <c r="D1093" s="80">
        <v>44536</v>
      </c>
      <c r="E1093" s="81">
        <v>24266.71</v>
      </c>
    </row>
    <row r="1094" spans="4:5" hidden="1" outlineLevel="1" x14ac:dyDescent="0.3">
      <c r="D1094" s="80">
        <v>44533</v>
      </c>
      <c r="E1094" s="81">
        <v>24674.83</v>
      </c>
    </row>
    <row r="1095" spans="4:5" hidden="1" outlineLevel="1" x14ac:dyDescent="0.3">
      <c r="D1095" s="80">
        <v>44532</v>
      </c>
      <c r="E1095" s="81">
        <v>24968.91</v>
      </c>
    </row>
    <row r="1096" spans="4:5" hidden="1" outlineLevel="1" x14ac:dyDescent="0.3">
      <c r="D1096" s="80">
        <v>44531</v>
      </c>
      <c r="E1096" s="81">
        <v>24632.06</v>
      </c>
    </row>
    <row r="1097" spans="4:5" hidden="1" outlineLevel="1" x14ac:dyDescent="0.3">
      <c r="D1097" s="80">
        <v>44530</v>
      </c>
      <c r="E1097" s="81">
        <v>24368.53</v>
      </c>
    </row>
    <row r="1098" spans="4:5" hidden="1" outlineLevel="1" x14ac:dyDescent="0.3">
      <c r="D1098" s="80">
        <v>44529</v>
      </c>
      <c r="E1098" s="81">
        <v>24469.99</v>
      </c>
    </row>
    <row r="1099" spans="4:5" hidden="1" outlineLevel="1" x14ac:dyDescent="0.3">
      <c r="D1099" s="80">
        <v>44526</v>
      </c>
      <c r="E1099" s="81">
        <v>24430.53</v>
      </c>
    </row>
    <row r="1100" spans="4:5" hidden="1" outlineLevel="1" x14ac:dyDescent="0.3">
      <c r="D1100" s="80">
        <v>44525</v>
      </c>
      <c r="E1100" s="81">
        <v>25162.07</v>
      </c>
    </row>
    <row r="1101" spans="4:5" hidden="1" outlineLevel="1" x14ac:dyDescent="0.3">
      <c r="D1101" s="80">
        <v>44524</v>
      </c>
      <c r="E1101" s="81">
        <v>24988.18</v>
      </c>
    </row>
    <row r="1102" spans="4:5" hidden="1" outlineLevel="1" x14ac:dyDescent="0.3">
      <c r="D1102" s="80">
        <v>44523</v>
      </c>
      <c r="E1102" s="81">
        <v>25114.82</v>
      </c>
    </row>
    <row r="1103" spans="4:5" hidden="1" outlineLevel="1" x14ac:dyDescent="0.3">
      <c r="D1103" s="80">
        <v>44522</v>
      </c>
      <c r="E1103" s="81">
        <v>24990.27</v>
      </c>
    </row>
    <row r="1104" spans="4:5" hidden="1" outlineLevel="1" x14ac:dyDescent="0.3">
      <c r="D1104" s="80">
        <v>44518</v>
      </c>
      <c r="E1104" s="81">
        <v>25483.23</v>
      </c>
    </row>
    <row r="1105" spans="4:5" hidden="1" outlineLevel="1" x14ac:dyDescent="0.3">
      <c r="D1105" s="80">
        <v>44517</v>
      </c>
      <c r="E1105" s="81">
        <v>25675.200000000001</v>
      </c>
    </row>
    <row r="1106" spans="4:5" hidden="1" outlineLevel="1" x14ac:dyDescent="0.3">
      <c r="D1106" s="80">
        <v>44516</v>
      </c>
      <c r="E1106" s="81">
        <v>25819.49</v>
      </c>
    </row>
    <row r="1107" spans="4:5" hidden="1" outlineLevel="1" x14ac:dyDescent="0.3">
      <c r="D1107" s="80">
        <v>44515</v>
      </c>
      <c r="E1107" s="81">
        <v>25977.61</v>
      </c>
    </row>
    <row r="1108" spans="4:5" hidden="1" outlineLevel="1" x14ac:dyDescent="0.3">
      <c r="D1108" s="80">
        <v>44512</v>
      </c>
      <c r="E1108" s="81">
        <v>25968.02</v>
      </c>
    </row>
    <row r="1109" spans="4:5" hidden="1" outlineLevel="1" x14ac:dyDescent="0.3">
      <c r="D1109" s="80">
        <v>44511</v>
      </c>
      <c r="E1109" s="81">
        <v>25639.32</v>
      </c>
    </row>
    <row r="1110" spans="4:5" hidden="1" outlineLevel="1" x14ac:dyDescent="0.3">
      <c r="D1110" s="80">
        <v>44510</v>
      </c>
      <c r="E1110" s="81">
        <v>25839.47</v>
      </c>
    </row>
    <row r="1111" spans="4:5" hidden="1" outlineLevel="1" x14ac:dyDescent="0.3">
      <c r="D1111" s="80">
        <v>44509</v>
      </c>
      <c r="E1111" s="81">
        <v>25878.28</v>
      </c>
    </row>
    <row r="1112" spans="4:5" hidden="1" outlineLevel="1" x14ac:dyDescent="0.3">
      <c r="D1112" s="80">
        <v>44508</v>
      </c>
      <c r="E1112" s="81">
        <v>25913.09</v>
      </c>
    </row>
    <row r="1113" spans="4:5" hidden="1" outlineLevel="1" x14ac:dyDescent="0.3">
      <c r="D1113" s="80">
        <v>44503</v>
      </c>
      <c r="E1113" s="81">
        <v>25569.86</v>
      </c>
    </row>
    <row r="1114" spans="4:5" hidden="1" outlineLevel="1" x14ac:dyDescent="0.3">
      <c r="D1114" s="80">
        <v>44502</v>
      </c>
      <c r="E1114" s="81">
        <v>25655.51</v>
      </c>
    </row>
    <row r="1115" spans="4:5" hidden="1" outlineLevel="1" x14ac:dyDescent="0.3">
      <c r="D1115" s="80">
        <v>44501</v>
      </c>
      <c r="E1115" s="81">
        <v>25710.799999999999</v>
      </c>
    </row>
    <row r="1116" spans="4:5" hidden="1" outlineLevel="1" x14ac:dyDescent="0.3">
      <c r="D1116" s="80">
        <v>44498</v>
      </c>
      <c r="E1116" s="81">
        <v>25340.83</v>
      </c>
    </row>
    <row r="1117" spans="4:5" hidden="1" outlineLevel="1" x14ac:dyDescent="0.3">
      <c r="D1117" s="80">
        <v>44497</v>
      </c>
      <c r="E1117" s="81">
        <v>25606.99</v>
      </c>
    </row>
    <row r="1118" spans="4:5" hidden="1" outlineLevel="1" x14ac:dyDescent="0.3">
      <c r="D1118" s="80">
        <v>44496</v>
      </c>
      <c r="E1118" s="81">
        <v>26113.62</v>
      </c>
    </row>
    <row r="1119" spans="4:5" hidden="1" outlineLevel="1" x14ac:dyDescent="0.3">
      <c r="D1119" s="80">
        <v>44495</v>
      </c>
      <c r="E1119" s="81">
        <v>26196.05</v>
      </c>
    </row>
    <row r="1120" spans="4:5" hidden="1" outlineLevel="1" x14ac:dyDescent="0.3">
      <c r="D1120" s="80">
        <v>44494</v>
      </c>
      <c r="E1120" s="81">
        <v>25967.040000000001</v>
      </c>
    </row>
    <row r="1121" spans="4:5" hidden="1" outlineLevel="1" x14ac:dyDescent="0.3">
      <c r="D1121" s="80">
        <v>44491</v>
      </c>
      <c r="E1121" s="81">
        <v>25952.01</v>
      </c>
    </row>
    <row r="1122" spans="4:5" hidden="1" outlineLevel="1" x14ac:dyDescent="0.3">
      <c r="D1122" s="80">
        <v>44490</v>
      </c>
      <c r="E1122" s="81">
        <v>26042.59</v>
      </c>
    </row>
    <row r="1123" spans="4:5" hidden="1" outlineLevel="1" x14ac:dyDescent="0.3">
      <c r="D1123" s="80">
        <v>44489</v>
      </c>
      <c r="E1123" s="81">
        <v>26165.78</v>
      </c>
    </row>
    <row r="1124" spans="4:5" hidden="1" outlineLevel="1" x14ac:dyDescent="0.3">
      <c r="D1124" s="80">
        <v>44488</v>
      </c>
      <c r="E1124" s="81">
        <v>26383.71</v>
      </c>
    </row>
    <row r="1125" spans="4:5" hidden="1" outlineLevel="1" x14ac:dyDescent="0.3">
      <c r="D1125" s="80">
        <v>44487</v>
      </c>
      <c r="E1125" s="81">
        <v>26467.21</v>
      </c>
    </row>
    <row r="1126" spans="4:5" hidden="1" outlineLevel="1" x14ac:dyDescent="0.3">
      <c r="D1126" s="80">
        <v>44483</v>
      </c>
      <c r="E1126" s="81">
        <v>26268.83</v>
      </c>
    </row>
    <row r="1127" spans="4:5" hidden="1" outlineLevel="1" x14ac:dyDescent="0.3">
      <c r="D1127" s="80">
        <v>44482</v>
      </c>
      <c r="E1127" s="81">
        <v>26013.19</v>
      </c>
    </row>
    <row r="1128" spans="4:5" hidden="1" outlineLevel="1" x14ac:dyDescent="0.3">
      <c r="D1128" s="80">
        <v>44481</v>
      </c>
      <c r="E1128" s="81">
        <v>25770.01</v>
      </c>
    </row>
    <row r="1129" spans="4:5" hidden="1" outlineLevel="1" x14ac:dyDescent="0.3">
      <c r="D1129" s="80">
        <v>44480</v>
      </c>
      <c r="E1129" s="81">
        <v>25704.1</v>
      </c>
    </row>
    <row r="1130" spans="4:5" hidden="1" outlineLevel="1" x14ac:dyDescent="0.3">
      <c r="D1130" s="80">
        <v>44477</v>
      </c>
      <c r="E1130" s="81">
        <v>25631.38</v>
      </c>
    </row>
    <row r="1131" spans="4:5" hidden="1" outlineLevel="1" x14ac:dyDescent="0.3">
      <c r="D1131" s="80">
        <v>44476</v>
      </c>
      <c r="E1131" s="81">
        <v>25481.26</v>
      </c>
    </row>
    <row r="1132" spans="4:5" hidden="1" outlineLevel="1" x14ac:dyDescent="0.3">
      <c r="D1132" s="80">
        <v>44475</v>
      </c>
      <c r="E1132" s="81">
        <v>25274.48</v>
      </c>
    </row>
    <row r="1133" spans="4:5" hidden="1" outlineLevel="1" x14ac:dyDescent="0.3">
      <c r="D1133" s="80">
        <v>44474</v>
      </c>
      <c r="E1133" s="81">
        <v>25526.98</v>
      </c>
    </row>
    <row r="1134" spans="4:5" hidden="1" outlineLevel="1" x14ac:dyDescent="0.3">
      <c r="D1134" s="80">
        <v>44473</v>
      </c>
      <c r="E1134" s="81">
        <v>25339.32</v>
      </c>
    </row>
    <row r="1135" spans="4:5" hidden="1" outlineLevel="1" x14ac:dyDescent="0.3">
      <c r="D1135" s="80">
        <v>44470</v>
      </c>
      <c r="E1135" s="81">
        <v>25111.25</v>
      </c>
    </row>
    <row r="1136" spans="4:5" hidden="1" outlineLevel="1" x14ac:dyDescent="0.3">
      <c r="D1136" s="80">
        <v>44469</v>
      </c>
      <c r="E1136" s="81">
        <v>25234.57</v>
      </c>
    </row>
    <row r="1137" spans="4:5" hidden="1" outlineLevel="1" x14ac:dyDescent="0.3">
      <c r="D1137" s="80">
        <v>44468</v>
      </c>
      <c r="E1137" s="81">
        <v>25367.99</v>
      </c>
    </row>
    <row r="1138" spans="4:5" hidden="1" outlineLevel="1" x14ac:dyDescent="0.3">
      <c r="D1138" s="80">
        <v>44467</v>
      </c>
      <c r="E1138" s="81">
        <v>25421.46</v>
      </c>
    </row>
    <row r="1139" spans="4:5" hidden="1" outlineLevel="1" x14ac:dyDescent="0.3">
      <c r="D1139" s="80">
        <v>44466</v>
      </c>
      <c r="E1139" s="81">
        <v>25573.99</v>
      </c>
    </row>
    <row r="1140" spans="4:5" hidden="1" outlineLevel="1" x14ac:dyDescent="0.3">
      <c r="D1140" s="80">
        <v>44463</v>
      </c>
      <c r="E1140" s="81">
        <v>25571.24</v>
      </c>
    </row>
    <row r="1141" spans="4:5" hidden="1" outlineLevel="1" x14ac:dyDescent="0.3">
      <c r="D1141" s="80">
        <v>44462</v>
      </c>
      <c r="E1141" s="81">
        <v>25527.919999999998</v>
      </c>
    </row>
    <row r="1142" spans="4:5" hidden="1" outlineLevel="1" x14ac:dyDescent="0.3">
      <c r="D1142" s="80">
        <v>44461</v>
      </c>
      <c r="E1142" s="81">
        <v>25132.15</v>
      </c>
    </row>
    <row r="1143" spans="4:5" hidden="1" outlineLevel="1" x14ac:dyDescent="0.3">
      <c r="D1143" s="80">
        <v>44460</v>
      </c>
      <c r="E1143" s="81">
        <v>25154.16</v>
      </c>
    </row>
    <row r="1144" spans="4:5" hidden="1" outlineLevel="1" x14ac:dyDescent="0.3">
      <c r="D1144" s="80">
        <v>44459</v>
      </c>
      <c r="E1144" s="81">
        <v>24917.72</v>
      </c>
    </row>
    <row r="1145" spans="4:5" hidden="1" outlineLevel="1" x14ac:dyDescent="0.3">
      <c r="D1145" s="80">
        <v>44456</v>
      </c>
      <c r="E1145" s="81">
        <v>25187.34</v>
      </c>
    </row>
    <row r="1146" spans="4:5" hidden="1" outlineLevel="1" x14ac:dyDescent="0.3">
      <c r="D1146" s="80">
        <v>44455</v>
      </c>
      <c r="E1146" s="81">
        <v>25250.87</v>
      </c>
    </row>
    <row r="1147" spans="4:5" hidden="1" outlineLevel="1" x14ac:dyDescent="0.3">
      <c r="D1147" s="80">
        <v>44454</v>
      </c>
      <c r="E1147" s="81">
        <v>25093.22</v>
      </c>
    </row>
    <row r="1148" spans="4:5" hidden="1" outlineLevel="1" x14ac:dyDescent="0.3">
      <c r="D1148" s="80">
        <v>44453</v>
      </c>
      <c r="E1148" s="81">
        <v>24893.51</v>
      </c>
    </row>
    <row r="1149" spans="4:5" hidden="1" outlineLevel="1" x14ac:dyDescent="0.3">
      <c r="D1149" s="80">
        <v>44452</v>
      </c>
      <c r="E1149" s="81">
        <v>24858.12</v>
      </c>
    </row>
    <row r="1150" spans="4:5" hidden="1" outlineLevel="1" x14ac:dyDescent="0.3">
      <c r="D1150" s="80">
        <v>44448</v>
      </c>
      <c r="E1150" s="81">
        <v>24878.09</v>
      </c>
    </row>
    <row r="1151" spans="4:5" hidden="1" outlineLevel="1" x14ac:dyDescent="0.3">
      <c r="D1151" s="80">
        <v>44447</v>
      </c>
      <c r="E1151" s="81">
        <v>24855.5</v>
      </c>
    </row>
    <row r="1152" spans="4:5" hidden="1" outlineLevel="1" x14ac:dyDescent="0.3">
      <c r="D1152" s="80">
        <v>44446</v>
      </c>
      <c r="E1152" s="81">
        <v>24857.27</v>
      </c>
    </row>
    <row r="1153" spans="4:5" hidden="1" outlineLevel="1" x14ac:dyDescent="0.3">
      <c r="D1153" s="80">
        <v>44445</v>
      </c>
      <c r="E1153" s="81">
        <v>24879.79</v>
      </c>
    </row>
    <row r="1154" spans="4:5" hidden="1" outlineLevel="1" x14ac:dyDescent="0.3">
      <c r="D1154" s="80">
        <v>44442</v>
      </c>
      <c r="E1154" s="81">
        <v>24802.17</v>
      </c>
    </row>
    <row r="1155" spans="4:5" hidden="1" outlineLevel="1" x14ac:dyDescent="0.3">
      <c r="D1155" s="80">
        <v>44441</v>
      </c>
      <c r="E1155" s="81">
        <v>24674.11</v>
      </c>
    </row>
    <row r="1156" spans="4:5" hidden="1" outlineLevel="1" x14ac:dyDescent="0.3">
      <c r="D1156" s="80">
        <v>44440</v>
      </c>
      <c r="E1156" s="81">
        <v>24445.62</v>
      </c>
    </row>
    <row r="1157" spans="4:5" hidden="1" outlineLevel="1" x14ac:dyDescent="0.3">
      <c r="D1157" s="80">
        <v>44439</v>
      </c>
      <c r="E1157" s="81">
        <v>24525.71</v>
      </c>
    </row>
    <row r="1158" spans="4:5" hidden="1" outlineLevel="1" x14ac:dyDescent="0.3">
      <c r="D1158" s="80">
        <v>44438</v>
      </c>
      <c r="E1158" s="81">
        <v>24237.8</v>
      </c>
    </row>
    <row r="1159" spans="4:5" hidden="1" outlineLevel="1" x14ac:dyDescent="0.3">
      <c r="D1159" s="80">
        <v>44435</v>
      </c>
      <c r="E1159" s="81">
        <v>23914.48</v>
      </c>
    </row>
    <row r="1160" spans="4:5" hidden="1" outlineLevel="1" x14ac:dyDescent="0.3">
      <c r="D1160" s="80">
        <v>44434</v>
      </c>
      <c r="E1160" s="81">
        <v>23816.68</v>
      </c>
    </row>
    <row r="1161" spans="4:5" hidden="1" outlineLevel="1" x14ac:dyDescent="0.3">
      <c r="D1161" s="80">
        <v>44433</v>
      </c>
      <c r="E1161" s="81">
        <v>23813.43</v>
      </c>
    </row>
    <row r="1162" spans="4:5" hidden="1" outlineLevel="1" x14ac:dyDescent="0.3">
      <c r="D1162" s="80">
        <v>44432</v>
      </c>
      <c r="E1162" s="81">
        <v>23799.1</v>
      </c>
    </row>
    <row r="1163" spans="4:5" hidden="1" outlineLevel="1" x14ac:dyDescent="0.3">
      <c r="D1163" s="80">
        <v>44431</v>
      </c>
      <c r="E1163" s="81">
        <v>23615.61</v>
      </c>
    </row>
    <row r="1164" spans="4:5" hidden="1" outlineLevel="1" x14ac:dyDescent="0.3">
      <c r="D1164" s="80">
        <v>44428</v>
      </c>
      <c r="E1164" s="81">
        <v>23549.09</v>
      </c>
    </row>
    <row r="1165" spans="4:5" hidden="1" outlineLevel="1" x14ac:dyDescent="0.3">
      <c r="D1165" s="80">
        <v>44426</v>
      </c>
      <c r="E1165" s="81">
        <v>23718.57</v>
      </c>
    </row>
    <row r="1166" spans="4:5" hidden="1" outlineLevel="1" x14ac:dyDescent="0.3">
      <c r="D1166" s="80">
        <v>44425</v>
      </c>
      <c r="E1166" s="81">
        <v>23784.05</v>
      </c>
    </row>
    <row r="1167" spans="4:5" hidden="1" outlineLevel="1" x14ac:dyDescent="0.3">
      <c r="D1167" s="80">
        <v>44424</v>
      </c>
      <c r="E1167" s="81">
        <v>23708.38</v>
      </c>
    </row>
    <row r="1168" spans="4:5" hidden="1" outlineLevel="1" x14ac:dyDescent="0.3">
      <c r="D1168" s="80">
        <v>44421</v>
      </c>
      <c r="E1168" s="81">
        <v>23659.78</v>
      </c>
    </row>
    <row r="1169" spans="4:5" hidden="1" outlineLevel="1" x14ac:dyDescent="0.3">
      <c r="D1169" s="80">
        <v>44420</v>
      </c>
      <c r="E1169" s="81">
        <v>23424.04</v>
      </c>
    </row>
    <row r="1170" spans="4:5" hidden="1" outlineLevel="1" x14ac:dyDescent="0.3">
      <c r="D1170" s="80">
        <v>44419</v>
      </c>
      <c r="E1170" s="81">
        <v>23303.89</v>
      </c>
    </row>
    <row r="1171" spans="4:5" hidden="1" outlineLevel="1" x14ac:dyDescent="0.3">
      <c r="D1171" s="80">
        <v>44418</v>
      </c>
      <c r="E1171" s="81">
        <v>23300.36</v>
      </c>
    </row>
    <row r="1172" spans="4:5" hidden="1" outlineLevel="1" x14ac:dyDescent="0.3">
      <c r="D1172" s="80">
        <v>44417</v>
      </c>
      <c r="E1172" s="81">
        <v>23269.119999999999</v>
      </c>
    </row>
    <row r="1173" spans="4:5" hidden="1" outlineLevel="1" x14ac:dyDescent="0.3">
      <c r="D1173" s="80">
        <v>44414</v>
      </c>
      <c r="E1173" s="81">
        <v>23238.83</v>
      </c>
    </row>
    <row r="1174" spans="4:5" hidden="1" outlineLevel="1" x14ac:dyDescent="0.3">
      <c r="D1174" s="80">
        <v>44413</v>
      </c>
      <c r="E1174" s="81">
        <v>23319.53</v>
      </c>
    </row>
    <row r="1175" spans="4:5" hidden="1" outlineLevel="1" x14ac:dyDescent="0.3">
      <c r="D1175" s="80">
        <v>44412</v>
      </c>
      <c r="E1175" s="81">
        <v>23265.07</v>
      </c>
    </row>
    <row r="1176" spans="4:5" hidden="1" outlineLevel="1" x14ac:dyDescent="0.3">
      <c r="D1176" s="80">
        <v>44411</v>
      </c>
      <c r="E1176" s="81">
        <v>23081.86</v>
      </c>
    </row>
    <row r="1177" spans="4:5" hidden="1" outlineLevel="1" x14ac:dyDescent="0.3">
      <c r="D1177" s="80">
        <v>44410</v>
      </c>
      <c r="E1177" s="81">
        <v>22730.42</v>
      </c>
    </row>
    <row r="1178" spans="4:5" hidden="1" outlineLevel="1" x14ac:dyDescent="0.3">
      <c r="D1178" s="80">
        <v>44407</v>
      </c>
      <c r="E1178" s="81">
        <v>22554.26</v>
      </c>
    </row>
    <row r="1179" spans="4:5" hidden="1" outlineLevel="1" x14ac:dyDescent="0.3">
      <c r="D1179" s="80">
        <v>44406</v>
      </c>
      <c r="E1179" s="81">
        <v>22576.34</v>
      </c>
    </row>
    <row r="1180" spans="4:5" hidden="1" outlineLevel="1" x14ac:dyDescent="0.3">
      <c r="D1180" s="80">
        <v>44405</v>
      </c>
      <c r="E1180" s="81">
        <v>22472.95</v>
      </c>
    </row>
    <row r="1181" spans="4:5" hidden="1" outlineLevel="1" x14ac:dyDescent="0.3">
      <c r="D1181" s="80">
        <v>44404</v>
      </c>
      <c r="E1181" s="81">
        <v>22518.799999999999</v>
      </c>
    </row>
    <row r="1182" spans="4:5" hidden="1" outlineLevel="1" x14ac:dyDescent="0.3">
      <c r="D1182" s="80">
        <v>44403</v>
      </c>
      <c r="E1182" s="81">
        <v>22628.19</v>
      </c>
    </row>
    <row r="1183" spans="4:5" hidden="1" outlineLevel="1" x14ac:dyDescent="0.3">
      <c r="D1183" s="80">
        <v>44400</v>
      </c>
      <c r="E1183" s="81">
        <v>22673.35</v>
      </c>
    </row>
    <row r="1184" spans="4:5" hidden="1" outlineLevel="1" x14ac:dyDescent="0.3">
      <c r="D1184" s="80">
        <v>44399</v>
      </c>
      <c r="E1184" s="81">
        <v>22621.45</v>
      </c>
    </row>
    <row r="1185" spans="4:5" hidden="1" outlineLevel="1" x14ac:dyDescent="0.3">
      <c r="D1185" s="80">
        <v>44397</v>
      </c>
      <c r="E1185" s="81">
        <v>22344.81</v>
      </c>
    </row>
    <row r="1186" spans="4:5" hidden="1" outlineLevel="1" x14ac:dyDescent="0.3">
      <c r="D1186" s="80">
        <v>44396</v>
      </c>
      <c r="E1186" s="81">
        <v>22516.71</v>
      </c>
    </row>
    <row r="1187" spans="4:5" hidden="1" outlineLevel="1" x14ac:dyDescent="0.3">
      <c r="D1187" s="80">
        <v>44393</v>
      </c>
      <c r="E1187" s="81">
        <v>22761.200000000001</v>
      </c>
    </row>
    <row r="1188" spans="4:5" hidden="1" outlineLevel="1" x14ac:dyDescent="0.3">
      <c r="D1188" s="80">
        <v>44392</v>
      </c>
      <c r="E1188" s="81">
        <v>22762.34</v>
      </c>
    </row>
    <row r="1189" spans="4:5" hidden="1" outlineLevel="1" x14ac:dyDescent="0.3">
      <c r="D1189" s="80">
        <v>44391</v>
      </c>
      <c r="E1189" s="81">
        <v>22656.78</v>
      </c>
    </row>
    <row r="1190" spans="4:5" hidden="1" outlineLevel="1" x14ac:dyDescent="0.3">
      <c r="D1190" s="80">
        <v>44390</v>
      </c>
      <c r="E1190" s="81">
        <v>22595.49</v>
      </c>
    </row>
    <row r="1191" spans="4:5" hidden="1" outlineLevel="1" x14ac:dyDescent="0.3">
      <c r="D1191" s="80">
        <v>44389</v>
      </c>
      <c r="E1191" s="81">
        <v>22424.39</v>
      </c>
    </row>
    <row r="1192" spans="4:5" hidden="1" outlineLevel="1" x14ac:dyDescent="0.3">
      <c r="D1192" s="80">
        <v>44386</v>
      </c>
      <c r="E1192" s="81">
        <v>22420.36</v>
      </c>
    </row>
    <row r="1193" spans="4:5" hidden="1" outlineLevel="1" x14ac:dyDescent="0.3">
      <c r="D1193" s="80">
        <v>44385</v>
      </c>
      <c r="E1193" s="81">
        <v>22473.81</v>
      </c>
    </row>
    <row r="1194" spans="4:5" hidden="1" outlineLevel="1" x14ac:dyDescent="0.3">
      <c r="D1194" s="80">
        <v>44384</v>
      </c>
      <c r="E1194" s="81">
        <v>22683.66</v>
      </c>
    </row>
    <row r="1195" spans="4:5" hidden="1" outlineLevel="1" x14ac:dyDescent="0.3">
      <c r="D1195" s="80">
        <v>44383</v>
      </c>
      <c r="E1195" s="81">
        <v>22595.93</v>
      </c>
    </row>
    <row r="1196" spans="4:5" hidden="1" outlineLevel="1" x14ac:dyDescent="0.3">
      <c r="D1196" s="80">
        <v>44382</v>
      </c>
      <c r="E1196" s="81">
        <v>22618.97</v>
      </c>
    </row>
    <row r="1197" spans="4:5" hidden="1" outlineLevel="1" x14ac:dyDescent="0.3">
      <c r="D1197" s="80">
        <v>44379</v>
      </c>
      <c r="E1197" s="81">
        <v>22456.66</v>
      </c>
    </row>
    <row r="1198" spans="4:5" hidden="1" outlineLevel="1" x14ac:dyDescent="0.3">
      <c r="D1198" s="80">
        <v>44378</v>
      </c>
      <c r="E1198" s="81">
        <v>22396.400000000001</v>
      </c>
    </row>
    <row r="1199" spans="4:5" hidden="1" outlineLevel="1" x14ac:dyDescent="0.3">
      <c r="D1199" s="80">
        <v>44377</v>
      </c>
      <c r="E1199" s="81">
        <v>22455.7</v>
      </c>
    </row>
    <row r="1200" spans="4:5" hidden="1" outlineLevel="1" x14ac:dyDescent="0.3">
      <c r="D1200" s="80">
        <v>44376</v>
      </c>
      <c r="E1200" s="81">
        <v>22493.599999999999</v>
      </c>
    </row>
    <row r="1201" spans="4:5" hidden="1" outlineLevel="1" x14ac:dyDescent="0.3">
      <c r="D1201" s="80">
        <v>44375</v>
      </c>
      <c r="E1201" s="81">
        <v>22578.86</v>
      </c>
    </row>
    <row r="1202" spans="4:5" hidden="1" outlineLevel="1" x14ac:dyDescent="0.3">
      <c r="D1202" s="80">
        <v>44372</v>
      </c>
      <c r="E1202" s="81">
        <v>22644.06</v>
      </c>
    </row>
    <row r="1203" spans="4:5" hidden="1" outlineLevel="1" x14ac:dyDescent="0.3">
      <c r="D1203" s="80">
        <v>44371</v>
      </c>
      <c r="E1203" s="81">
        <v>22544.26</v>
      </c>
    </row>
    <row r="1204" spans="4:5" hidden="1" outlineLevel="1" x14ac:dyDescent="0.3">
      <c r="D1204" s="80">
        <v>44370</v>
      </c>
      <c r="E1204" s="81">
        <v>22395.25</v>
      </c>
    </row>
    <row r="1205" spans="4:5" hidden="1" outlineLevel="1" x14ac:dyDescent="0.3">
      <c r="D1205" s="80">
        <v>44369</v>
      </c>
      <c r="E1205" s="81">
        <v>22517.74</v>
      </c>
    </row>
    <row r="1206" spans="4:5" hidden="1" outlineLevel="1" x14ac:dyDescent="0.3">
      <c r="D1206" s="80">
        <v>44368</v>
      </c>
      <c r="E1206" s="81">
        <v>22480.3</v>
      </c>
    </row>
    <row r="1207" spans="4:5" hidden="1" outlineLevel="1" x14ac:dyDescent="0.3">
      <c r="D1207" s="80">
        <v>44365</v>
      </c>
      <c r="E1207" s="81">
        <v>22390.11</v>
      </c>
    </row>
    <row r="1208" spans="4:5" hidden="1" outlineLevel="1" x14ac:dyDescent="0.3">
      <c r="D1208" s="80">
        <v>44364</v>
      </c>
      <c r="E1208" s="81">
        <v>22401.65</v>
      </c>
    </row>
    <row r="1209" spans="4:5" hidden="1" outlineLevel="1" x14ac:dyDescent="0.3">
      <c r="D1209" s="80">
        <v>44363</v>
      </c>
      <c r="E1209" s="81">
        <v>22503.9</v>
      </c>
    </row>
    <row r="1210" spans="4:5" hidden="1" outlineLevel="1" x14ac:dyDescent="0.3">
      <c r="D1210" s="80">
        <v>44362</v>
      </c>
      <c r="E1210" s="81">
        <v>22649.05</v>
      </c>
    </row>
    <row r="1211" spans="4:5" hidden="1" outlineLevel="1" x14ac:dyDescent="0.3">
      <c r="D1211" s="80">
        <v>44361</v>
      </c>
      <c r="E1211" s="81">
        <v>22567.11</v>
      </c>
    </row>
    <row r="1212" spans="4:5" hidden="1" outlineLevel="1" x14ac:dyDescent="0.3">
      <c r="D1212" s="80">
        <v>44358</v>
      </c>
      <c r="E1212" s="81">
        <v>22544.26</v>
      </c>
    </row>
    <row r="1213" spans="4:5" hidden="1" outlineLevel="1" x14ac:dyDescent="0.3">
      <c r="D1213" s="80">
        <v>44357</v>
      </c>
      <c r="E1213" s="81">
        <v>22448.94</v>
      </c>
    </row>
    <row r="1214" spans="4:5" hidden="1" outlineLevel="1" x14ac:dyDescent="0.3">
      <c r="D1214" s="80">
        <v>44356</v>
      </c>
      <c r="E1214" s="81">
        <v>22283.52</v>
      </c>
    </row>
    <row r="1215" spans="4:5" hidden="1" outlineLevel="1" x14ac:dyDescent="0.3">
      <c r="D1215" s="80">
        <v>44355</v>
      </c>
      <c r="E1215" s="81">
        <v>22432.77</v>
      </c>
    </row>
    <row r="1216" spans="4:5" hidden="1" outlineLevel="1" x14ac:dyDescent="0.3">
      <c r="D1216" s="80">
        <v>44354</v>
      </c>
      <c r="E1216" s="81">
        <v>22449.24</v>
      </c>
    </row>
    <row r="1217" spans="4:5" hidden="1" outlineLevel="1" x14ac:dyDescent="0.3">
      <c r="D1217" s="80">
        <v>44351</v>
      </c>
      <c r="E1217" s="81">
        <v>22333.23</v>
      </c>
    </row>
    <row r="1218" spans="4:5" hidden="1" outlineLevel="1" x14ac:dyDescent="0.3">
      <c r="D1218" s="80">
        <v>44350</v>
      </c>
      <c r="E1218" s="81">
        <v>22361.86</v>
      </c>
    </row>
    <row r="1219" spans="4:5" hidden="1" outlineLevel="1" x14ac:dyDescent="0.3">
      <c r="D1219" s="80">
        <v>44349</v>
      </c>
      <c r="E1219" s="81">
        <v>22194.18</v>
      </c>
    </row>
    <row r="1220" spans="4:5" hidden="1" outlineLevel="1" x14ac:dyDescent="0.3">
      <c r="D1220" s="80">
        <v>44348</v>
      </c>
      <c r="E1220" s="81">
        <v>22192.25</v>
      </c>
    </row>
    <row r="1221" spans="4:5" hidden="1" outlineLevel="1" x14ac:dyDescent="0.3">
      <c r="D1221" s="80">
        <v>44347</v>
      </c>
      <c r="E1221" s="81">
        <v>22203.59</v>
      </c>
    </row>
    <row r="1222" spans="4:5" hidden="1" outlineLevel="1" x14ac:dyDescent="0.3">
      <c r="D1222" s="80">
        <v>44344</v>
      </c>
      <c r="E1222" s="81">
        <v>21962.31</v>
      </c>
    </row>
    <row r="1223" spans="4:5" hidden="1" outlineLevel="1" x14ac:dyDescent="0.3">
      <c r="D1223" s="80">
        <v>44343</v>
      </c>
      <c r="E1223" s="81">
        <v>21823.14</v>
      </c>
    </row>
    <row r="1224" spans="4:5" hidden="1" outlineLevel="1" x14ac:dyDescent="0.3">
      <c r="D1224" s="80">
        <v>44342</v>
      </c>
      <c r="E1224" s="81">
        <v>21771.35</v>
      </c>
    </row>
    <row r="1225" spans="4:5" hidden="1" outlineLevel="1" x14ac:dyDescent="0.3">
      <c r="D1225" s="80">
        <v>44341</v>
      </c>
      <c r="E1225" s="81">
        <v>21639.040000000001</v>
      </c>
    </row>
    <row r="1226" spans="4:5" hidden="1" outlineLevel="1" x14ac:dyDescent="0.3">
      <c r="D1226" s="80">
        <v>44340</v>
      </c>
      <c r="E1226" s="81">
        <v>21617.03</v>
      </c>
    </row>
    <row r="1227" spans="4:5" hidden="1" outlineLevel="1" x14ac:dyDescent="0.3">
      <c r="D1227" s="80">
        <v>44337</v>
      </c>
      <c r="E1227" s="81">
        <v>21585.18</v>
      </c>
    </row>
    <row r="1228" spans="4:5" hidden="1" outlineLevel="1" x14ac:dyDescent="0.3">
      <c r="D1228" s="80">
        <v>44336</v>
      </c>
      <c r="E1228" s="81">
        <v>21202.21</v>
      </c>
    </row>
    <row r="1229" spans="4:5" hidden="1" outlineLevel="1" x14ac:dyDescent="0.3">
      <c r="D1229" s="80">
        <v>44335</v>
      </c>
      <c r="E1229" s="81">
        <v>21378.71</v>
      </c>
    </row>
    <row r="1230" spans="4:5" hidden="1" outlineLevel="1" x14ac:dyDescent="0.3">
      <c r="D1230" s="80">
        <v>44334</v>
      </c>
      <c r="E1230" s="81">
        <v>21489.56</v>
      </c>
    </row>
    <row r="1231" spans="4:5" hidden="1" outlineLevel="1" x14ac:dyDescent="0.3">
      <c r="D1231" s="80">
        <v>44333</v>
      </c>
      <c r="E1231" s="81">
        <v>21226.53</v>
      </c>
    </row>
    <row r="1232" spans="4:5" hidden="1" outlineLevel="1" x14ac:dyDescent="0.3">
      <c r="D1232" s="80">
        <v>44330</v>
      </c>
      <c r="E1232" s="81">
        <v>20877.560000000001</v>
      </c>
    </row>
    <row r="1233" spans="4:5" hidden="1" outlineLevel="1" x14ac:dyDescent="0.3">
      <c r="D1233" s="80">
        <v>44328</v>
      </c>
      <c r="E1233" s="81">
        <v>20904.13</v>
      </c>
    </row>
    <row r="1234" spans="4:5" hidden="1" outlineLevel="1" x14ac:dyDescent="0.3">
      <c r="D1234" s="80">
        <v>44327</v>
      </c>
      <c r="E1234" s="81">
        <v>21123.53</v>
      </c>
    </row>
    <row r="1235" spans="4:5" hidden="1" outlineLevel="1" x14ac:dyDescent="0.3">
      <c r="D1235" s="80">
        <v>44326</v>
      </c>
      <c r="E1235" s="81">
        <v>21253.8</v>
      </c>
    </row>
    <row r="1236" spans="4:5" hidden="1" outlineLevel="1" x14ac:dyDescent="0.3">
      <c r="D1236" s="80">
        <v>44323</v>
      </c>
      <c r="E1236" s="81">
        <v>21084.26</v>
      </c>
    </row>
    <row r="1237" spans="4:5" hidden="1" outlineLevel="1" x14ac:dyDescent="0.3">
      <c r="D1237" s="80">
        <v>44322</v>
      </c>
      <c r="E1237" s="81">
        <v>20944.41</v>
      </c>
    </row>
    <row r="1238" spans="4:5" hidden="1" outlineLevel="1" x14ac:dyDescent="0.3">
      <c r="D1238" s="80">
        <v>44321</v>
      </c>
      <c r="E1238" s="81">
        <v>20792.240000000002</v>
      </c>
    </row>
    <row r="1239" spans="4:5" hidden="1" outlineLevel="1" x14ac:dyDescent="0.3">
      <c r="D1239" s="80">
        <v>44320</v>
      </c>
      <c r="E1239" s="81">
        <v>20619.62</v>
      </c>
    </row>
    <row r="1240" spans="4:5" hidden="1" outlineLevel="1" x14ac:dyDescent="0.3">
      <c r="D1240" s="80">
        <v>44319</v>
      </c>
      <c r="E1240" s="81">
        <v>20815.43</v>
      </c>
    </row>
    <row r="1241" spans="4:5" hidden="1" outlineLevel="1" x14ac:dyDescent="0.3">
      <c r="D1241" s="80">
        <v>44316</v>
      </c>
      <c r="E1241" s="81">
        <v>20811.13</v>
      </c>
    </row>
    <row r="1242" spans="4:5" hidden="1" outlineLevel="1" x14ac:dyDescent="0.3">
      <c r="D1242" s="80">
        <v>44315</v>
      </c>
      <c r="E1242" s="81">
        <v>21186.3</v>
      </c>
    </row>
    <row r="1243" spans="4:5" hidden="1" outlineLevel="1" x14ac:dyDescent="0.3">
      <c r="D1243" s="80">
        <v>44314</v>
      </c>
      <c r="E1243" s="81">
        <v>21136.41</v>
      </c>
    </row>
    <row r="1244" spans="4:5" hidden="1" outlineLevel="1" x14ac:dyDescent="0.3">
      <c r="D1244" s="80">
        <v>44313</v>
      </c>
      <c r="E1244" s="81">
        <v>20835.669999999998</v>
      </c>
    </row>
    <row r="1245" spans="4:5" hidden="1" outlineLevel="1" x14ac:dyDescent="0.3">
      <c r="D1245" s="80">
        <v>44312</v>
      </c>
      <c r="E1245" s="81">
        <v>20596.72</v>
      </c>
    </row>
    <row r="1246" spans="4:5" hidden="1" outlineLevel="1" x14ac:dyDescent="0.3">
      <c r="D1246" s="80">
        <v>44309</v>
      </c>
      <c r="E1246" s="81">
        <v>20392.439999999999</v>
      </c>
    </row>
    <row r="1247" spans="4:5" hidden="1" outlineLevel="1" x14ac:dyDescent="0.3">
      <c r="D1247" s="80">
        <v>44308</v>
      </c>
      <c r="E1247" s="81">
        <v>20484.63</v>
      </c>
    </row>
    <row r="1248" spans="4:5" hidden="1" outlineLevel="1" x14ac:dyDescent="0.3">
      <c r="D1248" s="80">
        <v>44306</v>
      </c>
      <c r="E1248" s="81">
        <v>20328.55</v>
      </c>
    </row>
    <row r="1249" spans="4:5" hidden="1" outlineLevel="1" x14ac:dyDescent="0.3">
      <c r="D1249" s="80">
        <v>44305</v>
      </c>
      <c r="E1249" s="81">
        <v>20418.16</v>
      </c>
    </row>
    <row r="1250" spans="4:5" hidden="1" outlineLevel="1" x14ac:dyDescent="0.3">
      <c r="D1250" s="80">
        <v>44302</v>
      </c>
      <c r="E1250" s="81">
        <v>20785.61</v>
      </c>
    </row>
    <row r="1251" spans="4:5" hidden="1" outlineLevel="1" x14ac:dyDescent="0.3">
      <c r="D1251" s="80">
        <v>44301</v>
      </c>
      <c r="E1251" s="81">
        <v>20733.88</v>
      </c>
    </row>
    <row r="1252" spans="4:5" hidden="1" outlineLevel="1" x14ac:dyDescent="0.3">
      <c r="D1252" s="80">
        <v>44299</v>
      </c>
      <c r="E1252" s="81">
        <v>20624.86</v>
      </c>
    </row>
    <row r="1253" spans="4:5" hidden="1" outlineLevel="1" x14ac:dyDescent="0.3">
      <c r="D1253" s="80">
        <v>44298</v>
      </c>
      <c r="E1253" s="81">
        <v>20348.990000000002</v>
      </c>
    </row>
    <row r="1254" spans="4:5" hidden="1" outlineLevel="1" x14ac:dyDescent="0.3">
      <c r="D1254" s="80">
        <v>44295</v>
      </c>
      <c r="E1254" s="81">
        <v>21094.17</v>
      </c>
    </row>
    <row r="1255" spans="4:5" hidden="1" outlineLevel="1" x14ac:dyDescent="0.3">
      <c r="D1255" s="80">
        <v>44294</v>
      </c>
      <c r="E1255" s="81">
        <v>21149.59</v>
      </c>
    </row>
    <row r="1256" spans="4:5" hidden="1" outlineLevel="1" x14ac:dyDescent="0.3">
      <c r="D1256" s="80">
        <v>44293</v>
      </c>
      <c r="E1256" s="81">
        <v>21069.32</v>
      </c>
    </row>
    <row r="1257" spans="4:5" hidden="1" outlineLevel="1" x14ac:dyDescent="0.3">
      <c r="D1257" s="80">
        <v>44292</v>
      </c>
      <c r="E1257" s="81">
        <v>20876.57</v>
      </c>
    </row>
    <row r="1258" spans="4:5" hidden="1" outlineLevel="1" x14ac:dyDescent="0.3">
      <c r="D1258" s="80">
        <v>44291</v>
      </c>
      <c r="E1258" s="81">
        <v>20811.61</v>
      </c>
    </row>
    <row r="1259" spans="4:5" hidden="1" outlineLevel="1" x14ac:dyDescent="0.3">
      <c r="D1259" s="80">
        <v>44287</v>
      </c>
      <c r="E1259" s="81">
        <v>21137.69</v>
      </c>
    </row>
    <row r="1260" spans="4:5" hidden="1" outlineLevel="1" x14ac:dyDescent="0.3">
      <c r="D1260" s="80">
        <v>44286</v>
      </c>
      <c r="E1260" s="81">
        <v>20886.52</v>
      </c>
    </row>
    <row r="1261" spans="4:5" hidden="1" outlineLevel="1" x14ac:dyDescent="0.3">
      <c r="D1261" s="80">
        <v>44285</v>
      </c>
      <c r="E1261" s="81">
        <v>21106.06</v>
      </c>
    </row>
    <row r="1262" spans="4:5" hidden="1" outlineLevel="1" x14ac:dyDescent="0.3">
      <c r="D1262" s="80">
        <v>44281</v>
      </c>
      <c r="E1262" s="81">
        <v>20625.79</v>
      </c>
    </row>
    <row r="1263" spans="4:5" hidden="1" outlineLevel="1" x14ac:dyDescent="0.3">
      <c r="D1263" s="80">
        <v>44280</v>
      </c>
      <c r="E1263" s="81">
        <v>20366.419999999998</v>
      </c>
    </row>
    <row r="1264" spans="4:5" hidden="1" outlineLevel="1" x14ac:dyDescent="0.3">
      <c r="D1264" s="80">
        <v>44279</v>
      </c>
      <c r="E1264" s="81">
        <v>20684.27</v>
      </c>
    </row>
    <row r="1265" spans="4:5" hidden="1" outlineLevel="1" x14ac:dyDescent="0.3">
      <c r="D1265" s="80">
        <v>44278</v>
      </c>
      <c r="E1265" s="81">
        <v>21061.52</v>
      </c>
    </row>
    <row r="1266" spans="4:5" hidden="1" outlineLevel="1" x14ac:dyDescent="0.3">
      <c r="D1266" s="80">
        <v>44277</v>
      </c>
      <c r="E1266" s="81">
        <v>20947.650000000001</v>
      </c>
    </row>
    <row r="1267" spans="4:5" hidden="1" outlineLevel="1" x14ac:dyDescent="0.3">
      <c r="D1267" s="80">
        <v>44274</v>
      </c>
      <c r="E1267" s="81">
        <v>20956.87</v>
      </c>
    </row>
    <row r="1268" spans="4:5" hidden="1" outlineLevel="1" x14ac:dyDescent="0.3">
      <c r="D1268" s="80">
        <v>44273</v>
      </c>
      <c r="E1268" s="81">
        <v>20692.34</v>
      </c>
    </row>
    <row r="1269" spans="4:5" hidden="1" outlineLevel="1" x14ac:dyDescent="0.3">
      <c r="D1269" s="80">
        <v>44272</v>
      </c>
      <c r="E1269" s="81">
        <v>20924.61</v>
      </c>
    </row>
    <row r="1270" spans="4:5" hidden="1" outlineLevel="1" x14ac:dyDescent="0.3">
      <c r="D1270" s="80">
        <v>44271</v>
      </c>
      <c r="E1270" s="81">
        <v>21193.46</v>
      </c>
    </row>
    <row r="1271" spans="4:5" hidden="1" outlineLevel="1" x14ac:dyDescent="0.3">
      <c r="D1271" s="80">
        <v>44270</v>
      </c>
      <c r="E1271" s="81">
        <v>21220.59</v>
      </c>
    </row>
    <row r="1272" spans="4:5" hidden="1" outlineLevel="1" x14ac:dyDescent="0.3">
      <c r="D1272" s="80">
        <v>44267</v>
      </c>
      <c r="E1272" s="81">
        <v>21361.29</v>
      </c>
    </row>
    <row r="1273" spans="4:5" hidden="1" outlineLevel="1" x14ac:dyDescent="0.3">
      <c r="D1273" s="80">
        <v>44265</v>
      </c>
      <c r="E1273" s="81">
        <v>21565.72</v>
      </c>
    </row>
    <row r="1274" spans="4:5" hidden="1" outlineLevel="1" x14ac:dyDescent="0.3">
      <c r="D1274" s="80">
        <v>44264</v>
      </c>
      <c r="E1274" s="81">
        <v>21457.17</v>
      </c>
    </row>
    <row r="1275" spans="4:5" hidden="1" outlineLevel="1" x14ac:dyDescent="0.3">
      <c r="D1275" s="80">
        <v>44263</v>
      </c>
      <c r="E1275" s="81">
        <v>21255.06</v>
      </c>
    </row>
    <row r="1276" spans="4:5" hidden="1" outlineLevel="1" x14ac:dyDescent="0.3">
      <c r="D1276" s="80">
        <v>44260</v>
      </c>
      <c r="E1276" s="81">
        <v>21225.94</v>
      </c>
    </row>
    <row r="1277" spans="4:5" hidden="1" outlineLevel="1" x14ac:dyDescent="0.3">
      <c r="D1277" s="80">
        <v>44259</v>
      </c>
      <c r="E1277" s="81">
        <v>21428.63</v>
      </c>
    </row>
    <row r="1278" spans="4:5" hidden="1" outlineLevel="1" x14ac:dyDescent="0.3">
      <c r="D1278" s="80">
        <v>44258</v>
      </c>
      <c r="E1278" s="81">
        <v>21662.92</v>
      </c>
    </row>
    <row r="1279" spans="4:5" hidden="1" outlineLevel="1" x14ac:dyDescent="0.3">
      <c r="D1279" s="80">
        <v>44257</v>
      </c>
      <c r="E1279" s="81">
        <v>21198.93</v>
      </c>
    </row>
    <row r="1280" spans="4:5" hidden="1" outlineLevel="1" x14ac:dyDescent="0.3">
      <c r="D1280" s="80">
        <v>44256</v>
      </c>
      <c r="E1280" s="81">
        <v>20975.08</v>
      </c>
    </row>
    <row r="1281" spans="4:5" hidden="1" outlineLevel="1" x14ac:dyDescent="0.3">
      <c r="D1281" s="80">
        <v>44253</v>
      </c>
      <c r="E1281" s="81">
        <v>20644.88</v>
      </c>
    </row>
    <row r="1282" spans="4:5" hidden="1" outlineLevel="1" x14ac:dyDescent="0.3">
      <c r="D1282" s="80">
        <v>44252</v>
      </c>
      <c r="E1282" s="81">
        <v>21452.240000000002</v>
      </c>
    </row>
    <row r="1283" spans="4:5" hidden="1" outlineLevel="1" x14ac:dyDescent="0.3">
      <c r="D1283" s="80">
        <v>44251</v>
      </c>
      <c r="E1283" s="81">
        <v>21288.35</v>
      </c>
    </row>
    <row r="1284" spans="4:5" hidden="1" outlineLevel="1" x14ac:dyDescent="0.3">
      <c r="D1284" s="80">
        <v>44250</v>
      </c>
      <c r="E1284" s="81">
        <v>20898.75</v>
      </c>
    </row>
    <row r="1285" spans="4:5" hidden="1" outlineLevel="1" x14ac:dyDescent="0.3">
      <c r="D1285" s="80">
        <v>44249</v>
      </c>
      <c r="E1285" s="81">
        <v>20853.12</v>
      </c>
    </row>
    <row r="1286" spans="4:5" hidden="1" outlineLevel="1" x14ac:dyDescent="0.3">
      <c r="D1286" s="80">
        <v>44246</v>
      </c>
      <c r="E1286" s="81">
        <v>21273.279999999999</v>
      </c>
    </row>
    <row r="1287" spans="4:5" hidden="1" outlineLevel="1" x14ac:dyDescent="0.3">
      <c r="D1287" s="80">
        <v>44245</v>
      </c>
      <c r="E1287" s="81">
        <v>21468.11</v>
      </c>
    </row>
    <row r="1288" spans="4:5" hidden="1" outlineLevel="1" x14ac:dyDescent="0.3">
      <c r="D1288" s="80">
        <v>44244</v>
      </c>
      <c r="E1288" s="81">
        <v>21595.82</v>
      </c>
    </row>
    <row r="1289" spans="4:5" hidden="1" outlineLevel="1" x14ac:dyDescent="0.3">
      <c r="D1289" s="80">
        <v>44243</v>
      </c>
      <c r="E1289" s="81">
        <v>21737.9</v>
      </c>
    </row>
    <row r="1290" spans="4:5" hidden="1" outlineLevel="1" x14ac:dyDescent="0.3">
      <c r="D1290" s="80">
        <v>44242</v>
      </c>
      <c r="E1290" s="81">
        <v>21739.69</v>
      </c>
    </row>
    <row r="1291" spans="4:5" hidden="1" outlineLevel="1" x14ac:dyDescent="0.3">
      <c r="D1291" s="80">
        <v>44239</v>
      </c>
      <c r="E1291" s="81">
        <v>21521.82</v>
      </c>
    </row>
    <row r="1292" spans="4:5" hidden="1" outlineLevel="1" x14ac:dyDescent="0.3">
      <c r="D1292" s="80">
        <v>44238</v>
      </c>
      <c r="E1292" s="81">
        <v>21536</v>
      </c>
    </row>
    <row r="1293" spans="4:5" hidden="1" outlineLevel="1" x14ac:dyDescent="0.3">
      <c r="D1293" s="80">
        <v>44237</v>
      </c>
      <c r="E1293" s="81">
        <v>21436.44</v>
      </c>
    </row>
    <row r="1294" spans="4:5" hidden="1" outlineLevel="1" x14ac:dyDescent="0.3">
      <c r="D1294" s="80">
        <v>44236</v>
      </c>
      <c r="E1294" s="81">
        <v>21440.42</v>
      </c>
    </row>
    <row r="1295" spans="4:5" hidden="1" outlineLevel="1" x14ac:dyDescent="0.3">
      <c r="D1295" s="80">
        <v>44235</v>
      </c>
      <c r="E1295" s="81">
        <v>21447.64</v>
      </c>
    </row>
    <row r="1296" spans="4:5" hidden="1" outlineLevel="1" x14ac:dyDescent="0.3">
      <c r="D1296" s="80">
        <v>44232</v>
      </c>
      <c r="E1296" s="81">
        <v>21175.89</v>
      </c>
    </row>
    <row r="1297" spans="4:5" hidden="1" outlineLevel="1" x14ac:dyDescent="0.3">
      <c r="D1297" s="80">
        <v>44231</v>
      </c>
      <c r="E1297" s="81">
        <v>21135.31</v>
      </c>
    </row>
    <row r="1298" spans="4:5" hidden="1" outlineLevel="1" x14ac:dyDescent="0.3">
      <c r="D1298" s="80">
        <v>44230</v>
      </c>
      <c r="E1298" s="81">
        <v>20985.32</v>
      </c>
    </row>
    <row r="1299" spans="4:5" hidden="1" outlineLevel="1" x14ac:dyDescent="0.3">
      <c r="D1299" s="80">
        <v>44229</v>
      </c>
      <c r="E1299" s="81">
        <v>20783.689999999999</v>
      </c>
    </row>
    <row r="1300" spans="4:5" hidden="1" outlineLevel="1" x14ac:dyDescent="0.3">
      <c r="D1300" s="80">
        <v>44228</v>
      </c>
      <c r="E1300" s="81">
        <v>20263.439999999999</v>
      </c>
    </row>
    <row r="1301" spans="4:5" hidden="1" outlineLevel="1" x14ac:dyDescent="0.3">
      <c r="D1301" s="80">
        <v>44225</v>
      </c>
      <c r="E1301" s="81">
        <v>19346.03</v>
      </c>
    </row>
    <row r="1302" spans="4:5" hidden="1" outlineLevel="1" x14ac:dyDescent="0.3">
      <c r="D1302" s="80">
        <v>44224</v>
      </c>
      <c r="E1302" s="81">
        <v>19605.59</v>
      </c>
    </row>
    <row r="1303" spans="4:5" hidden="1" outlineLevel="1" x14ac:dyDescent="0.3">
      <c r="D1303" s="80">
        <v>44223</v>
      </c>
      <c r="E1303" s="81">
        <v>19818.34</v>
      </c>
    </row>
    <row r="1304" spans="4:5" hidden="1" outlineLevel="1" x14ac:dyDescent="0.3">
      <c r="D1304" s="80">
        <v>44221</v>
      </c>
      <c r="E1304" s="81">
        <v>20201.900000000001</v>
      </c>
    </row>
    <row r="1305" spans="4:5" hidden="1" outlineLevel="1" x14ac:dyDescent="0.3">
      <c r="D1305" s="80">
        <v>44218</v>
      </c>
      <c r="E1305" s="81">
        <v>20390.57</v>
      </c>
    </row>
    <row r="1306" spans="4:5" hidden="1" outlineLevel="1" x14ac:dyDescent="0.3">
      <c r="D1306" s="80">
        <v>44217</v>
      </c>
      <c r="E1306" s="81">
        <v>20700.02</v>
      </c>
    </row>
    <row r="1307" spans="4:5" hidden="1" outlineLevel="1" x14ac:dyDescent="0.3">
      <c r="D1307" s="80">
        <v>44216</v>
      </c>
      <c r="E1307" s="81">
        <v>20775.669999999998</v>
      </c>
    </row>
    <row r="1308" spans="4:5" hidden="1" outlineLevel="1" x14ac:dyDescent="0.3">
      <c r="D1308" s="80">
        <v>44215</v>
      </c>
      <c r="E1308" s="81">
        <v>20600.41</v>
      </c>
    </row>
    <row r="1309" spans="4:5" hidden="1" outlineLevel="1" x14ac:dyDescent="0.3">
      <c r="D1309" s="80">
        <v>44214</v>
      </c>
      <c r="E1309" s="81">
        <v>20260.18</v>
      </c>
    </row>
    <row r="1310" spans="4:5" hidden="1" outlineLevel="1" x14ac:dyDescent="0.3">
      <c r="D1310" s="80">
        <v>44211</v>
      </c>
      <c r="E1310" s="81">
        <v>20476.38</v>
      </c>
    </row>
    <row r="1311" spans="4:5" hidden="1" outlineLevel="1" x14ac:dyDescent="0.3">
      <c r="D1311" s="80">
        <v>44210</v>
      </c>
      <c r="E1311" s="81">
        <v>20706.07</v>
      </c>
    </row>
    <row r="1312" spans="4:5" hidden="1" outlineLevel="1" x14ac:dyDescent="0.3">
      <c r="D1312" s="80">
        <v>44209</v>
      </c>
      <c r="E1312" s="81">
        <v>20660.349999999999</v>
      </c>
    </row>
    <row r="1313" spans="4:5" hidden="1" outlineLevel="1" x14ac:dyDescent="0.3">
      <c r="D1313" s="80">
        <v>44208</v>
      </c>
      <c r="E1313" s="81">
        <v>20658.34</v>
      </c>
    </row>
    <row r="1314" spans="4:5" hidden="1" outlineLevel="1" x14ac:dyDescent="0.3">
      <c r="D1314" s="80">
        <v>44207</v>
      </c>
      <c r="E1314" s="81">
        <v>20546.740000000002</v>
      </c>
    </row>
    <row r="1315" spans="4:5" hidden="1" outlineLevel="1" x14ac:dyDescent="0.3">
      <c r="D1315" s="80">
        <v>44204</v>
      </c>
      <c r="E1315" s="81">
        <v>20351.669999999998</v>
      </c>
    </row>
    <row r="1316" spans="4:5" hidden="1" outlineLevel="1" x14ac:dyDescent="0.3">
      <c r="D1316" s="80">
        <v>44203</v>
      </c>
      <c r="E1316" s="81">
        <v>20053.97</v>
      </c>
    </row>
    <row r="1317" spans="4:5" hidden="1" outlineLevel="1" x14ac:dyDescent="0.3">
      <c r="D1317" s="80">
        <v>44202</v>
      </c>
      <c r="E1317" s="81">
        <v>20066.560000000001</v>
      </c>
    </row>
    <row r="1318" spans="4:5" hidden="1" outlineLevel="1" x14ac:dyDescent="0.3">
      <c r="D1318" s="80">
        <v>44201</v>
      </c>
      <c r="E1318" s="81">
        <v>20142.13</v>
      </c>
    </row>
    <row r="1319" spans="4:5" hidden="1" outlineLevel="1" x14ac:dyDescent="0.3">
      <c r="D1319" s="80">
        <v>44200</v>
      </c>
      <c r="E1319" s="81">
        <v>20047.61</v>
      </c>
    </row>
    <row r="1320" spans="4:5" hidden="1" outlineLevel="1" x14ac:dyDescent="0.3">
      <c r="D1320" s="80">
        <v>44197</v>
      </c>
      <c r="E1320" s="81">
        <v>19885.36</v>
      </c>
    </row>
    <row r="1321" spans="4:5" hidden="1" outlineLevel="1" x14ac:dyDescent="0.3">
      <c r="D1321" s="80">
        <v>44196</v>
      </c>
      <c r="E1321" s="81">
        <v>19833.189999999999</v>
      </c>
    </row>
    <row r="1322" spans="4:5" hidden="1" outlineLevel="1" x14ac:dyDescent="0.3">
      <c r="D1322" s="80">
        <v>44195</v>
      </c>
      <c r="E1322" s="81">
        <v>19833.53</v>
      </c>
    </row>
    <row r="1323" spans="4:5" hidden="1" outlineLevel="1" x14ac:dyDescent="0.3">
      <c r="D1323" s="80">
        <v>44194</v>
      </c>
      <c r="E1323" s="81">
        <v>19763.509999999998</v>
      </c>
    </row>
    <row r="1324" spans="4:5" hidden="1" outlineLevel="1" x14ac:dyDescent="0.3">
      <c r="D1324" s="80">
        <v>44193</v>
      </c>
      <c r="E1324" s="81">
        <v>19679.240000000002</v>
      </c>
    </row>
    <row r="1325" spans="4:5" hidden="1" outlineLevel="1" x14ac:dyDescent="0.3">
      <c r="D1325" s="80">
        <v>44189</v>
      </c>
      <c r="E1325" s="81">
        <v>19503.400000000001</v>
      </c>
    </row>
    <row r="1326" spans="4:5" hidden="1" outlineLevel="1" x14ac:dyDescent="0.3">
      <c r="D1326" s="80">
        <v>44188</v>
      </c>
      <c r="E1326" s="81">
        <v>19293.259999999998</v>
      </c>
    </row>
    <row r="1327" spans="4:5" hidden="1" outlineLevel="1" x14ac:dyDescent="0.3">
      <c r="D1327" s="80">
        <v>44187</v>
      </c>
      <c r="E1327" s="81">
        <v>19102.060000000001</v>
      </c>
    </row>
    <row r="1328" spans="4:5" hidden="1" outlineLevel="1" x14ac:dyDescent="0.3">
      <c r="D1328" s="80">
        <v>44186</v>
      </c>
      <c r="E1328" s="81">
        <v>18906.45</v>
      </c>
    </row>
    <row r="1329" spans="4:5" hidden="1" outlineLevel="1" x14ac:dyDescent="0.3">
      <c r="D1329" s="80">
        <v>44183</v>
      </c>
      <c r="E1329" s="81">
        <v>19519.419999999998</v>
      </c>
    </row>
    <row r="1330" spans="4:5" hidden="1" outlineLevel="1" x14ac:dyDescent="0.3">
      <c r="D1330" s="80">
        <v>44182</v>
      </c>
      <c r="E1330" s="81">
        <v>19491.3</v>
      </c>
    </row>
    <row r="1331" spans="4:5" hidden="1" outlineLevel="1" x14ac:dyDescent="0.3">
      <c r="D1331" s="80">
        <v>44181</v>
      </c>
      <c r="E1331" s="81">
        <v>19404.8</v>
      </c>
    </row>
    <row r="1332" spans="4:5" hidden="1" outlineLevel="1" x14ac:dyDescent="0.3">
      <c r="D1332" s="80">
        <v>44180</v>
      </c>
      <c r="E1332" s="81">
        <v>19241.900000000001</v>
      </c>
    </row>
    <row r="1333" spans="4:5" hidden="1" outlineLevel="1" x14ac:dyDescent="0.3">
      <c r="D1333" s="80">
        <v>44179</v>
      </c>
      <c r="E1333" s="81">
        <v>19228.16</v>
      </c>
    </row>
    <row r="1334" spans="4:5" hidden="1" outlineLevel="1" x14ac:dyDescent="0.3">
      <c r="D1334" s="80">
        <v>44176</v>
      </c>
      <c r="E1334" s="81">
        <v>19165.330000000002</v>
      </c>
    </row>
    <row r="1335" spans="4:5" hidden="1" outlineLevel="1" x14ac:dyDescent="0.3">
      <c r="D1335" s="80">
        <v>44175</v>
      </c>
      <c r="E1335" s="81">
        <v>19114.96</v>
      </c>
    </row>
    <row r="1336" spans="4:5" hidden="1" outlineLevel="1" x14ac:dyDescent="0.3">
      <c r="D1336" s="80">
        <v>44174</v>
      </c>
      <c r="E1336" s="81">
        <v>19186.95</v>
      </c>
    </row>
    <row r="1337" spans="4:5" hidden="1" outlineLevel="1" x14ac:dyDescent="0.3">
      <c r="D1337" s="80">
        <v>44173</v>
      </c>
      <c r="E1337" s="81">
        <v>18993.86</v>
      </c>
    </row>
    <row r="1338" spans="4:5" hidden="1" outlineLevel="1" x14ac:dyDescent="0.3">
      <c r="D1338" s="80">
        <v>44172</v>
      </c>
      <c r="E1338" s="81">
        <v>18941.150000000001</v>
      </c>
    </row>
    <row r="1339" spans="4:5" hidden="1" outlineLevel="1" x14ac:dyDescent="0.3">
      <c r="D1339" s="80">
        <v>44169</v>
      </c>
      <c r="E1339" s="81">
        <v>18803.27</v>
      </c>
    </row>
    <row r="1340" spans="4:5" hidden="1" outlineLevel="1" x14ac:dyDescent="0.3">
      <c r="D1340" s="80">
        <v>44168</v>
      </c>
      <c r="E1340" s="81">
        <v>18626.53</v>
      </c>
    </row>
    <row r="1341" spans="4:5" hidden="1" outlineLevel="1" x14ac:dyDescent="0.3">
      <c r="D1341" s="80">
        <v>44167</v>
      </c>
      <c r="E1341" s="81">
        <v>18597.900000000001</v>
      </c>
    </row>
    <row r="1342" spans="4:5" hidden="1" outlineLevel="1" x14ac:dyDescent="0.3">
      <c r="D1342" s="80">
        <v>44166</v>
      </c>
      <c r="E1342" s="81">
        <v>18591.25</v>
      </c>
    </row>
    <row r="1343" spans="4:5" hidden="1" outlineLevel="1" x14ac:dyDescent="0.3">
      <c r="D1343" s="80">
        <v>44162</v>
      </c>
      <c r="E1343" s="81">
        <v>18392.54</v>
      </c>
    </row>
    <row r="1344" spans="4:5" hidden="1" outlineLevel="1" x14ac:dyDescent="0.3">
      <c r="D1344" s="80">
        <v>44161</v>
      </c>
      <c r="E1344" s="81">
        <v>18418.16</v>
      </c>
    </row>
    <row r="1345" spans="4:5" hidden="1" outlineLevel="1" x14ac:dyDescent="0.3">
      <c r="D1345" s="80">
        <v>44160</v>
      </c>
      <c r="E1345" s="81">
        <v>18235.759999999998</v>
      </c>
    </row>
    <row r="1346" spans="4:5" hidden="1" outlineLevel="1" x14ac:dyDescent="0.3">
      <c r="D1346" s="80">
        <v>44159</v>
      </c>
      <c r="E1346" s="81">
        <v>18514.82</v>
      </c>
    </row>
    <row r="1347" spans="4:5" hidden="1" outlineLevel="1" x14ac:dyDescent="0.3">
      <c r="D1347" s="80">
        <v>44158</v>
      </c>
      <c r="E1347" s="81">
        <v>18332.330000000002</v>
      </c>
    </row>
    <row r="1348" spans="4:5" hidden="1" outlineLevel="1" x14ac:dyDescent="0.3">
      <c r="D1348" s="80">
        <v>44155</v>
      </c>
      <c r="E1348" s="81">
        <v>18236.68</v>
      </c>
    </row>
    <row r="1349" spans="4:5" hidden="1" outlineLevel="1" x14ac:dyDescent="0.3">
      <c r="D1349" s="80">
        <v>44154</v>
      </c>
      <c r="E1349" s="81">
        <v>18112.830000000002</v>
      </c>
    </row>
    <row r="1350" spans="4:5" hidden="1" outlineLevel="1" x14ac:dyDescent="0.3">
      <c r="D1350" s="80">
        <v>44153</v>
      </c>
      <c r="E1350" s="81">
        <v>18349.02</v>
      </c>
    </row>
    <row r="1351" spans="4:5" hidden="1" outlineLevel="1" x14ac:dyDescent="0.3">
      <c r="D1351" s="80">
        <v>44152</v>
      </c>
      <c r="E1351" s="81">
        <v>18258.23</v>
      </c>
    </row>
    <row r="1352" spans="4:5" hidden="1" outlineLevel="1" x14ac:dyDescent="0.3">
      <c r="D1352" s="80">
        <v>44148</v>
      </c>
      <c r="E1352" s="81">
        <v>18039.439999999999</v>
      </c>
    </row>
    <row r="1353" spans="4:5" hidden="1" outlineLevel="1" x14ac:dyDescent="0.3">
      <c r="D1353" s="80">
        <v>44147</v>
      </c>
      <c r="E1353" s="81">
        <v>17998.11</v>
      </c>
    </row>
    <row r="1354" spans="4:5" hidden="1" outlineLevel="1" x14ac:dyDescent="0.3">
      <c r="D1354" s="80">
        <v>44146</v>
      </c>
      <c r="E1354" s="81">
        <v>18080.84</v>
      </c>
    </row>
    <row r="1355" spans="4:5" hidden="1" outlineLevel="1" x14ac:dyDescent="0.3">
      <c r="D1355" s="80">
        <v>44145</v>
      </c>
      <c r="E1355" s="81">
        <v>17913.400000000001</v>
      </c>
    </row>
    <row r="1356" spans="4:5" hidden="1" outlineLevel="1" x14ac:dyDescent="0.3">
      <c r="D1356" s="80">
        <v>44144</v>
      </c>
      <c r="E1356" s="81">
        <v>17672.25</v>
      </c>
    </row>
    <row r="1357" spans="4:5" hidden="1" outlineLevel="1" x14ac:dyDescent="0.3">
      <c r="D1357" s="80">
        <v>44141</v>
      </c>
      <c r="E1357" s="81">
        <v>17392.14</v>
      </c>
    </row>
    <row r="1358" spans="4:5" hidden="1" outlineLevel="1" x14ac:dyDescent="0.3">
      <c r="D1358" s="80">
        <v>44140</v>
      </c>
      <c r="E1358" s="81">
        <v>17189.03</v>
      </c>
    </row>
    <row r="1359" spans="4:5" hidden="1" outlineLevel="1" x14ac:dyDescent="0.3">
      <c r="D1359" s="80">
        <v>44139</v>
      </c>
      <c r="E1359" s="81">
        <v>16888.650000000001</v>
      </c>
    </row>
    <row r="1360" spans="4:5" hidden="1" outlineLevel="1" x14ac:dyDescent="0.3">
      <c r="D1360" s="80">
        <v>44138</v>
      </c>
      <c r="E1360" s="81">
        <v>16746.75</v>
      </c>
    </row>
    <row r="1361" spans="4:5" hidden="1" outlineLevel="1" x14ac:dyDescent="0.3">
      <c r="D1361" s="80">
        <v>44137</v>
      </c>
      <c r="E1361" s="81">
        <v>16542.080000000002</v>
      </c>
    </row>
    <row r="1362" spans="4:5" hidden="1" outlineLevel="1" x14ac:dyDescent="0.3">
      <c r="D1362" s="80">
        <v>44134</v>
      </c>
      <c r="E1362" s="81">
        <v>16504.16</v>
      </c>
    </row>
    <row r="1363" spans="4:5" hidden="1" outlineLevel="1" x14ac:dyDescent="0.3">
      <c r="D1363" s="80">
        <v>44133</v>
      </c>
      <c r="E1363" s="81">
        <v>16544.45</v>
      </c>
    </row>
    <row r="1364" spans="4:5" hidden="1" outlineLevel="1" x14ac:dyDescent="0.3">
      <c r="D1364" s="80">
        <v>44132</v>
      </c>
      <c r="E1364" s="81">
        <v>16623.13</v>
      </c>
    </row>
    <row r="1365" spans="4:5" hidden="1" outlineLevel="1" x14ac:dyDescent="0.3">
      <c r="D1365" s="80">
        <v>44131</v>
      </c>
      <c r="E1365" s="81">
        <v>16844.96</v>
      </c>
    </row>
    <row r="1366" spans="4:5" hidden="1" outlineLevel="1" x14ac:dyDescent="0.3">
      <c r="D1366" s="80">
        <v>44130</v>
      </c>
      <c r="E1366" s="81">
        <v>16672.62</v>
      </c>
    </row>
    <row r="1367" spans="4:5" hidden="1" outlineLevel="1" x14ac:dyDescent="0.3">
      <c r="D1367" s="80">
        <v>44127</v>
      </c>
      <c r="E1367" s="81">
        <v>16902.96</v>
      </c>
    </row>
    <row r="1368" spans="4:5" hidden="1" outlineLevel="1" x14ac:dyDescent="0.3">
      <c r="D1368" s="80">
        <v>44126</v>
      </c>
      <c r="E1368" s="81">
        <v>16840.52</v>
      </c>
    </row>
    <row r="1369" spans="4:5" hidden="1" outlineLevel="1" x14ac:dyDescent="0.3">
      <c r="D1369" s="80">
        <v>44125</v>
      </c>
      <c r="E1369" s="81">
        <v>16897.43</v>
      </c>
    </row>
    <row r="1370" spans="4:5" hidden="1" outlineLevel="1" x14ac:dyDescent="0.3">
      <c r="D1370" s="80">
        <v>44124</v>
      </c>
      <c r="E1370" s="81">
        <v>16839.599999999999</v>
      </c>
    </row>
    <row r="1371" spans="4:5" hidden="1" outlineLevel="1" x14ac:dyDescent="0.3">
      <c r="D1371" s="80">
        <v>44123</v>
      </c>
      <c r="E1371" s="81">
        <v>16805.97</v>
      </c>
    </row>
    <row r="1372" spans="4:5" hidden="1" outlineLevel="1" x14ac:dyDescent="0.3">
      <c r="D1372" s="80">
        <v>44120</v>
      </c>
      <c r="E1372" s="81">
        <v>16649.46</v>
      </c>
    </row>
    <row r="1373" spans="4:5" hidden="1" outlineLevel="1" x14ac:dyDescent="0.3">
      <c r="D1373" s="80">
        <v>44119</v>
      </c>
      <c r="E1373" s="81">
        <v>16533.240000000002</v>
      </c>
    </row>
    <row r="1374" spans="4:5" hidden="1" outlineLevel="1" x14ac:dyDescent="0.3">
      <c r="D1374" s="80">
        <v>44118</v>
      </c>
      <c r="E1374" s="81">
        <v>16944.73</v>
      </c>
    </row>
    <row r="1375" spans="4:5" hidden="1" outlineLevel="1" x14ac:dyDescent="0.3">
      <c r="D1375" s="80">
        <v>44117</v>
      </c>
      <c r="E1375" s="81">
        <v>16888.87</v>
      </c>
    </row>
    <row r="1376" spans="4:5" hidden="1" outlineLevel="1" x14ac:dyDescent="0.3">
      <c r="D1376" s="80">
        <v>44116</v>
      </c>
      <c r="E1376" s="81">
        <v>16883.84</v>
      </c>
    </row>
    <row r="1377" spans="4:5" hidden="1" outlineLevel="1" x14ac:dyDescent="0.3">
      <c r="D1377" s="80">
        <v>44113</v>
      </c>
      <c r="E1377" s="81">
        <v>16860.11</v>
      </c>
    </row>
    <row r="1378" spans="4:5" hidden="1" outlineLevel="1" x14ac:dyDescent="0.3">
      <c r="D1378" s="80">
        <v>44112</v>
      </c>
      <c r="E1378" s="81">
        <v>16747.48</v>
      </c>
    </row>
    <row r="1379" spans="4:5" hidden="1" outlineLevel="1" x14ac:dyDescent="0.3">
      <c r="D1379" s="80">
        <v>44111</v>
      </c>
      <c r="E1379" s="81">
        <v>16611.96</v>
      </c>
    </row>
    <row r="1380" spans="4:5" hidden="1" outlineLevel="1" x14ac:dyDescent="0.3">
      <c r="D1380" s="80">
        <v>44110</v>
      </c>
      <c r="E1380" s="81">
        <v>16503.77</v>
      </c>
    </row>
    <row r="1381" spans="4:5" hidden="1" outlineLevel="1" x14ac:dyDescent="0.3">
      <c r="D1381" s="80">
        <v>44109</v>
      </c>
      <c r="E1381" s="81">
        <v>16278.72</v>
      </c>
    </row>
    <row r="1382" spans="4:5" hidden="1" outlineLevel="1" x14ac:dyDescent="0.3">
      <c r="D1382" s="80">
        <v>44105</v>
      </c>
      <c r="E1382" s="81">
        <v>16156.44</v>
      </c>
    </row>
    <row r="1383" spans="4:5" hidden="1" outlineLevel="1" x14ac:dyDescent="0.3">
      <c r="D1383" s="80">
        <v>44104</v>
      </c>
      <c r="E1383" s="81">
        <v>15916.72</v>
      </c>
    </row>
    <row r="1384" spans="4:5" hidden="1" outlineLevel="1" x14ac:dyDescent="0.3">
      <c r="D1384" s="80">
        <v>44103</v>
      </c>
      <c r="E1384" s="81">
        <v>15881.16</v>
      </c>
    </row>
    <row r="1385" spans="4:5" hidden="1" outlineLevel="1" x14ac:dyDescent="0.3">
      <c r="D1385" s="80">
        <v>44102</v>
      </c>
      <c r="E1385" s="81">
        <v>15888.44</v>
      </c>
    </row>
    <row r="1386" spans="4:5" hidden="1" outlineLevel="1" x14ac:dyDescent="0.3">
      <c r="D1386" s="80">
        <v>44099</v>
      </c>
      <c r="E1386" s="81">
        <v>15637.53</v>
      </c>
    </row>
    <row r="1387" spans="4:5" hidden="1" outlineLevel="1" x14ac:dyDescent="0.3">
      <c r="D1387" s="80">
        <v>44098</v>
      </c>
      <c r="E1387" s="81">
        <v>15291.25</v>
      </c>
    </row>
    <row r="1388" spans="4:5" hidden="1" outlineLevel="1" x14ac:dyDescent="0.3">
      <c r="D1388" s="80">
        <v>44097</v>
      </c>
      <c r="E1388" s="81">
        <v>15752.97</v>
      </c>
    </row>
    <row r="1389" spans="4:5" hidden="1" outlineLevel="1" x14ac:dyDescent="0.3">
      <c r="D1389" s="80">
        <v>44096</v>
      </c>
      <c r="E1389" s="81">
        <v>15783.87</v>
      </c>
    </row>
    <row r="1390" spans="4:5" hidden="1" outlineLevel="1" x14ac:dyDescent="0.3">
      <c r="D1390" s="80">
        <v>44095</v>
      </c>
      <c r="E1390" s="81">
        <v>15920.99</v>
      </c>
    </row>
    <row r="1391" spans="4:5" hidden="1" outlineLevel="1" x14ac:dyDescent="0.3">
      <c r="D1391" s="80">
        <v>44092</v>
      </c>
      <c r="E1391" s="81">
        <v>16281</v>
      </c>
    </row>
    <row r="1392" spans="4:5" hidden="1" outlineLevel="1" x14ac:dyDescent="0.3">
      <c r="D1392" s="80">
        <v>44091</v>
      </c>
      <c r="E1392" s="81">
        <v>16296.78</v>
      </c>
    </row>
    <row r="1393" spans="4:5" hidden="1" outlineLevel="1" x14ac:dyDescent="0.3">
      <c r="D1393" s="80">
        <v>44090</v>
      </c>
      <c r="E1393" s="81">
        <v>16421.95</v>
      </c>
    </row>
    <row r="1394" spans="4:5" hidden="1" outlineLevel="1" x14ac:dyDescent="0.3">
      <c r="D1394" s="80">
        <v>44089</v>
      </c>
      <c r="E1394" s="81">
        <v>16304.84</v>
      </c>
    </row>
    <row r="1395" spans="4:5" hidden="1" outlineLevel="1" x14ac:dyDescent="0.3">
      <c r="D1395" s="80">
        <v>44088</v>
      </c>
      <c r="E1395" s="81">
        <v>16189.14</v>
      </c>
    </row>
    <row r="1396" spans="4:5" hidden="1" outlineLevel="1" x14ac:dyDescent="0.3">
      <c r="D1396" s="80">
        <v>44085</v>
      </c>
      <c r="E1396" s="81">
        <v>16222.92</v>
      </c>
    </row>
    <row r="1397" spans="4:5" hidden="1" outlineLevel="1" x14ac:dyDescent="0.3">
      <c r="D1397" s="80">
        <v>44084</v>
      </c>
      <c r="E1397" s="81">
        <v>16201.44</v>
      </c>
    </row>
    <row r="1398" spans="4:5" hidden="1" outlineLevel="1" x14ac:dyDescent="0.3">
      <c r="D1398" s="80">
        <v>44083</v>
      </c>
      <c r="E1398" s="81">
        <v>15958.99</v>
      </c>
    </row>
    <row r="1399" spans="4:5" hidden="1" outlineLevel="1" x14ac:dyDescent="0.3">
      <c r="D1399" s="80">
        <v>44082</v>
      </c>
      <c r="E1399" s="81">
        <v>16014.67</v>
      </c>
    </row>
    <row r="1400" spans="4:5" hidden="1" outlineLevel="1" x14ac:dyDescent="0.3">
      <c r="D1400" s="80">
        <v>44081</v>
      </c>
      <c r="E1400" s="81">
        <v>16068.06</v>
      </c>
    </row>
    <row r="1401" spans="4:5" hidden="1" outlineLevel="1" x14ac:dyDescent="0.3">
      <c r="D1401" s="80">
        <v>44078</v>
      </c>
      <c r="E1401" s="81">
        <v>16038.07</v>
      </c>
    </row>
    <row r="1402" spans="4:5" hidden="1" outlineLevel="1" x14ac:dyDescent="0.3">
      <c r="D1402" s="80">
        <v>44077</v>
      </c>
      <c r="E1402" s="81">
        <v>16311.99</v>
      </c>
    </row>
    <row r="1403" spans="4:5" hidden="1" outlineLevel="1" x14ac:dyDescent="0.3">
      <c r="D1403" s="80">
        <v>44076</v>
      </c>
      <c r="E1403" s="81">
        <v>16322.17</v>
      </c>
    </row>
    <row r="1404" spans="4:5" hidden="1" outlineLevel="1" x14ac:dyDescent="0.3">
      <c r="D1404" s="80">
        <v>44075</v>
      </c>
      <c r="E1404" s="81">
        <v>16227.14</v>
      </c>
    </row>
    <row r="1405" spans="4:5" hidden="1" outlineLevel="1" x14ac:dyDescent="0.3">
      <c r="D1405" s="80">
        <v>44074</v>
      </c>
      <c r="E1405" s="81">
        <v>16110.07</v>
      </c>
    </row>
    <row r="1406" spans="4:5" hidden="1" outlineLevel="1" x14ac:dyDescent="0.3">
      <c r="D1406" s="80">
        <v>44071</v>
      </c>
      <c r="E1406" s="81">
        <v>16478.009999999998</v>
      </c>
    </row>
    <row r="1407" spans="4:5" hidden="1" outlineLevel="1" x14ac:dyDescent="0.3">
      <c r="D1407" s="80">
        <v>44070</v>
      </c>
      <c r="E1407" s="81">
        <v>16353.08</v>
      </c>
    </row>
    <row r="1408" spans="4:5" hidden="1" outlineLevel="1" x14ac:dyDescent="0.3">
      <c r="D1408" s="80">
        <v>44069</v>
      </c>
      <c r="E1408" s="81">
        <v>16339.41</v>
      </c>
    </row>
    <row r="1409" spans="4:5" hidden="1" outlineLevel="1" x14ac:dyDescent="0.3">
      <c r="D1409" s="80">
        <v>44068</v>
      </c>
      <c r="E1409" s="81">
        <v>16226.2</v>
      </c>
    </row>
    <row r="1410" spans="4:5" hidden="1" outlineLevel="1" x14ac:dyDescent="0.3">
      <c r="D1410" s="80">
        <v>44067</v>
      </c>
      <c r="E1410" s="81">
        <v>16218.02</v>
      </c>
    </row>
    <row r="1411" spans="4:5" hidden="1" outlineLevel="1" x14ac:dyDescent="0.3">
      <c r="D1411" s="80">
        <v>44064</v>
      </c>
      <c r="E1411" s="81">
        <v>16083.84</v>
      </c>
    </row>
    <row r="1412" spans="4:5" hidden="1" outlineLevel="1" x14ac:dyDescent="0.3">
      <c r="D1412" s="80">
        <v>44063</v>
      </c>
      <c r="E1412" s="81">
        <v>15999.86</v>
      </c>
    </row>
    <row r="1413" spans="4:5" hidden="1" outlineLevel="1" x14ac:dyDescent="0.3">
      <c r="D1413" s="80">
        <v>44062</v>
      </c>
      <c r="E1413" s="81">
        <v>16135.89</v>
      </c>
    </row>
    <row r="1414" spans="4:5" hidden="1" outlineLevel="1" x14ac:dyDescent="0.3">
      <c r="D1414" s="80">
        <v>44061</v>
      </c>
      <c r="E1414" s="81">
        <v>16101.86</v>
      </c>
    </row>
    <row r="1415" spans="4:5" hidden="1" outlineLevel="1" x14ac:dyDescent="0.3">
      <c r="D1415" s="80">
        <v>44060</v>
      </c>
      <c r="E1415" s="81">
        <v>15906.29</v>
      </c>
    </row>
    <row r="1416" spans="4:5" hidden="1" outlineLevel="1" x14ac:dyDescent="0.3">
      <c r="D1416" s="80">
        <v>44057</v>
      </c>
      <c r="E1416" s="81">
        <v>15809.17</v>
      </c>
    </row>
    <row r="1417" spans="4:5" hidden="1" outlineLevel="1" x14ac:dyDescent="0.3">
      <c r="D1417" s="80">
        <v>44056</v>
      </c>
      <c r="E1417" s="81">
        <v>15981.73</v>
      </c>
    </row>
    <row r="1418" spans="4:5" hidden="1" outlineLevel="1" x14ac:dyDescent="0.3">
      <c r="D1418" s="80">
        <v>44055</v>
      </c>
      <c r="E1418" s="81">
        <v>15986.03</v>
      </c>
    </row>
    <row r="1419" spans="4:5" hidden="1" outlineLevel="1" x14ac:dyDescent="0.3">
      <c r="D1419" s="80">
        <v>44054</v>
      </c>
      <c r="E1419" s="81">
        <v>16005.99</v>
      </c>
    </row>
    <row r="1420" spans="4:5" hidden="1" outlineLevel="1" x14ac:dyDescent="0.3">
      <c r="D1420" s="80">
        <v>44053</v>
      </c>
      <c r="E1420" s="81">
        <v>15931.97</v>
      </c>
    </row>
    <row r="1421" spans="4:5" hidden="1" outlineLevel="1" x14ac:dyDescent="0.3">
      <c r="D1421" s="80">
        <v>44050</v>
      </c>
      <c r="E1421" s="81">
        <v>15852.65</v>
      </c>
    </row>
    <row r="1422" spans="4:5" hidden="1" outlineLevel="1" x14ac:dyDescent="0.3">
      <c r="D1422" s="80">
        <v>44049</v>
      </c>
      <c r="E1422" s="81">
        <v>15833.02</v>
      </c>
    </row>
    <row r="1423" spans="4:5" hidden="1" outlineLevel="1" x14ac:dyDescent="0.3">
      <c r="D1423" s="80">
        <v>44048</v>
      </c>
      <c r="E1423" s="81">
        <v>15689.69</v>
      </c>
    </row>
    <row r="1424" spans="4:5" hidden="1" outlineLevel="1" x14ac:dyDescent="0.3">
      <c r="D1424" s="80">
        <v>44047</v>
      </c>
      <c r="E1424" s="81">
        <v>15676.74</v>
      </c>
    </row>
    <row r="1425" spans="4:5" hidden="1" outlineLevel="1" x14ac:dyDescent="0.3">
      <c r="D1425" s="80">
        <v>44046</v>
      </c>
      <c r="E1425" s="81">
        <v>15388.98</v>
      </c>
    </row>
    <row r="1426" spans="4:5" hidden="1" outlineLevel="1" x14ac:dyDescent="0.3">
      <c r="D1426" s="80">
        <v>44043</v>
      </c>
      <c r="E1426" s="81">
        <v>15645.34</v>
      </c>
    </row>
    <row r="1427" spans="4:5" hidden="1" outlineLevel="1" x14ac:dyDescent="0.3">
      <c r="D1427" s="80">
        <v>44042</v>
      </c>
      <c r="E1427" s="81">
        <v>15685.92</v>
      </c>
    </row>
    <row r="1428" spans="4:5" hidden="1" outlineLevel="1" x14ac:dyDescent="0.3">
      <c r="D1428" s="80">
        <v>44041</v>
      </c>
      <c r="E1428" s="81">
        <v>15824.19</v>
      </c>
    </row>
    <row r="1429" spans="4:5" hidden="1" outlineLevel="1" x14ac:dyDescent="0.3">
      <c r="D1429" s="80">
        <v>44040</v>
      </c>
      <c r="E1429" s="81">
        <v>15961.7</v>
      </c>
    </row>
    <row r="1430" spans="4:5" hidden="1" outlineLevel="1" x14ac:dyDescent="0.3">
      <c r="D1430" s="80">
        <v>44039</v>
      </c>
      <c r="E1430" s="81">
        <v>15723.39</v>
      </c>
    </row>
    <row r="1431" spans="4:5" hidden="1" outlineLevel="1" x14ac:dyDescent="0.3">
      <c r="D1431" s="80">
        <v>44036</v>
      </c>
      <c r="E1431" s="81">
        <v>15811.4</v>
      </c>
    </row>
    <row r="1432" spans="4:5" hidden="1" outlineLevel="1" x14ac:dyDescent="0.3">
      <c r="D1432" s="80">
        <v>44035</v>
      </c>
      <c r="E1432" s="81">
        <v>15841.48</v>
      </c>
    </row>
    <row r="1433" spans="4:5" hidden="1" outlineLevel="1" x14ac:dyDescent="0.3">
      <c r="D1433" s="80">
        <v>44034</v>
      </c>
      <c r="E1433" s="81">
        <v>15722.51</v>
      </c>
    </row>
    <row r="1434" spans="4:5" hidden="1" outlineLevel="1" x14ac:dyDescent="0.3">
      <c r="D1434" s="80">
        <v>44033</v>
      </c>
      <c r="E1434" s="81">
        <v>15764.41</v>
      </c>
    </row>
    <row r="1435" spans="4:5" hidden="1" outlineLevel="1" x14ac:dyDescent="0.3">
      <c r="D1435" s="80">
        <v>44032</v>
      </c>
      <c r="E1435" s="81">
        <v>15566.56</v>
      </c>
    </row>
    <row r="1436" spans="4:5" hidden="1" outlineLevel="1" x14ac:dyDescent="0.3">
      <c r="D1436" s="80">
        <v>44029</v>
      </c>
      <c r="E1436" s="81">
        <v>15396.44</v>
      </c>
    </row>
    <row r="1437" spans="4:5" hidden="1" outlineLevel="1" x14ac:dyDescent="0.3">
      <c r="D1437" s="80">
        <v>44028</v>
      </c>
      <c r="E1437" s="81">
        <v>15167.99</v>
      </c>
    </row>
    <row r="1438" spans="4:5" hidden="1" outlineLevel="1" x14ac:dyDescent="0.3">
      <c r="D1438" s="80">
        <v>44027</v>
      </c>
      <c r="E1438" s="81">
        <v>14993.52</v>
      </c>
    </row>
    <row r="1439" spans="4:5" hidden="1" outlineLevel="1" x14ac:dyDescent="0.3">
      <c r="D1439" s="80">
        <v>44026</v>
      </c>
      <c r="E1439" s="81">
        <v>14978.23</v>
      </c>
    </row>
    <row r="1440" spans="4:5" hidden="1" outlineLevel="1" x14ac:dyDescent="0.3">
      <c r="D1440" s="80">
        <v>44025</v>
      </c>
      <c r="E1440" s="81">
        <v>15254.09</v>
      </c>
    </row>
    <row r="1441" spans="4:5" hidden="1" outlineLevel="1" x14ac:dyDescent="0.3">
      <c r="D1441" s="80">
        <v>44022</v>
      </c>
      <c r="E1441" s="81">
        <v>15204.13</v>
      </c>
    </row>
    <row r="1442" spans="4:5" hidden="1" outlineLevel="1" x14ac:dyDescent="0.3">
      <c r="D1442" s="80">
        <v>44021</v>
      </c>
      <c r="E1442" s="81">
        <v>15268.19</v>
      </c>
    </row>
    <row r="1443" spans="4:5" hidden="1" outlineLevel="1" x14ac:dyDescent="0.3">
      <c r="D1443" s="80">
        <v>44020</v>
      </c>
      <c r="E1443" s="81">
        <v>15104.09</v>
      </c>
    </row>
    <row r="1444" spans="4:5" hidden="1" outlineLevel="1" x14ac:dyDescent="0.3">
      <c r="D1444" s="80">
        <v>44019</v>
      </c>
      <c r="E1444" s="81">
        <v>15236.58</v>
      </c>
    </row>
    <row r="1445" spans="4:5" hidden="1" outlineLevel="1" x14ac:dyDescent="0.3">
      <c r="D1445" s="80">
        <v>44018</v>
      </c>
      <c r="E1445" s="81">
        <v>15185.78</v>
      </c>
    </row>
    <row r="1446" spans="4:5" hidden="1" outlineLevel="1" x14ac:dyDescent="0.3">
      <c r="D1446" s="80">
        <v>44015</v>
      </c>
      <c r="E1446" s="81">
        <v>14964.59</v>
      </c>
    </row>
    <row r="1447" spans="4:5" hidden="1" outlineLevel="1" x14ac:dyDescent="0.3">
      <c r="D1447" s="80">
        <v>44014</v>
      </c>
      <c r="E1447" s="81">
        <v>14886.06</v>
      </c>
    </row>
    <row r="1448" spans="4:5" hidden="1" outlineLevel="1" x14ac:dyDescent="0.3">
      <c r="D1448" s="80">
        <v>44013</v>
      </c>
      <c r="E1448" s="81">
        <v>14707.64</v>
      </c>
    </row>
    <row r="1449" spans="4:5" hidden="1" outlineLevel="1" x14ac:dyDescent="0.3">
      <c r="D1449" s="80">
        <v>44012</v>
      </c>
      <c r="E1449" s="81">
        <v>14527.18</v>
      </c>
    </row>
    <row r="1450" spans="4:5" hidden="1" outlineLevel="1" x14ac:dyDescent="0.3">
      <c r="D1450" s="80">
        <v>44011</v>
      </c>
      <c r="E1450" s="81">
        <v>14541.76</v>
      </c>
    </row>
    <row r="1451" spans="4:5" hidden="1" outlineLevel="1" x14ac:dyDescent="0.3">
      <c r="D1451" s="80">
        <v>44008</v>
      </c>
      <c r="E1451" s="81">
        <v>14641.26</v>
      </c>
    </row>
    <row r="1452" spans="4:5" hidden="1" outlineLevel="1" x14ac:dyDescent="0.3">
      <c r="D1452" s="80">
        <v>44007</v>
      </c>
      <c r="E1452" s="81">
        <v>14508.61</v>
      </c>
    </row>
    <row r="1453" spans="4:5" hidden="1" outlineLevel="1" x14ac:dyDescent="0.3">
      <c r="D1453" s="80">
        <v>44006</v>
      </c>
      <c r="E1453" s="81">
        <v>14531.72</v>
      </c>
    </row>
    <row r="1454" spans="4:5" hidden="1" outlineLevel="1" x14ac:dyDescent="0.3">
      <c r="D1454" s="80">
        <v>44005</v>
      </c>
      <c r="E1454" s="81">
        <v>14765.36</v>
      </c>
    </row>
    <row r="1455" spans="4:5" hidden="1" outlineLevel="1" x14ac:dyDescent="0.3">
      <c r="D1455" s="80">
        <v>44004</v>
      </c>
      <c r="E1455" s="81">
        <v>14540.07</v>
      </c>
    </row>
    <row r="1456" spans="4:5" hidden="1" outlineLevel="1" x14ac:dyDescent="0.3">
      <c r="D1456" s="80">
        <v>44001</v>
      </c>
      <c r="E1456" s="81">
        <v>14445.87</v>
      </c>
    </row>
    <row r="1457" spans="4:5" hidden="1" outlineLevel="1" x14ac:dyDescent="0.3">
      <c r="D1457" s="80">
        <v>44000</v>
      </c>
      <c r="E1457" s="81">
        <v>14227.14</v>
      </c>
    </row>
    <row r="1458" spans="4:5" hidden="1" outlineLevel="1" x14ac:dyDescent="0.3">
      <c r="D1458" s="80">
        <v>43999</v>
      </c>
      <c r="E1458" s="81">
        <v>13930.35</v>
      </c>
    </row>
    <row r="1459" spans="4:5" hidden="1" outlineLevel="1" x14ac:dyDescent="0.3">
      <c r="D1459" s="80">
        <v>43998</v>
      </c>
      <c r="E1459" s="81">
        <v>13976.63</v>
      </c>
    </row>
    <row r="1460" spans="4:5" hidden="1" outlineLevel="1" x14ac:dyDescent="0.3">
      <c r="D1460" s="80">
        <v>43997</v>
      </c>
      <c r="E1460" s="81">
        <v>13835.27</v>
      </c>
    </row>
    <row r="1461" spans="4:5" hidden="1" outlineLevel="1" x14ac:dyDescent="0.3">
      <c r="D1461" s="80">
        <v>43994</v>
      </c>
      <c r="E1461" s="81">
        <v>14059.69</v>
      </c>
    </row>
    <row r="1462" spans="4:5" hidden="1" outlineLevel="1" x14ac:dyDescent="0.3">
      <c r="D1462" s="80">
        <v>43993</v>
      </c>
      <c r="E1462" s="81">
        <v>13959.73</v>
      </c>
    </row>
    <row r="1463" spans="4:5" hidden="1" outlineLevel="1" x14ac:dyDescent="0.3">
      <c r="D1463" s="80">
        <v>43992</v>
      </c>
      <c r="E1463" s="81">
        <v>14260.91</v>
      </c>
    </row>
    <row r="1464" spans="4:5" hidden="1" outlineLevel="1" x14ac:dyDescent="0.3">
      <c r="D1464" s="80">
        <v>43991</v>
      </c>
      <c r="E1464" s="81">
        <v>14162.9</v>
      </c>
    </row>
    <row r="1465" spans="4:5" hidden="1" outlineLevel="1" x14ac:dyDescent="0.3">
      <c r="D1465" s="80">
        <v>43990</v>
      </c>
      <c r="E1465" s="81">
        <v>14333.2</v>
      </c>
    </row>
    <row r="1466" spans="4:5" hidden="1" outlineLevel="1" x14ac:dyDescent="0.3">
      <c r="D1466" s="80">
        <v>43987</v>
      </c>
      <c r="E1466" s="81">
        <v>14297.55</v>
      </c>
    </row>
    <row r="1467" spans="4:5" hidden="1" outlineLevel="1" x14ac:dyDescent="0.3">
      <c r="D1467" s="80">
        <v>43986</v>
      </c>
      <c r="E1467" s="81">
        <v>14138.19</v>
      </c>
    </row>
    <row r="1468" spans="4:5" hidden="1" outlineLevel="1" x14ac:dyDescent="0.3">
      <c r="D1468" s="80">
        <v>43985</v>
      </c>
      <c r="E1468" s="81">
        <v>14183.95</v>
      </c>
    </row>
    <row r="1469" spans="4:5" hidden="1" outlineLevel="1" x14ac:dyDescent="0.3">
      <c r="D1469" s="80">
        <v>43984</v>
      </c>
      <c r="E1469" s="81">
        <v>14065.56</v>
      </c>
    </row>
    <row r="1470" spans="4:5" hidden="1" outlineLevel="1" x14ac:dyDescent="0.3">
      <c r="D1470" s="80">
        <v>43983</v>
      </c>
      <c r="E1470" s="81">
        <v>13850</v>
      </c>
    </row>
    <row r="1471" spans="4:5" hidden="1" outlineLevel="1" x14ac:dyDescent="0.3">
      <c r="D1471" s="80">
        <v>43980</v>
      </c>
      <c r="E1471" s="81">
        <v>13503.45</v>
      </c>
    </row>
    <row r="1472" spans="4:5" hidden="1" outlineLevel="1" x14ac:dyDescent="0.3">
      <c r="D1472" s="80">
        <v>43979</v>
      </c>
      <c r="E1472" s="81">
        <v>13364.65</v>
      </c>
    </row>
    <row r="1473" spans="4:5" hidden="1" outlineLevel="1" x14ac:dyDescent="0.3">
      <c r="D1473" s="80">
        <v>43978</v>
      </c>
      <c r="E1473" s="81">
        <v>13117.99</v>
      </c>
    </row>
    <row r="1474" spans="4:5" hidden="1" outlineLevel="1" x14ac:dyDescent="0.3">
      <c r="D1474" s="80">
        <v>43977</v>
      </c>
      <c r="E1474" s="81">
        <v>12715.39</v>
      </c>
    </row>
    <row r="1475" spans="4:5" hidden="1" outlineLevel="1" x14ac:dyDescent="0.3">
      <c r="D1475" s="80">
        <v>43973</v>
      </c>
      <c r="E1475" s="81">
        <v>12729.74</v>
      </c>
    </row>
    <row r="1476" spans="4:5" hidden="1" outlineLevel="1" x14ac:dyDescent="0.3">
      <c r="D1476" s="80">
        <v>43972</v>
      </c>
      <c r="E1476" s="81">
        <v>12824.12</v>
      </c>
    </row>
    <row r="1477" spans="4:5" hidden="1" outlineLevel="1" x14ac:dyDescent="0.3">
      <c r="D1477" s="80">
        <v>43971</v>
      </c>
      <c r="E1477" s="81">
        <v>12768.2</v>
      </c>
    </row>
    <row r="1478" spans="4:5" hidden="1" outlineLevel="1" x14ac:dyDescent="0.3">
      <c r="D1478" s="80">
        <v>43970</v>
      </c>
      <c r="E1478" s="81">
        <v>12504.22</v>
      </c>
    </row>
    <row r="1479" spans="4:5" hidden="1" outlineLevel="1" x14ac:dyDescent="0.3">
      <c r="D1479" s="80">
        <v>43969</v>
      </c>
      <c r="E1479" s="81">
        <v>12425.57</v>
      </c>
    </row>
    <row r="1480" spans="4:5" hidden="1" outlineLevel="1" x14ac:dyDescent="0.3">
      <c r="D1480" s="80">
        <v>43966</v>
      </c>
      <c r="E1480" s="81">
        <v>12867.16</v>
      </c>
    </row>
    <row r="1481" spans="4:5" hidden="1" outlineLevel="1" x14ac:dyDescent="0.3">
      <c r="D1481" s="80">
        <v>43965</v>
      </c>
      <c r="E1481" s="81">
        <v>12875.51</v>
      </c>
    </row>
    <row r="1482" spans="4:5" hidden="1" outlineLevel="1" x14ac:dyDescent="0.3">
      <c r="D1482" s="80">
        <v>43964</v>
      </c>
      <c r="E1482" s="81">
        <v>13214.58</v>
      </c>
    </row>
    <row r="1483" spans="4:5" hidden="1" outlineLevel="1" x14ac:dyDescent="0.3">
      <c r="D1483" s="80">
        <v>43963</v>
      </c>
      <c r="E1483" s="81">
        <v>12951.29</v>
      </c>
    </row>
    <row r="1484" spans="4:5" hidden="1" outlineLevel="1" x14ac:dyDescent="0.3">
      <c r="D1484" s="80">
        <v>43962</v>
      </c>
      <c r="E1484" s="81">
        <v>13011.35</v>
      </c>
    </row>
    <row r="1485" spans="4:5" hidden="1" outlineLevel="1" x14ac:dyDescent="0.3">
      <c r="D1485" s="80">
        <v>43959</v>
      </c>
      <c r="E1485" s="81">
        <v>13028.62</v>
      </c>
    </row>
    <row r="1486" spans="4:5" hidden="1" outlineLevel="1" x14ac:dyDescent="0.3">
      <c r="D1486" s="80">
        <v>43958</v>
      </c>
      <c r="E1486" s="81">
        <v>12954.81</v>
      </c>
    </row>
    <row r="1487" spans="4:5" hidden="1" outlineLevel="1" x14ac:dyDescent="0.3">
      <c r="D1487" s="80">
        <v>43957</v>
      </c>
      <c r="E1487" s="81">
        <v>13055.99</v>
      </c>
    </row>
    <row r="1488" spans="4:5" hidden="1" outlineLevel="1" x14ac:dyDescent="0.3">
      <c r="D1488" s="80">
        <v>43956</v>
      </c>
      <c r="E1488" s="81">
        <v>12963.99</v>
      </c>
    </row>
    <row r="1489" spans="4:5" hidden="1" outlineLevel="1" x14ac:dyDescent="0.3">
      <c r="D1489" s="80">
        <v>43955</v>
      </c>
      <c r="E1489" s="81">
        <v>13086.63</v>
      </c>
    </row>
    <row r="1490" spans="4:5" hidden="1" outlineLevel="1" x14ac:dyDescent="0.3">
      <c r="D1490" s="80">
        <v>43951</v>
      </c>
      <c r="E1490" s="81">
        <v>13884.18</v>
      </c>
    </row>
    <row r="1491" spans="4:5" hidden="1" outlineLevel="1" x14ac:dyDescent="0.3">
      <c r="D1491" s="80">
        <v>43950</v>
      </c>
      <c r="E1491" s="81">
        <v>13452.51</v>
      </c>
    </row>
    <row r="1492" spans="4:5" hidden="1" outlineLevel="1" x14ac:dyDescent="0.3">
      <c r="D1492" s="80">
        <v>43949</v>
      </c>
      <c r="E1492" s="81">
        <v>13208.29</v>
      </c>
    </row>
    <row r="1493" spans="4:5" hidden="1" outlineLevel="1" x14ac:dyDescent="0.3">
      <c r="D1493" s="80">
        <v>43948</v>
      </c>
      <c r="E1493" s="81">
        <v>13069.49</v>
      </c>
    </row>
    <row r="1494" spans="4:5" hidden="1" outlineLevel="1" x14ac:dyDescent="0.3">
      <c r="D1494" s="80">
        <v>43945</v>
      </c>
      <c r="E1494" s="81">
        <v>12889.39</v>
      </c>
    </row>
    <row r="1495" spans="4:5" hidden="1" outlineLevel="1" x14ac:dyDescent="0.3">
      <c r="D1495" s="80">
        <v>43944</v>
      </c>
      <c r="E1495" s="81">
        <v>13113.97</v>
      </c>
    </row>
    <row r="1496" spans="4:5" hidden="1" outlineLevel="1" x14ac:dyDescent="0.3">
      <c r="D1496" s="80">
        <v>43943</v>
      </c>
      <c r="E1496" s="81">
        <v>12935.73</v>
      </c>
    </row>
    <row r="1497" spans="4:5" hidden="1" outlineLevel="1" x14ac:dyDescent="0.3">
      <c r="D1497" s="80">
        <v>43942</v>
      </c>
      <c r="E1497" s="81">
        <v>12645.91</v>
      </c>
    </row>
    <row r="1498" spans="4:5" hidden="1" outlineLevel="1" x14ac:dyDescent="0.3">
      <c r="D1498" s="80">
        <v>43941</v>
      </c>
      <c r="E1498" s="81">
        <v>13040.65</v>
      </c>
    </row>
    <row r="1499" spans="4:5" hidden="1" outlineLevel="1" x14ac:dyDescent="0.3">
      <c r="D1499" s="80">
        <v>43938</v>
      </c>
      <c r="E1499" s="81">
        <v>13047.57</v>
      </c>
    </row>
    <row r="1500" spans="4:5" hidden="1" outlineLevel="1" x14ac:dyDescent="0.3">
      <c r="D1500" s="80">
        <v>43937</v>
      </c>
      <c r="E1500" s="81">
        <v>12661.83</v>
      </c>
    </row>
    <row r="1501" spans="4:5" hidden="1" outlineLevel="1" x14ac:dyDescent="0.3">
      <c r="D1501" s="80">
        <v>43936</v>
      </c>
      <c r="E1501" s="81">
        <v>12566.85</v>
      </c>
    </row>
    <row r="1502" spans="4:5" hidden="1" outlineLevel="1" x14ac:dyDescent="0.3">
      <c r="D1502" s="80">
        <v>43934</v>
      </c>
      <c r="E1502" s="81">
        <v>12663.31</v>
      </c>
    </row>
    <row r="1503" spans="4:5" hidden="1" outlineLevel="1" x14ac:dyDescent="0.3">
      <c r="D1503" s="80">
        <v>43930</v>
      </c>
      <c r="E1503" s="81">
        <v>12829.57</v>
      </c>
    </row>
    <row r="1504" spans="4:5" hidden="1" outlineLevel="1" x14ac:dyDescent="0.3">
      <c r="D1504" s="80">
        <v>43929</v>
      </c>
      <c r="E1504" s="81">
        <v>12318.25</v>
      </c>
    </row>
    <row r="1505" spans="4:5" hidden="1" outlineLevel="1" x14ac:dyDescent="0.3">
      <c r="D1505" s="80">
        <v>43928</v>
      </c>
      <c r="E1505" s="81">
        <v>12379.42</v>
      </c>
    </row>
    <row r="1506" spans="4:5" hidden="1" outlineLevel="1" x14ac:dyDescent="0.3">
      <c r="D1506" s="80">
        <v>43924</v>
      </c>
      <c r="E1506" s="81">
        <v>11382.02</v>
      </c>
    </row>
    <row r="1507" spans="4:5" hidden="1" outlineLevel="1" x14ac:dyDescent="0.3">
      <c r="D1507" s="80">
        <v>43922</v>
      </c>
      <c r="E1507" s="81">
        <v>11621.35</v>
      </c>
    </row>
    <row r="1508" spans="4:5" hidden="1" outlineLevel="1" x14ac:dyDescent="0.3">
      <c r="D1508" s="80">
        <v>43921</v>
      </c>
      <c r="E1508" s="81">
        <v>12105.66</v>
      </c>
    </row>
    <row r="1509" spans="4:5" hidden="1" outlineLevel="1" x14ac:dyDescent="0.3">
      <c r="D1509" s="80">
        <v>43920</v>
      </c>
      <c r="E1509" s="81">
        <v>11659.76</v>
      </c>
    </row>
    <row r="1510" spans="4:5" hidden="1" outlineLevel="1" x14ac:dyDescent="0.3">
      <c r="D1510" s="80">
        <v>43917</v>
      </c>
      <c r="E1510" s="81">
        <v>12193.62</v>
      </c>
    </row>
    <row r="1511" spans="4:5" hidden="1" outlineLevel="1" x14ac:dyDescent="0.3">
      <c r="D1511" s="80">
        <v>43916</v>
      </c>
      <c r="E1511" s="81">
        <v>12167.15</v>
      </c>
    </row>
    <row r="1512" spans="4:5" hidden="1" outlineLevel="1" x14ac:dyDescent="0.3">
      <c r="D1512" s="80">
        <v>43915</v>
      </c>
      <c r="E1512" s="81">
        <v>11710.71</v>
      </c>
    </row>
    <row r="1513" spans="4:5" hidden="1" outlineLevel="1" x14ac:dyDescent="0.3">
      <c r="D1513" s="80">
        <v>43914</v>
      </c>
      <c r="E1513" s="81">
        <v>10983.15</v>
      </c>
    </row>
    <row r="1514" spans="4:5" hidden="1" outlineLevel="1" x14ac:dyDescent="0.3">
      <c r="D1514" s="80">
        <v>43913</v>
      </c>
      <c r="E1514" s="81">
        <v>10710.41</v>
      </c>
    </row>
    <row r="1515" spans="4:5" hidden="1" outlineLevel="1" x14ac:dyDescent="0.3">
      <c r="D1515" s="80">
        <v>43910</v>
      </c>
      <c r="E1515" s="81">
        <v>12298.74</v>
      </c>
    </row>
    <row r="1516" spans="4:5" hidden="1" outlineLevel="1" x14ac:dyDescent="0.3">
      <c r="D1516" s="80">
        <v>43909</v>
      </c>
      <c r="E1516" s="81">
        <v>11620.92</v>
      </c>
    </row>
    <row r="1517" spans="4:5" hidden="1" outlineLevel="1" x14ac:dyDescent="0.3">
      <c r="D1517" s="80">
        <v>43908</v>
      </c>
      <c r="E1517" s="81">
        <v>11904.02</v>
      </c>
    </row>
    <row r="1518" spans="4:5" hidden="1" outlineLevel="1" x14ac:dyDescent="0.3">
      <c r="D1518" s="80">
        <v>43907</v>
      </c>
      <c r="E1518" s="81">
        <v>12604.41</v>
      </c>
    </row>
    <row r="1519" spans="4:5" hidden="1" outlineLevel="1" x14ac:dyDescent="0.3">
      <c r="D1519" s="80">
        <v>43906</v>
      </c>
      <c r="E1519" s="81">
        <v>12928.18</v>
      </c>
    </row>
    <row r="1520" spans="4:5" hidden="1" outlineLevel="1" x14ac:dyDescent="0.3">
      <c r="D1520" s="80">
        <v>43903</v>
      </c>
      <c r="E1520" s="81">
        <v>13987.31</v>
      </c>
    </row>
    <row r="1521" spans="4:5" hidden="1" outlineLevel="1" x14ac:dyDescent="0.3">
      <c r="D1521" s="80">
        <v>43902</v>
      </c>
      <c r="E1521" s="81">
        <v>13474.38</v>
      </c>
    </row>
    <row r="1522" spans="4:5" hidden="1" outlineLevel="1" x14ac:dyDescent="0.3">
      <c r="D1522" s="80">
        <v>43901</v>
      </c>
      <c r="E1522" s="81">
        <v>14694.31</v>
      </c>
    </row>
    <row r="1523" spans="4:5" hidden="1" outlineLevel="1" x14ac:dyDescent="0.3">
      <c r="D1523" s="80">
        <v>43899</v>
      </c>
      <c r="E1523" s="81">
        <v>14684.56</v>
      </c>
    </row>
    <row r="1524" spans="4:5" hidden="1" outlineLevel="1" x14ac:dyDescent="0.3">
      <c r="D1524" s="80">
        <v>43896</v>
      </c>
      <c r="E1524" s="81">
        <v>15440.48</v>
      </c>
    </row>
    <row r="1525" spans="4:5" hidden="1" outlineLevel="1" x14ac:dyDescent="0.3">
      <c r="D1525" s="80">
        <v>43895</v>
      </c>
      <c r="E1525" s="81">
        <v>15833.21</v>
      </c>
    </row>
    <row r="1526" spans="4:5" hidden="1" outlineLevel="1" x14ac:dyDescent="0.3">
      <c r="D1526" s="80">
        <v>43894</v>
      </c>
      <c r="E1526" s="81">
        <v>15805.53</v>
      </c>
    </row>
    <row r="1527" spans="4:5" hidden="1" outlineLevel="1" x14ac:dyDescent="0.3">
      <c r="D1527" s="80">
        <v>43893</v>
      </c>
      <c r="E1527" s="81">
        <v>15878.98</v>
      </c>
    </row>
    <row r="1528" spans="4:5" hidden="1" outlineLevel="1" x14ac:dyDescent="0.3">
      <c r="D1528" s="80">
        <v>43892</v>
      </c>
      <c r="E1528" s="81">
        <v>15632.14</v>
      </c>
    </row>
    <row r="1529" spans="4:5" hidden="1" outlineLevel="1" x14ac:dyDescent="0.3">
      <c r="D1529" s="80">
        <v>43889</v>
      </c>
      <c r="E1529" s="81">
        <v>15726.92</v>
      </c>
    </row>
    <row r="1530" spans="4:5" hidden="1" outlineLevel="1" x14ac:dyDescent="0.3">
      <c r="D1530" s="80">
        <v>43888</v>
      </c>
      <c r="E1530" s="81">
        <v>16332.81</v>
      </c>
    </row>
    <row r="1531" spans="4:5" hidden="1" outlineLevel="1" x14ac:dyDescent="0.3">
      <c r="D1531" s="80">
        <v>43887</v>
      </c>
      <c r="E1531" s="81">
        <v>16396.23</v>
      </c>
    </row>
    <row r="1532" spans="4:5" hidden="1" outlineLevel="1" x14ac:dyDescent="0.3">
      <c r="D1532" s="80">
        <v>43886</v>
      </c>
      <c r="E1532" s="81">
        <v>16563.91</v>
      </c>
    </row>
    <row r="1533" spans="4:5" hidden="1" outlineLevel="1" x14ac:dyDescent="0.3">
      <c r="D1533" s="80">
        <v>43885</v>
      </c>
      <c r="E1533" s="81">
        <v>16608.12</v>
      </c>
    </row>
    <row r="1534" spans="4:5" hidden="1" outlineLevel="1" x14ac:dyDescent="0.3">
      <c r="D1534" s="80">
        <v>43881</v>
      </c>
      <c r="E1534" s="81">
        <v>16961.16</v>
      </c>
    </row>
    <row r="1535" spans="4:5" hidden="1" outlineLevel="1" x14ac:dyDescent="0.3">
      <c r="D1535" s="80">
        <v>43880</v>
      </c>
      <c r="E1535" s="81">
        <v>17024.41</v>
      </c>
    </row>
    <row r="1536" spans="4:5" hidden="1" outlineLevel="1" x14ac:dyDescent="0.3">
      <c r="D1536" s="80">
        <v>43879</v>
      </c>
      <c r="E1536" s="81">
        <v>16837.080000000002</v>
      </c>
    </row>
    <row r="1537" spans="4:5" hidden="1" outlineLevel="1" x14ac:dyDescent="0.3">
      <c r="D1537" s="80">
        <v>43878</v>
      </c>
      <c r="E1537" s="81">
        <v>16911.919999999998</v>
      </c>
    </row>
    <row r="1538" spans="4:5" hidden="1" outlineLevel="1" x14ac:dyDescent="0.3">
      <c r="D1538" s="80">
        <v>43875</v>
      </c>
      <c r="E1538" s="81">
        <v>17002.89</v>
      </c>
    </row>
    <row r="1539" spans="4:5" hidden="1" outlineLevel="1" x14ac:dyDescent="0.3">
      <c r="D1539" s="80">
        <v>43874</v>
      </c>
      <c r="E1539" s="81">
        <v>17088.84</v>
      </c>
    </row>
    <row r="1540" spans="4:5" hidden="1" outlineLevel="1" x14ac:dyDescent="0.3">
      <c r="D1540" s="80">
        <v>43873</v>
      </c>
      <c r="E1540" s="81">
        <v>17126.07</v>
      </c>
    </row>
    <row r="1541" spans="4:5" hidden="1" outlineLevel="1" x14ac:dyDescent="0.3">
      <c r="D1541" s="80">
        <v>43872</v>
      </c>
      <c r="E1541" s="81">
        <v>16995.099999999999</v>
      </c>
    </row>
    <row r="1542" spans="4:5" hidden="1" outlineLevel="1" x14ac:dyDescent="0.3">
      <c r="D1542" s="80">
        <v>43871</v>
      </c>
      <c r="E1542" s="81">
        <v>16887.86</v>
      </c>
    </row>
    <row r="1543" spans="4:5" hidden="1" outlineLevel="1" x14ac:dyDescent="0.3">
      <c r="D1543" s="80">
        <v>43868</v>
      </c>
      <c r="E1543" s="81">
        <v>16981.75</v>
      </c>
    </row>
    <row r="1544" spans="4:5" hidden="1" outlineLevel="1" x14ac:dyDescent="0.3">
      <c r="D1544" s="80">
        <v>43867</v>
      </c>
      <c r="E1544" s="81">
        <v>17037.28</v>
      </c>
    </row>
    <row r="1545" spans="4:5" hidden="1" outlineLevel="1" x14ac:dyDescent="0.3">
      <c r="D1545" s="80">
        <v>43866</v>
      </c>
      <c r="E1545" s="81">
        <v>16968.830000000002</v>
      </c>
    </row>
    <row r="1546" spans="4:5" hidden="1" outlineLevel="1" x14ac:dyDescent="0.3">
      <c r="D1546" s="80">
        <v>43865</v>
      </c>
      <c r="E1546" s="81">
        <v>16815.12</v>
      </c>
    </row>
    <row r="1547" spans="4:5" hidden="1" outlineLevel="1" x14ac:dyDescent="0.3">
      <c r="D1547" s="80">
        <v>43864</v>
      </c>
      <c r="E1547" s="81">
        <v>16433.650000000001</v>
      </c>
    </row>
    <row r="1548" spans="4:5" hidden="1" outlineLevel="1" x14ac:dyDescent="0.3">
      <c r="D1548" s="80">
        <v>43862</v>
      </c>
      <c r="E1548" s="81">
        <v>16369</v>
      </c>
    </row>
    <row r="1549" spans="4:5" hidden="1" outlineLevel="1" x14ac:dyDescent="0.3">
      <c r="D1549" s="80">
        <v>43861</v>
      </c>
      <c r="E1549" s="81">
        <v>16790.45</v>
      </c>
    </row>
    <row r="1550" spans="4:5" hidden="1" outlineLevel="1" x14ac:dyDescent="0.3">
      <c r="D1550" s="80">
        <v>43860</v>
      </c>
      <c r="E1550" s="81">
        <v>16893.91</v>
      </c>
    </row>
    <row r="1551" spans="4:5" hidden="1" outlineLevel="1" x14ac:dyDescent="0.3">
      <c r="D1551" s="80">
        <v>43859</v>
      </c>
      <c r="E1551" s="81">
        <v>17025.46</v>
      </c>
    </row>
    <row r="1552" spans="4:5" hidden="1" outlineLevel="1" x14ac:dyDescent="0.3">
      <c r="D1552" s="80">
        <v>43858</v>
      </c>
      <c r="E1552" s="81">
        <v>16922.009999999998</v>
      </c>
    </row>
    <row r="1553" spans="4:5" hidden="1" outlineLevel="1" x14ac:dyDescent="0.3">
      <c r="D1553" s="80">
        <v>43857</v>
      </c>
      <c r="E1553" s="81">
        <v>17010.7</v>
      </c>
    </row>
    <row r="1554" spans="4:5" hidden="1" outlineLevel="1" x14ac:dyDescent="0.3">
      <c r="D1554" s="80">
        <v>43854</v>
      </c>
      <c r="E1554" s="81">
        <v>17192.150000000001</v>
      </c>
    </row>
    <row r="1555" spans="4:5" hidden="1" outlineLevel="1" x14ac:dyDescent="0.3">
      <c r="D1555" s="80">
        <v>43853</v>
      </c>
      <c r="E1555" s="81">
        <v>17095.61</v>
      </c>
    </row>
    <row r="1556" spans="4:5" hidden="1" outlineLevel="1" x14ac:dyDescent="0.3">
      <c r="D1556" s="80">
        <v>43852</v>
      </c>
      <c r="E1556" s="81">
        <v>16990.68</v>
      </c>
    </row>
    <row r="1557" spans="4:5" hidden="1" outlineLevel="1" x14ac:dyDescent="0.3">
      <c r="D1557" s="80">
        <v>43851</v>
      </c>
      <c r="E1557" s="81">
        <v>17079.07</v>
      </c>
    </row>
    <row r="1558" spans="4:5" hidden="1" outlineLevel="1" x14ac:dyDescent="0.3">
      <c r="D1558" s="80">
        <v>43850</v>
      </c>
      <c r="E1558" s="81">
        <v>17155.830000000002</v>
      </c>
    </row>
    <row r="1559" spans="4:5" hidden="1" outlineLevel="1" x14ac:dyDescent="0.3">
      <c r="D1559" s="80">
        <v>43847</v>
      </c>
      <c r="E1559" s="81">
        <v>17335.2</v>
      </c>
    </row>
    <row r="1560" spans="4:5" hidden="1" outlineLevel="1" x14ac:dyDescent="0.3">
      <c r="D1560" s="80">
        <v>43846</v>
      </c>
      <c r="E1560" s="81">
        <v>17339.57</v>
      </c>
    </row>
    <row r="1561" spans="4:5" hidden="1" outlineLevel="1" x14ac:dyDescent="0.3">
      <c r="D1561" s="80">
        <v>43845</v>
      </c>
      <c r="E1561" s="81">
        <v>17322.5</v>
      </c>
    </row>
    <row r="1562" spans="4:5" hidden="1" outlineLevel="1" x14ac:dyDescent="0.3">
      <c r="D1562" s="80">
        <v>43844</v>
      </c>
      <c r="E1562" s="81">
        <v>17349.12</v>
      </c>
    </row>
    <row r="1563" spans="4:5" hidden="1" outlineLevel="1" x14ac:dyDescent="0.3">
      <c r="D1563" s="80">
        <v>43843</v>
      </c>
      <c r="E1563" s="81">
        <v>17303.2</v>
      </c>
    </row>
    <row r="1564" spans="4:5" hidden="1" outlineLevel="1" x14ac:dyDescent="0.3">
      <c r="D1564" s="80">
        <v>43840</v>
      </c>
      <c r="E1564" s="81">
        <v>17201.080000000002</v>
      </c>
    </row>
    <row r="1565" spans="4:5" hidden="1" outlineLevel="1" x14ac:dyDescent="0.3">
      <c r="D1565" s="80">
        <v>43839</v>
      </c>
      <c r="E1565" s="81">
        <v>17143.650000000001</v>
      </c>
    </row>
    <row r="1566" spans="4:5" hidden="1" outlineLevel="1" x14ac:dyDescent="0.3">
      <c r="D1566" s="80">
        <v>43838</v>
      </c>
      <c r="E1566" s="81">
        <v>16876.240000000002</v>
      </c>
    </row>
    <row r="1567" spans="4:5" hidden="1" outlineLevel="1" x14ac:dyDescent="0.3">
      <c r="D1567" s="80">
        <v>43837</v>
      </c>
      <c r="E1567" s="81">
        <v>16915.03</v>
      </c>
    </row>
    <row r="1568" spans="4:5" hidden="1" outlineLevel="1" x14ac:dyDescent="0.3">
      <c r="D1568" s="80">
        <v>43836</v>
      </c>
      <c r="E1568" s="81">
        <v>16830.93</v>
      </c>
    </row>
    <row r="1569" spans="4:5" hidden="1" outlineLevel="1" x14ac:dyDescent="0.3">
      <c r="D1569" s="80">
        <v>43833</v>
      </c>
      <c r="E1569" s="81">
        <v>17158.75</v>
      </c>
    </row>
    <row r="1570" spans="4:5" hidden="1" outlineLevel="1" x14ac:dyDescent="0.3">
      <c r="D1570" s="80">
        <v>43832</v>
      </c>
      <c r="E1570" s="81">
        <v>17236.7</v>
      </c>
    </row>
    <row r="1571" spans="4:5" hidden="1" outlineLevel="1" x14ac:dyDescent="0.3">
      <c r="D1571" s="80">
        <v>43831</v>
      </c>
      <c r="E1571" s="81">
        <v>17096.830000000002</v>
      </c>
    </row>
    <row r="1572" spans="4:5" hidden="1" outlineLevel="1" x14ac:dyDescent="0.3">
      <c r="D1572" s="80">
        <v>43830</v>
      </c>
      <c r="E1572" s="81">
        <v>17077.060000000001</v>
      </c>
    </row>
    <row r="1573" spans="4:5" hidden="1" outlineLevel="1" x14ac:dyDescent="0.3">
      <c r="D1573" s="80">
        <v>43829</v>
      </c>
      <c r="E1573" s="81">
        <v>17199.73</v>
      </c>
    </row>
    <row r="1574" spans="4:5" hidden="1" outlineLevel="1" x14ac:dyDescent="0.3">
      <c r="D1574" s="80">
        <v>43826</v>
      </c>
      <c r="E1574" s="81">
        <v>17185.66</v>
      </c>
    </row>
    <row r="1575" spans="4:5" hidden="1" outlineLevel="1" x14ac:dyDescent="0.3">
      <c r="D1575" s="80">
        <v>43825</v>
      </c>
      <c r="E1575" s="81">
        <v>17018.259999999998</v>
      </c>
    </row>
    <row r="1576" spans="4:5" hidden="1" outlineLevel="1" x14ac:dyDescent="0.3">
      <c r="D1576" s="80">
        <v>43823</v>
      </c>
      <c r="E1576" s="81">
        <v>17141.8</v>
      </c>
    </row>
    <row r="1577" spans="4:5" hidden="1" outlineLevel="1" x14ac:dyDescent="0.3">
      <c r="D1577" s="80">
        <v>43822</v>
      </c>
      <c r="E1577" s="81">
        <v>17209.400000000001</v>
      </c>
    </row>
    <row r="1578" spans="4:5" hidden="1" outlineLevel="1" x14ac:dyDescent="0.3">
      <c r="D1578" s="80">
        <v>43819</v>
      </c>
      <c r="E1578" s="81">
        <v>17222.14</v>
      </c>
    </row>
    <row r="1579" spans="4:5" hidden="1" outlineLevel="1" x14ac:dyDescent="0.3">
      <c r="D1579" s="80">
        <v>43818</v>
      </c>
      <c r="E1579" s="81">
        <v>17205.12</v>
      </c>
    </row>
    <row r="1580" spans="4:5" hidden="1" outlineLevel="1" x14ac:dyDescent="0.3">
      <c r="D1580" s="80">
        <v>43817</v>
      </c>
      <c r="E1580" s="81">
        <v>17150.93</v>
      </c>
    </row>
    <row r="1581" spans="4:5" hidden="1" outlineLevel="1" x14ac:dyDescent="0.3">
      <c r="D1581" s="80">
        <v>43816</v>
      </c>
      <c r="E1581" s="81">
        <v>17071.490000000002</v>
      </c>
    </row>
    <row r="1582" spans="4:5" hidden="1" outlineLevel="1" x14ac:dyDescent="0.3">
      <c r="D1582" s="80">
        <v>43815</v>
      </c>
      <c r="E1582" s="81">
        <v>16915.650000000001</v>
      </c>
    </row>
    <row r="1583" spans="4:5" hidden="1" outlineLevel="1" x14ac:dyDescent="0.3">
      <c r="D1583" s="80">
        <v>43812</v>
      </c>
      <c r="E1583" s="81">
        <v>16961.560000000001</v>
      </c>
    </row>
    <row r="1584" spans="4:5" hidden="1" outlineLevel="1" x14ac:dyDescent="0.3">
      <c r="D1584" s="80">
        <v>43811</v>
      </c>
      <c r="E1584" s="81">
        <v>16800.36</v>
      </c>
    </row>
    <row r="1585" spans="4:5" hidden="1" outlineLevel="1" x14ac:dyDescent="0.3">
      <c r="D1585" s="80">
        <v>43810</v>
      </c>
      <c r="E1585" s="81">
        <v>16713.79</v>
      </c>
    </row>
    <row r="1586" spans="4:5" hidden="1" outlineLevel="1" x14ac:dyDescent="0.3">
      <c r="D1586" s="80">
        <v>43809</v>
      </c>
      <c r="E1586" s="81">
        <v>16638.939999999999</v>
      </c>
    </row>
    <row r="1587" spans="4:5" hidden="1" outlineLevel="1" x14ac:dyDescent="0.3">
      <c r="D1587" s="80">
        <v>43808</v>
      </c>
      <c r="E1587" s="81">
        <v>16751.53</v>
      </c>
    </row>
    <row r="1588" spans="4:5" hidden="1" outlineLevel="1" x14ac:dyDescent="0.3">
      <c r="D1588" s="80">
        <v>43805</v>
      </c>
      <c r="E1588" s="81">
        <v>16729.080000000002</v>
      </c>
    </row>
    <row r="1589" spans="4:5" hidden="1" outlineLevel="1" x14ac:dyDescent="0.3">
      <c r="D1589" s="80">
        <v>43804</v>
      </c>
      <c r="E1589" s="81">
        <v>16865.04</v>
      </c>
    </row>
    <row r="1590" spans="4:5" hidden="1" outlineLevel="1" x14ac:dyDescent="0.3">
      <c r="D1590" s="80">
        <v>43803</v>
      </c>
      <c r="E1590" s="81">
        <v>16899.88</v>
      </c>
    </row>
    <row r="1591" spans="4:5" hidden="1" outlineLevel="1" x14ac:dyDescent="0.3">
      <c r="D1591" s="80">
        <v>43802</v>
      </c>
      <c r="E1591" s="81">
        <v>16831.11</v>
      </c>
    </row>
    <row r="1592" spans="4:5" hidden="1" outlineLevel="1" x14ac:dyDescent="0.3">
      <c r="D1592" s="80">
        <v>43801</v>
      </c>
      <c r="E1592" s="81">
        <v>16906.88</v>
      </c>
    </row>
    <row r="1593" spans="4:5" hidden="1" outlineLevel="1" x14ac:dyDescent="0.3">
      <c r="D1593" s="80">
        <v>43798</v>
      </c>
      <c r="E1593" s="81">
        <v>16917.89</v>
      </c>
    </row>
    <row r="1594" spans="4:5" hidden="1" outlineLevel="1" x14ac:dyDescent="0.3">
      <c r="D1594" s="80">
        <v>43797</v>
      </c>
      <c r="E1594" s="81">
        <v>17051.310000000001</v>
      </c>
    </row>
    <row r="1595" spans="4:5" hidden="1" outlineLevel="1" x14ac:dyDescent="0.3">
      <c r="D1595" s="80">
        <v>43796</v>
      </c>
      <c r="E1595" s="81">
        <v>16980.54</v>
      </c>
    </row>
    <row r="1596" spans="4:5" hidden="1" outlineLevel="1" x14ac:dyDescent="0.3">
      <c r="D1596" s="80">
        <v>43795</v>
      </c>
      <c r="E1596" s="81">
        <v>16892.150000000001</v>
      </c>
    </row>
    <row r="1597" spans="4:5" hidden="1" outlineLevel="1" x14ac:dyDescent="0.3">
      <c r="D1597" s="80">
        <v>43794</v>
      </c>
      <c r="E1597" s="81">
        <v>16942.7</v>
      </c>
    </row>
    <row r="1598" spans="4:5" hidden="1" outlineLevel="1" x14ac:dyDescent="0.3">
      <c r="D1598" s="80">
        <v>43791</v>
      </c>
      <c r="E1598" s="81">
        <v>16719.11</v>
      </c>
    </row>
    <row r="1599" spans="4:5" hidden="1" outlineLevel="1" x14ac:dyDescent="0.3">
      <c r="D1599" s="80">
        <v>43790</v>
      </c>
      <c r="E1599" s="81">
        <v>16794.86</v>
      </c>
    </row>
    <row r="1600" spans="4:5" hidden="1" outlineLevel="1" x14ac:dyDescent="0.3">
      <c r="D1600" s="80">
        <v>43789</v>
      </c>
      <c r="E1600" s="81">
        <v>16837.96</v>
      </c>
    </row>
    <row r="1601" spans="4:5" hidden="1" outlineLevel="1" x14ac:dyDescent="0.3">
      <c r="D1601" s="80">
        <v>43788</v>
      </c>
      <c r="E1601" s="81">
        <v>16755.150000000001</v>
      </c>
    </row>
    <row r="1602" spans="4:5" hidden="1" outlineLevel="1" x14ac:dyDescent="0.3">
      <c r="D1602" s="80">
        <v>43787</v>
      </c>
      <c r="E1602" s="81">
        <v>16677.14</v>
      </c>
    </row>
    <row r="1603" spans="4:5" hidden="1" outlineLevel="1" x14ac:dyDescent="0.3">
      <c r="D1603" s="80">
        <v>43784</v>
      </c>
      <c r="E1603" s="81">
        <v>16692.52</v>
      </c>
    </row>
    <row r="1604" spans="4:5" hidden="1" outlineLevel="1" x14ac:dyDescent="0.3">
      <c r="D1604" s="80">
        <v>43783</v>
      </c>
      <c r="E1604" s="81">
        <v>16659.78</v>
      </c>
    </row>
    <row r="1605" spans="4:5" hidden="1" outlineLevel="1" x14ac:dyDescent="0.3">
      <c r="D1605" s="80">
        <v>43782</v>
      </c>
      <c r="E1605" s="81">
        <v>16615.37</v>
      </c>
    </row>
    <row r="1606" spans="4:5" hidden="1" outlineLevel="1" x14ac:dyDescent="0.3">
      <c r="D1606" s="80">
        <v>43780</v>
      </c>
      <c r="E1606" s="81">
        <v>16717.75</v>
      </c>
    </row>
    <row r="1607" spans="4:5" hidden="1" outlineLevel="1" x14ac:dyDescent="0.3">
      <c r="D1607" s="80">
        <v>43777</v>
      </c>
      <c r="E1607" s="81">
        <v>16710.37</v>
      </c>
    </row>
    <row r="1608" spans="4:5" hidden="1" outlineLevel="1" x14ac:dyDescent="0.3">
      <c r="D1608" s="80">
        <v>43776</v>
      </c>
      <c r="E1608" s="81">
        <v>16856.169999999998</v>
      </c>
    </row>
    <row r="1609" spans="4:5" hidden="1" outlineLevel="1" x14ac:dyDescent="0.3">
      <c r="D1609" s="80">
        <v>43775</v>
      </c>
      <c r="E1609" s="81">
        <v>16791.61</v>
      </c>
    </row>
    <row r="1610" spans="4:5" hidden="1" outlineLevel="1" x14ac:dyDescent="0.3">
      <c r="D1610" s="80">
        <v>43774</v>
      </c>
      <c r="E1610" s="81">
        <v>16723.060000000001</v>
      </c>
    </row>
    <row r="1611" spans="4:5" hidden="1" outlineLevel="1" x14ac:dyDescent="0.3">
      <c r="D1611" s="80">
        <v>43773</v>
      </c>
      <c r="E1611" s="81">
        <v>16756.87</v>
      </c>
    </row>
    <row r="1612" spans="4:5" hidden="1" outlineLevel="1" x14ac:dyDescent="0.3">
      <c r="D1612" s="80">
        <v>43770</v>
      </c>
      <c r="E1612" s="81">
        <v>16685.73</v>
      </c>
    </row>
    <row r="1613" spans="4:5" hidden="1" outlineLevel="1" x14ac:dyDescent="0.3">
      <c r="D1613" s="80">
        <v>43769</v>
      </c>
      <c r="E1613" s="81">
        <v>16667.29</v>
      </c>
    </row>
    <row r="1614" spans="4:5" hidden="1" outlineLevel="1" x14ac:dyDescent="0.3">
      <c r="D1614" s="80">
        <v>43768</v>
      </c>
      <c r="E1614" s="81">
        <v>16620.07</v>
      </c>
    </row>
    <row r="1615" spans="4:5" hidden="1" outlineLevel="1" x14ac:dyDescent="0.3">
      <c r="D1615" s="80">
        <v>43767</v>
      </c>
      <c r="E1615" s="81">
        <v>16539.23</v>
      </c>
    </row>
    <row r="1616" spans="4:5" hidden="1" outlineLevel="1" x14ac:dyDescent="0.3">
      <c r="D1616" s="80">
        <v>43765</v>
      </c>
      <c r="E1616" s="81">
        <v>16315.17</v>
      </c>
    </row>
    <row r="1617" spans="4:5" hidden="1" outlineLevel="1" x14ac:dyDescent="0.3">
      <c r="D1617" s="80">
        <v>43763</v>
      </c>
      <c r="E1617" s="81">
        <v>16254.45</v>
      </c>
    </row>
    <row r="1618" spans="4:5" hidden="1" outlineLevel="1" x14ac:dyDescent="0.3">
      <c r="D1618" s="80">
        <v>43762</v>
      </c>
      <c r="E1618" s="81">
        <v>16252.63</v>
      </c>
    </row>
    <row r="1619" spans="4:5" hidden="1" outlineLevel="1" x14ac:dyDescent="0.3">
      <c r="D1619" s="80">
        <v>43761</v>
      </c>
      <c r="E1619" s="81">
        <v>16282.84</v>
      </c>
    </row>
    <row r="1620" spans="4:5" hidden="1" outlineLevel="1" x14ac:dyDescent="0.3">
      <c r="D1620" s="80">
        <v>43760</v>
      </c>
      <c r="E1620" s="81">
        <v>16248.11</v>
      </c>
    </row>
    <row r="1621" spans="4:5" hidden="1" outlineLevel="1" x14ac:dyDescent="0.3">
      <c r="D1621" s="80">
        <v>43756</v>
      </c>
      <c r="E1621" s="81">
        <v>16351.16</v>
      </c>
    </row>
    <row r="1622" spans="4:5" hidden="1" outlineLevel="1" x14ac:dyDescent="0.3">
      <c r="D1622" s="80">
        <v>43755</v>
      </c>
      <c r="E1622" s="81">
        <v>16245.31</v>
      </c>
    </row>
    <row r="1623" spans="4:5" hidden="1" outlineLevel="1" x14ac:dyDescent="0.3">
      <c r="D1623" s="80">
        <v>43754</v>
      </c>
      <c r="E1623" s="81">
        <v>16057.85</v>
      </c>
    </row>
    <row r="1624" spans="4:5" hidden="1" outlineLevel="1" x14ac:dyDescent="0.3">
      <c r="D1624" s="80">
        <v>43753</v>
      </c>
      <c r="E1624" s="81">
        <v>16007.83</v>
      </c>
    </row>
    <row r="1625" spans="4:5" hidden="1" outlineLevel="1" x14ac:dyDescent="0.3">
      <c r="D1625" s="80">
        <v>43752</v>
      </c>
      <c r="E1625" s="81">
        <v>15885.74</v>
      </c>
    </row>
    <row r="1626" spans="4:5" hidden="1" outlineLevel="1" x14ac:dyDescent="0.3">
      <c r="D1626" s="80">
        <v>43749</v>
      </c>
      <c r="E1626" s="81">
        <v>15835.17</v>
      </c>
    </row>
    <row r="1627" spans="4:5" hidden="1" outlineLevel="1" x14ac:dyDescent="0.3">
      <c r="D1627" s="80">
        <v>43748</v>
      </c>
      <c r="E1627" s="81">
        <v>15736.44</v>
      </c>
    </row>
    <row r="1628" spans="4:5" hidden="1" outlineLevel="1" x14ac:dyDescent="0.3">
      <c r="D1628" s="80">
        <v>43747</v>
      </c>
      <c r="E1628" s="81">
        <v>15846.77</v>
      </c>
    </row>
    <row r="1629" spans="4:5" hidden="1" outlineLevel="1" x14ac:dyDescent="0.3">
      <c r="D1629" s="80">
        <v>43745</v>
      </c>
      <c r="E1629" s="81">
        <v>15584.94</v>
      </c>
    </row>
    <row r="1630" spans="4:5" hidden="1" outlineLevel="1" x14ac:dyDescent="0.3">
      <c r="D1630" s="80">
        <v>43742</v>
      </c>
      <c r="E1630" s="81">
        <v>15652.7</v>
      </c>
    </row>
    <row r="1631" spans="4:5" hidden="1" outlineLevel="1" x14ac:dyDescent="0.3">
      <c r="D1631" s="80">
        <v>43741</v>
      </c>
      <c r="E1631" s="81">
        <v>15847.7</v>
      </c>
    </row>
    <row r="1632" spans="4:5" hidden="1" outlineLevel="1" x14ac:dyDescent="0.3">
      <c r="D1632" s="80">
        <v>43739</v>
      </c>
      <c r="E1632" s="81">
        <v>15912.03</v>
      </c>
    </row>
    <row r="1633" spans="4:5" hidden="1" outlineLevel="1" x14ac:dyDescent="0.3">
      <c r="D1633" s="80">
        <v>43738</v>
      </c>
      <c r="E1633" s="81">
        <v>16072.5</v>
      </c>
    </row>
    <row r="1634" spans="4:5" hidden="1" outlineLevel="1" x14ac:dyDescent="0.3">
      <c r="D1634" s="80">
        <v>43735</v>
      </c>
      <c r="E1634" s="81">
        <v>16125.65</v>
      </c>
    </row>
    <row r="1635" spans="4:5" hidden="1" outlineLevel="1" x14ac:dyDescent="0.3">
      <c r="D1635" s="80">
        <v>43734</v>
      </c>
      <c r="E1635" s="81">
        <v>16207.96</v>
      </c>
    </row>
    <row r="1636" spans="4:5" hidden="1" outlineLevel="1" x14ac:dyDescent="0.3">
      <c r="D1636" s="80">
        <v>43733</v>
      </c>
      <c r="E1636" s="81">
        <v>16024.49</v>
      </c>
    </row>
    <row r="1637" spans="4:5" hidden="1" outlineLevel="1" x14ac:dyDescent="0.3">
      <c r="D1637" s="80">
        <v>43732</v>
      </c>
      <c r="E1637" s="81">
        <v>16231.83</v>
      </c>
    </row>
    <row r="1638" spans="4:5" hidden="1" outlineLevel="1" x14ac:dyDescent="0.3">
      <c r="D1638" s="80">
        <v>43731</v>
      </c>
      <c r="E1638" s="81">
        <v>16248.62</v>
      </c>
    </row>
    <row r="1639" spans="4:5" hidden="1" outlineLevel="1" x14ac:dyDescent="0.3">
      <c r="D1639" s="80">
        <v>43728</v>
      </c>
      <c r="E1639" s="81">
        <v>15791.99</v>
      </c>
    </row>
    <row r="1640" spans="4:5" hidden="1" outlineLevel="1" x14ac:dyDescent="0.3">
      <c r="D1640" s="80">
        <v>43727</v>
      </c>
      <c r="E1640" s="81">
        <v>14994.39</v>
      </c>
    </row>
    <row r="1641" spans="4:5" hidden="1" outlineLevel="1" x14ac:dyDescent="0.3">
      <c r="D1641" s="80">
        <v>43726</v>
      </c>
      <c r="E1641" s="81">
        <v>15184.69</v>
      </c>
    </row>
    <row r="1642" spans="4:5" hidden="1" outlineLevel="1" x14ac:dyDescent="0.3">
      <c r="D1642" s="80">
        <v>43725</v>
      </c>
      <c r="E1642" s="81">
        <v>15152.39</v>
      </c>
    </row>
    <row r="1643" spans="4:5" hidden="1" outlineLevel="1" x14ac:dyDescent="0.3">
      <c r="D1643" s="80">
        <v>43724</v>
      </c>
      <c r="E1643" s="81">
        <v>15412.83</v>
      </c>
    </row>
    <row r="1644" spans="4:5" hidden="1" outlineLevel="1" x14ac:dyDescent="0.3">
      <c r="D1644" s="80">
        <v>43721</v>
      </c>
      <c r="E1644" s="81">
        <v>15514.2</v>
      </c>
    </row>
    <row r="1645" spans="4:5" hidden="1" outlineLevel="1" x14ac:dyDescent="0.3">
      <c r="D1645" s="80">
        <v>43720</v>
      </c>
      <c r="E1645" s="81">
        <v>15383.82</v>
      </c>
    </row>
    <row r="1646" spans="4:5" hidden="1" outlineLevel="1" x14ac:dyDescent="0.3">
      <c r="D1646" s="80">
        <v>43719</v>
      </c>
      <c r="E1646" s="81">
        <v>15457.9</v>
      </c>
    </row>
    <row r="1647" spans="4:5" hidden="1" outlineLevel="1" x14ac:dyDescent="0.3">
      <c r="D1647" s="80">
        <v>43717</v>
      </c>
      <c r="E1647" s="81">
        <v>15412.14</v>
      </c>
    </row>
    <row r="1648" spans="4:5" hidden="1" outlineLevel="1" x14ac:dyDescent="0.3">
      <c r="D1648" s="80">
        <v>43714</v>
      </c>
      <c r="E1648" s="81">
        <v>15332.57</v>
      </c>
    </row>
    <row r="1649" spans="4:5" hidden="1" outlineLevel="1" x14ac:dyDescent="0.3">
      <c r="D1649" s="80">
        <v>43713</v>
      </c>
      <c r="E1649" s="81">
        <v>15194.86</v>
      </c>
    </row>
    <row r="1650" spans="4:5" hidden="1" outlineLevel="1" x14ac:dyDescent="0.3">
      <c r="D1650" s="80">
        <v>43712</v>
      </c>
      <c r="E1650" s="81">
        <v>15190.3</v>
      </c>
    </row>
    <row r="1651" spans="4:5" hidden="1" outlineLevel="1" x14ac:dyDescent="0.3">
      <c r="D1651" s="80">
        <v>43711</v>
      </c>
      <c r="E1651" s="81">
        <v>15124.8</v>
      </c>
    </row>
    <row r="1652" spans="4:5" hidden="1" outlineLevel="1" x14ac:dyDescent="0.3">
      <c r="D1652" s="80">
        <v>43707</v>
      </c>
      <c r="E1652" s="81">
        <v>15440.47</v>
      </c>
    </row>
    <row r="1653" spans="4:5" hidden="1" outlineLevel="1" x14ac:dyDescent="0.3">
      <c r="D1653" s="80">
        <v>43706</v>
      </c>
      <c r="E1653" s="81">
        <v>15335.45</v>
      </c>
    </row>
    <row r="1654" spans="4:5" hidden="1" outlineLevel="1" x14ac:dyDescent="0.3">
      <c r="D1654" s="80">
        <v>43705</v>
      </c>
      <c r="E1654" s="81">
        <v>15472.44</v>
      </c>
    </row>
    <row r="1655" spans="4:5" hidden="1" outlineLevel="1" x14ac:dyDescent="0.3">
      <c r="D1655" s="80">
        <v>43704</v>
      </c>
      <c r="E1655" s="81">
        <v>15555.44</v>
      </c>
    </row>
    <row r="1656" spans="4:5" hidden="1" outlineLevel="1" x14ac:dyDescent="0.3">
      <c r="D1656" s="80">
        <v>43703</v>
      </c>
      <c r="E1656" s="81">
        <v>15488.96</v>
      </c>
    </row>
    <row r="1657" spans="4:5" hidden="1" outlineLevel="1" x14ac:dyDescent="0.3">
      <c r="D1657" s="80">
        <v>43700</v>
      </c>
      <c r="E1657" s="81">
        <v>15168.88</v>
      </c>
    </row>
    <row r="1658" spans="4:5" hidden="1" outlineLevel="1" x14ac:dyDescent="0.3">
      <c r="D1658" s="80">
        <v>43699</v>
      </c>
      <c r="E1658" s="81">
        <v>15045.62</v>
      </c>
    </row>
    <row r="1659" spans="4:5" hidden="1" outlineLevel="1" x14ac:dyDescent="0.3">
      <c r="D1659" s="80">
        <v>43698</v>
      </c>
      <c r="E1659" s="81">
        <v>15290.85</v>
      </c>
    </row>
    <row r="1660" spans="4:5" hidden="1" outlineLevel="1" x14ac:dyDescent="0.3">
      <c r="D1660" s="80">
        <v>43697</v>
      </c>
      <c r="E1660" s="81">
        <v>15425.45</v>
      </c>
    </row>
    <row r="1661" spans="4:5" hidden="1" outlineLevel="1" x14ac:dyDescent="0.3">
      <c r="D1661" s="80">
        <v>43696</v>
      </c>
      <c r="E1661" s="81">
        <v>15476.07</v>
      </c>
    </row>
    <row r="1662" spans="4:5" hidden="1" outlineLevel="1" x14ac:dyDescent="0.3">
      <c r="D1662" s="80">
        <v>43693</v>
      </c>
      <c r="E1662" s="81">
        <v>15464.58</v>
      </c>
    </row>
    <row r="1663" spans="4:5" hidden="1" outlineLevel="1" x14ac:dyDescent="0.3">
      <c r="D1663" s="80">
        <v>43691</v>
      </c>
      <c r="E1663" s="81">
        <v>15438.86</v>
      </c>
    </row>
    <row r="1664" spans="4:5" hidden="1" outlineLevel="1" x14ac:dyDescent="0.3">
      <c r="D1664" s="80">
        <v>43690</v>
      </c>
      <c r="E1664" s="81">
        <v>15289.35</v>
      </c>
    </row>
    <row r="1665" spans="4:5" hidden="1" outlineLevel="1" x14ac:dyDescent="0.3">
      <c r="D1665" s="80">
        <v>43686</v>
      </c>
      <c r="E1665" s="81">
        <v>15542.72</v>
      </c>
    </row>
    <row r="1666" spans="4:5" hidden="1" outlineLevel="1" x14ac:dyDescent="0.3">
      <c r="D1666" s="80">
        <v>43685</v>
      </c>
      <c r="E1666" s="81">
        <v>15434.73</v>
      </c>
    </row>
    <row r="1667" spans="4:5" hidden="1" outlineLevel="1" x14ac:dyDescent="0.3">
      <c r="D1667" s="80">
        <v>43684</v>
      </c>
      <c r="E1667" s="81">
        <v>15184.34</v>
      </c>
    </row>
    <row r="1668" spans="4:5" hidden="1" outlineLevel="1" x14ac:dyDescent="0.3">
      <c r="D1668" s="80">
        <v>43683</v>
      </c>
      <c r="E1668" s="81">
        <v>15314.03</v>
      </c>
    </row>
    <row r="1669" spans="4:5" hidden="1" outlineLevel="1" x14ac:dyDescent="0.3">
      <c r="D1669" s="80">
        <v>43682</v>
      </c>
      <c r="E1669" s="81">
        <v>15194.27</v>
      </c>
    </row>
    <row r="1670" spans="4:5" hidden="1" outlineLevel="1" x14ac:dyDescent="0.3">
      <c r="D1670" s="80">
        <v>43679</v>
      </c>
      <c r="E1670" s="81">
        <v>15382.73</v>
      </c>
    </row>
    <row r="1671" spans="4:5" hidden="1" outlineLevel="1" x14ac:dyDescent="0.3">
      <c r="D1671" s="80">
        <v>43678</v>
      </c>
      <c r="E1671" s="81">
        <v>15350.83</v>
      </c>
    </row>
    <row r="1672" spans="4:5" hidden="1" outlineLevel="1" x14ac:dyDescent="0.3">
      <c r="D1672" s="80">
        <v>43677</v>
      </c>
      <c r="E1672" s="81">
        <v>15539.43</v>
      </c>
    </row>
    <row r="1673" spans="4:5" hidden="1" outlineLevel="1" x14ac:dyDescent="0.3">
      <c r="D1673" s="80">
        <v>43676</v>
      </c>
      <c r="E1673" s="81">
        <v>15493.33</v>
      </c>
    </row>
    <row r="1674" spans="4:5" hidden="1" outlineLevel="1" x14ac:dyDescent="0.3">
      <c r="D1674" s="80">
        <v>43675</v>
      </c>
      <c r="E1674" s="81">
        <v>15638.42</v>
      </c>
    </row>
    <row r="1675" spans="4:5" hidden="1" outlineLevel="1" x14ac:dyDescent="0.3">
      <c r="D1675" s="80">
        <v>43672</v>
      </c>
      <c r="E1675" s="81">
        <v>15770.63</v>
      </c>
    </row>
    <row r="1676" spans="4:5" hidden="1" outlineLevel="1" x14ac:dyDescent="0.3">
      <c r="D1676" s="80">
        <v>43671</v>
      </c>
      <c r="E1676" s="81">
        <v>15725.6</v>
      </c>
    </row>
    <row r="1677" spans="4:5" hidden="1" outlineLevel="1" x14ac:dyDescent="0.3">
      <c r="D1677" s="80">
        <v>43670</v>
      </c>
      <c r="E1677" s="81">
        <v>15749.37</v>
      </c>
    </row>
    <row r="1678" spans="4:5" hidden="1" outlineLevel="1" x14ac:dyDescent="0.3">
      <c r="D1678" s="80">
        <v>43669</v>
      </c>
      <c r="E1678" s="81">
        <v>15824.55</v>
      </c>
    </row>
    <row r="1679" spans="4:5" hidden="1" outlineLevel="1" x14ac:dyDescent="0.3">
      <c r="D1679" s="80">
        <v>43668</v>
      </c>
      <c r="E1679" s="81">
        <v>15845.74</v>
      </c>
    </row>
    <row r="1680" spans="4:5" hidden="1" outlineLevel="1" x14ac:dyDescent="0.3">
      <c r="D1680" s="80">
        <v>43665</v>
      </c>
      <c r="E1680" s="81">
        <v>15945.55</v>
      </c>
    </row>
    <row r="1681" spans="4:5" hidden="1" outlineLevel="1" x14ac:dyDescent="0.3">
      <c r="D1681" s="80">
        <v>43664</v>
      </c>
      <c r="E1681" s="81">
        <v>16183.16</v>
      </c>
    </row>
    <row r="1682" spans="4:5" hidden="1" outlineLevel="1" x14ac:dyDescent="0.3">
      <c r="D1682" s="80">
        <v>43663</v>
      </c>
      <c r="E1682" s="81">
        <v>16306.82</v>
      </c>
    </row>
    <row r="1683" spans="4:5" hidden="1" outlineLevel="1" x14ac:dyDescent="0.3">
      <c r="D1683" s="80">
        <v>43662</v>
      </c>
      <c r="E1683" s="81">
        <v>16272.08</v>
      </c>
    </row>
    <row r="1684" spans="4:5" hidden="1" outlineLevel="1" x14ac:dyDescent="0.3">
      <c r="D1684" s="80">
        <v>43661</v>
      </c>
      <c r="E1684" s="81">
        <v>16165.28</v>
      </c>
    </row>
    <row r="1685" spans="4:5" hidden="1" outlineLevel="1" x14ac:dyDescent="0.3">
      <c r="D1685" s="80">
        <v>43658</v>
      </c>
      <c r="E1685" s="81">
        <v>16113.75</v>
      </c>
    </row>
    <row r="1686" spans="4:5" hidden="1" outlineLevel="1" x14ac:dyDescent="0.3">
      <c r="D1686" s="80">
        <v>43657</v>
      </c>
      <c r="E1686" s="81">
        <v>16155.78</v>
      </c>
    </row>
    <row r="1687" spans="4:5" hidden="1" outlineLevel="1" x14ac:dyDescent="0.3">
      <c r="D1687" s="80">
        <v>43656</v>
      </c>
      <c r="E1687" s="81">
        <v>16035.44</v>
      </c>
    </row>
    <row r="1688" spans="4:5" hidden="1" outlineLevel="1" x14ac:dyDescent="0.3">
      <c r="D1688" s="80">
        <v>43655</v>
      </c>
      <c r="E1688" s="81">
        <v>16114.46</v>
      </c>
    </row>
    <row r="1689" spans="4:5" hidden="1" outlineLevel="1" x14ac:dyDescent="0.3">
      <c r="D1689" s="80">
        <v>43654</v>
      </c>
      <c r="E1689" s="81">
        <v>16118.27</v>
      </c>
    </row>
    <row r="1690" spans="4:5" hidden="1" outlineLevel="1" x14ac:dyDescent="0.3">
      <c r="D1690" s="80">
        <v>43651</v>
      </c>
      <c r="E1690" s="81">
        <v>16468.990000000002</v>
      </c>
    </row>
    <row r="1691" spans="4:5" hidden="1" outlineLevel="1" x14ac:dyDescent="0.3">
      <c r="D1691" s="80">
        <v>43650</v>
      </c>
      <c r="E1691" s="81">
        <v>16658.04</v>
      </c>
    </row>
    <row r="1692" spans="4:5" hidden="1" outlineLevel="1" x14ac:dyDescent="0.3">
      <c r="D1692" s="80">
        <v>43649</v>
      </c>
      <c r="E1692" s="81">
        <v>16612.16</v>
      </c>
    </row>
    <row r="1693" spans="4:5" hidden="1" outlineLevel="1" x14ac:dyDescent="0.3">
      <c r="D1693" s="80">
        <v>43648</v>
      </c>
      <c r="E1693" s="81">
        <v>16603.169999999998</v>
      </c>
    </row>
    <row r="1694" spans="4:5" hidden="1" outlineLevel="1" x14ac:dyDescent="0.3">
      <c r="D1694" s="80">
        <v>43647</v>
      </c>
      <c r="E1694" s="81">
        <v>16540.88</v>
      </c>
    </row>
    <row r="1695" spans="4:5" hidden="1" outlineLevel="1" x14ac:dyDescent="0.3">
      <c r="D1695" s="80">
        <v>43644</v>
      </c>
      <c r="E1695" s="81">
        <v>16433.849999999999</v>
      </c>
    </row>
    <row r="1696" spans="4:5" hidden="1" outlineLevel="1" x14ac:dyDescent="0.3">
      <c r="D1696" s="80">
        <v>43643</v>
      </c>
      <c r="E1696" s="81">
        <v>16507.34</v>
      </c>
    </row>
    <row r="1697" spans="4:5" hidden="1" outlineLevel="1" x14ac:dyDescent="0.3">
      <c r="D1697" s="80">
        <v>43642</v>
      </c>
      <c r="E1697" s="81">
        <v>16515.68</v>
      </c>
    </row>
    <row r="1698" spans="4:5" hidden="1" outlineLevel="1" x14ac:dyDescent="0.3">
      <c r="D1698" s="80">
        <v>43641</v>
      </c>
      <c r="E1698" s="81">
        <v>16444.46</v>
      </c>
    </row>
    <row r="1699" spans="4:5" hidden="1" outlineLevel="1" x14ac:dyDescent="0.3">
      <c r="D1699" s="80">
        <v>43640</v>
      </c>
      <c r="E1699" s="81">
        <v>16309.52</v>
      </c>
    </row>
    <row r="1700" spans="4:5" hidden="1" outlineLevel="1" x14ac:dyDescent="0.3">
      <c r="D1700" s="80">
        <v>43637</v>
      </c>
      <c r="E1700" s="81">
        <v>16343.59</v>
      </c>
    </row>
    <row r="1701" spans="4:5" hidden="1" outlineLevel="1" x14ac:dyDescent="0.3">
      <c r="D1701" s="80">
        <v>43636</v>
      </c>
      <c r="E1701" s="81">
        <v>16493.650000000001</v>
      </c>
    </row>
    <row r="1702" spans="4:5" hidden="1" outlineLevel="1" x14ac:dyDescent="0.3">
      <c r="D1702" s="80">
        <v>43635</v>
      </c>
      <c r="E1702" s="81">
        <v>16283.94</v>
      </c>
    </row>
    <row r="1703" spans="4:5" hidden="1" outlineLevel="1" x14ac:dyDescent="0.3">
      <c r="D1703" s="80">
        <v>43634</v>
      </c>
      <c r="E1703" s="81">
        <v>16283.98</v>
      </c>
    </row>
    <row r="1704" spans="4:5" hidden="1" outlineLevel="1" x14ac:dyDescent="0.3">
      <c r="D1704" s="80">
        <v>43633</v>
      </c>
      <c r="E1704" s="81">
        <v>16257.06</v>
      </c>
    </row>
    <row r="1705" spans="4:5" hidden="1" outlineLevel="1" x14ac:dyDescent="0.3">
      <c r="D1705" s="80">
        <v>43630</v>
      </c>
      <c r="E1705" s="81">
        <v>16467.55</v>
      </c>
    </row>
    <row r="1706" spans="4:5" hidden="1" outlineLevel="1" x14ac:dyDescent="0.3">
      <c r="D1706" s="80">
        <v>43629</v>
      </c>
      <c r="E1706" s="81">
        <v>16593.97</v>
      </c>
    </row>
    <row r="1707" spans="4:5" hidden="1" outlineLevel="1" x14ac:dyDescent="0.3">
      <c r="D1707" s="80">
        <v>43628</v>
      </c>
      <c r="E1707" s="81">
        <v>16568.09</v>
      </c>
    </row>
    <row r="1708" spans="4:5" hidden="1" outlineLevel="1" x14ac:dyDescent="0.3">
      <c r="D1708" s="80">
        <v>43627</v>
      </c>
      <c r="E1708" s="81">
        <v>16650.75</v>
      </c>
    </row>
    <row r="1709" spans="4:5" hidden="1" outlineLevel="1" x14ac:dyDescent="0.3">
      <c r="D1709" s="80">
        <v>43626</v>
      </c>
      <c r="E1709" s="81">
        <v>16590.990000000002</v>
      </c>
    </row>
    <row r="1710" spans="4:5" hidden="1" outlineLevel="1" x14ac:dyDescent="0.3">
      <c r="D1710" s="80">
        <v>43623</v>
      </c>
      <c r="E1710" s="81">
        <v>16518.62</v>
      </c>
    </row>
    <row r="1711" spans="4:5" hidden="1" outlineLevel="1" x14ac:dyDescent="0.3">
      <c r="D1711" s="80">
        <v>43622</v>
      </c>
      <c r="E1711" s="81">
        <v>16481.14</v>
      </c>
    </row>
    <row r="1712" spans="4:5" hidden="1" outlineLevel="1" x14ac:dyDescent="0.3">
      <c r="D1712" s="80">
        <v>43620</v>
      </c>
      <c r="E1712" s="81">
        <v>16728.740000000002</v>
      </c>
    </row>
    <row r="1713" spans="4:5" hidden="1" outlineLevel="1" x14ac:dyDescent="0.3">
      <c r="D1713" s="80">
        <v>43619</v>
      </c>
      <c r="E1713" s="81">
        <v>16815.25</v>
      </c>
    </row>
    <row r="1714" spans="4:5" hidden="1" outlineLevel="1" x14ac:dyDescent="0.3">
      <c r="D1714" s="80">
        <v>43616</v>
      </c>
      <c r="E1714" s="81">
        <v>16583.46</v>
      </c>
    </row>
    <row r="1715" spans="4:5" hidden="1" outlineLevel="1" x14ac:dyDescent="0.3">
      <c r="D1715" s="80">
        <v>43615</v>
      </c>
      <c r="E1715" s="81">
        <v>16615.59</v>
      </c>
    </row>
    <row r="1716" spans="4:5" hidden="1" outlineLevel="1" x14ac:dyDescent="0.3">
      <c r="D1716" s="80">
        <v>43614</v>
      </c>
      <c r="E1716" s="81">
        <v>16497.62</v>
      </c>
    </row>
    <row r="1717" spans="4:5" hidden="1" outlineLevel="1" x14ac:dyDescent="0.3">
      <c r="D1717" s="80">
        <v>43613</v>
      </c>
      <c r="E1717" s="81">
        <v>16591.7</v>
      </c>
    </row>
    <row r="1718" spans="4:5" hidden="1" outlineLevel="1" x14ac:dyDescent="0.3">
      <c r="D1718" s="80">
        <v>43612</v>
      </c>
      <c r="E1718" s="81">
        <v>16585.13</v>
      </c>
    </row>
    <row r="1719" spans="4:5" hidden="1" outlineLevel="1" x14ac:dyDescent="0.3">
      <c r="D1719" s="80">
        <v>43609</v>
      </c>
      <c r="E1719" s="81">
        <v>16472.95</v>
      </c>
    </row>
    <row r="1720" spans="4:5" hidden="1" outlineLevel="1" x14ac:dyDescent="0.3">
      <c r="D1720" s="80">
        <v>43608</v>
      </c>
      <c r="E1720" s="81">
        <v>16212.78</v>
      </c>
    </row>
    <row r="1721" spans="4:5" hidden="1" outlineLevel="1" x14ac:dyDescent="0.3">
      <c r="D1721" s="80">
        <v>43607</v>
      </c>
      <c r="E1721" s="81">
        <v>16325.28</v>
      </c>
    </row>
    <row r="1722" spans="4:5" hidden="1" outlineLevel="1" x14ac:dyDescent="0.3">
      <c r="D1722" s="80">
        <v>43606</v>
      </c>
      <c r="E1722" s="81">
        <v>16268.26</v>
      </c>
    </row>
    <row r="1723" spans="4:5" hidden="1" outlineLevel="1" x14ac:dyDescent="0.3">
      <c r="D1723" s="80">
        <v>43605</v>
      </c>
      <c r="E1723" s="81">
        <v>16433.77</v>
      </c>
    </row>
    <row r="1724" spans="4:5" hidden="1" outlineLevel="1" x14ac:dyDescent="0.3">
      <c r="D1724" s="80">
        <v>43602</v>
      </c>
      <c r="E1724" s="81">
        <v>15848.71</v>
      </c>
    </row>
    <row r="1725" spans="4:5" hidden="1" outlineLevel="1" x14ac:dyDescent="0.3">
      <c r="D1725" s="80">
        <v>43601</v>
      </c>
      <c r="E1725" s="81">
        <v>15640.22</v>
      </c>
    </row>
    <row r="1726" spans="4:5" hidden="1" outlineLevel="1" x14ac:dyDescent="0.3">
      <c r="D1726" s="80">
        <v>43600</v>
      </c>
      <c r="E1726" s="81">
        <v>15500.82</v>
      </c>
    </row>
    <row r="1727" spans="4:5" hidden="1" outlineLevel="1" x14ac:dyDescent="0.3">
      <c r="D1727" s="80">
        <v>43599</v>
      </c>
      <c r="E1727" s="81">
        <v>15591.19</v>
      </c>
    </row>
    <row r="1728" spans="4:5" hidden="1" outlineLevel="1" x14ac:dyDescent="0.3">
      <c r="D1728" s="80">
        <v>43598</v>
      </c>
      <c r="E1728" s="81">
        <v>15488.6</v>
      </c>
    </row>
    <row r="1729" spans="4:5" hidden="1" outlineLevel="1" x14ac:dyDescent="0.3">
      <c r="D1729" s="80">
        <v>43595</v>
      </c>
      <c r="E1729" s="81">
        <v>15670.18</v>
      </c>
    </row>
    <row r="1730" spans="4:5" hidden="1" outlineLevel="1" x14ac:dyDescent="0.3">
      <c r="D1730" s="80">
        <v>43594</v>
      </c>
      <c r="E1730" s="81">
        <v>15701.95</v>
      </c>
    </row>
    <row r="1731" spans="4:5" hidden="1" outlineLevel="1" x14ac:dyDescent="0.3">
      <c r="D1731" s="80">
        <v>43593</v>
      </c>
      <c r="E1731" s="81">
        <v>15782.09</v>
      </c>
    </row>
    <row r="1732" spans="4:5" hidden="1" outlineLevel="1" x14ac:dyDescent="0.3">
      <c r="D1732" s="80">
        <v>43592</v>
      </c>
      <c r="E1732" s="81">
        <v>15974.41</v>
      </c>
    </row>
    <row r="1733" spans="4:5" hidden="1" outlineLevel="1" x14ac:dyDescent="0.3">
      <c r="D1733" s="80">
        <v>43591</v>
      </c>
      <c r="E1733" s="81">
        <v>16110.44</v>
      </c>
    </row>
    <row r="1734" spans="4:5" hidden="1" outlineLevel="1" x14ac:dyDescent="0.3">
      <c r="D1734" s="80">
        <v>43588</v>
      </c>
      <c r="E1734" s="81">
        <v>16268.79</v>
      </c>
    </row>
    <row r="1735" spans="4:5" hidden="1" outlineLevel="1" x14ac:dyDescent="0.3">
      <c r="D1735" s="80">
        <v>43587</v>
      </c>
      <c r="E1735" s="81">
        <v>16286.18</v>
      </c>
    </row>
    <row r="1736" spans="4:5" hidden="1" outlineLevel="1" x14ac:dyDescent="0.3">
      <c r="D1736" s="80">
        <v>43585</v>
      </c>
      <c r="E1736" s="81">
        <v>16318.66</v>
      </c>
    </row>
    <row r="1737" spans="4:5" hidden="1" outlineLevel="1" x14ac:dyDescent="0.3">
      <c r="D1737" s="80">
        <v>43581</v>
      </c>
      <c r="E1737" s="81">
        <v>16327.7</v>
      </c>
    </row>
    <row r="1738" spans="4:5" hidden="1" outlineLevel="1" x14ac:dyDescent="0.3">
      <c r="D1738" s="80">
        <v>43580</v>
      </c>
      <c r="E1738" s="81">
        <v>16170.98</v>
      </c>
    </row>
    <row r="1739" spans="4:5" hidden="1" outlineLevel="1" x14ac:dyDescent="0.3">
      <c r="D1739" s="80">
        <v>43579</v>
      </c>
      <c r="E1739" s="81">
        <v>16288.16</v>
      </c>
    </row>
    <row r="1740" spans="4:5" hidden="1" outlineLevel="1" x14ac:dyDescent="0.3">
      <c r="D1740" s="80">
        <v>43578</v>
      </c>
      <c r="E1740" s="81">
        <v>16079.51</v>
      </c>
    </row>
    <row r="1741" spans="4:5" hidden="1" outlineLevel="1" x14ac:dyDescent="0.3">
      <c r="D1741" s="80">
        <v>43577</v>
      </c>
      <c r="E1741" s="81">
        <v>16105.19</v>
      </c>
    </row>
    <row r="1742" spans="4:5" hidden="1" outlineLevel="1" x14ac:dyDescent="0.3">
      <c r="D1742" s="80">
        <v>43573</v>
      </c>
      <c r="E1742" s="81">
        <v>16325.13</v>
      </c>
    </row>
    <row r="1743" spans="4:5" hidden="1" outlineLevel="1" x14ac:dyDescent="0.3">
      <c r="D1743" s="80">
        <v>43571</v>
      </c>
      <c r="E1743" s="81">
        <v>16372.86</v>
      </c>
    </row>
    <row r="1744" spans="4:5" hidden="1" outlineLevel="1" x14ac:dyDescent="0.3">
      <c r="D1744" s="80">
        <v>43570</v>
      </c>
      <c r="E1744" s="81">
        <v>16238.41</v>
      </c>
    </row>
    <row r="1745" spans="4:5" hidden="1" outlineLevel="1" x14ac:dyDescent="0.3">
      <c r="D1745" s="80">
        <v>43567</v>
      </c>
      <c r="E1745" s="81">
        <v>16173.27</v>
      </c>
    </row>
    <row r="1746" spans="4:5" hidden="1" outlineLevel="1" x14ac:dyDescent="0.3">
      <c r="D1746" s="80">
        <v>43566</v>
      </c>
      <c r="E1746" s="81">
        <v>16108.32</v>
      </c>
    </row>
    <row r="1747" spans="4:5" hidden="1" outlineLevel="1" x14ac:dyDescent="0.3">
      <c r="D1747" s="80">
        <v>43565</v>
      </c>
      <c r="E1747" s="81">
        <v>16091.08</v>
      </c>
    </row>
    <row r="1748" spans="4:5" hidden="1" outlineLevel="1" x14ac:dyDescent="0.3">
      <c r="D1748" s="80">
        <v>43564</v>
      </c>
      <c r="E1748" s="81">
        <v>16212.81</v>
      </c>
    </row>
    <row r="1749" spans="4:5" hidden="1" outlineLevel="1" x14ac:dyDescent="0.3">
      <c r="D1749" s="80">
        <v>43563</v>
      </c>
      <c r="E1749" s="81">
        <v>16119.14</v>
      </c>
    </row>
    <row r="1750" spans="4:5" hidden="1" outlineLevel="1" x14ac:dyDescent="0.3">
      <c r="D1750" s="80">
        <v>43560</v>
      </c>
      <c r="E1750" s="81">
        <v>16204.48</v>
      </c>
    </row>
    <row r="1751" spans="4:5" hidden="1" outlineLevel="1" x14ac:dyDescent="0.3">
      <c r="D1751" s="80">
        <v>43559</v>
      </c>
      <c r="E1751" s="81">
        <v>16110.09</v>
      </c>
    </row>
    <row r="1752" spans="4:5" hidden="1" outlineLevel="1" x14ac:dyDescent="0.3">
      <c r="D1752" s="80">
        <v>43558</v>
      </c>
      <c r="E1752" s="81">
        <v>16173.92</v>
      </c>
    </row>
    <row r="1753" spans="4:5" hidden="1" outlineLevel="1" x14ac:dyDescent="0.3">
      <c r="D1753" s="80">
        <v>43557</v>
      </c>
      <c r="E1753" s="81">
        <v>16270.13</v>
      </c>
    </row>
    <row r="1754" spans="4:5" hidden="1" outlineLevel="1" x14ac:dyDescent="0.3">
      <c r="D1754" s="80">
        <v>43556</v>
      </c>
      <c r="E1754" s="81">
        <v>16208.94</v>
      </c>
    </row>
    <row r="1755" spans="4:5" hidden="1" outlineLevel="1" x14ac:dyDescent="0.3">
      <c r="D1755" s="80">
        <v>43553</v>
      </c>
      <c r="E1755" s="81">
        <v>16146.11</v>
      </c>
    </row>
    <row r="1756" spans="4:5" hidden="1" outlineLevel="1" x14ac:dyDescent="0.3">
      <c r="D1756" s="80">
        <v>43552</v>
      </c>
      <c r="E1756" s="81">
        <v>16071.26</v>
      </c>
    </row>
    <row r="1757" spans="4:5" hidden="1" outlineLevel="1" x14ac:dyDescent="0.3">
      <c r="D1757" s="80">
        <v>43551</v>
      </c>
      <c r="E1757" s="81">
        <v>15897.65</v>
      </c>
    </row>
    <row r="1758" spans="4:5" hidden="1" outlineLevel="1" x14ac:dyDescent="0.3">
      <c r="D1758" s="80">
        <v>43550</v>
      </c>
      <c r="E1758" s="81">
        <v>15949.46</v>
      </c>
    </row>
    <row r="1759" spans="4:5" hidden="1" outlineLevel="1" x14ac:dyDescent="0.3">
      <c r="D1759" s="80">
        <v>43549</v>
      </c>
      <c r="E1759" s="81">
        <v>15770.26</v>
      </c>
    </row>
    <row r="1760" spans="4:5" hidden="1" outlineLevel="1" x14ac:dyDescent="0.3">
      <c r="D1760" s="80">
        <v>43546</v>
      </c>
      <c r="E1760" s="81">
        <v>15912.88</v>
      </c>
    </row>
    <row r="1761" spans="4:5" hidden="1" outlineLevel="1" x14ac:dyDescent="0.3">
      <c r="D1761" s="80">
        <v>43544</v>
      </c>
      <c r="E1761" s="81">
        <v>15998.51</v>
      </c>
    </row>
    <row r="1762" spans="4:5" hidden="1" outlineLevel="1" x14ac:dyDescent="0.3">
      <c r="D1762" s="80">
        <v>43543</v>
      </c>
      <c r="E1762" s="81">
        <v>16014.33</v>
      </c>
    </row>
    <row r="1763" spans="4:5" hidden="1" outlineLevel="1" x14ac:dyDescent="0.3">
      <c r="D1763" s="80">
        <v>43542</v>
      </c>
      <c r="E1763" s="81">
        <v>15916.8</v>
      </c>
    </row>
    <row r="1764" spans="4:5" hidden="1" outlineLevel="1" x14ac:dyDescent="0.3">
      <c r="D1764" s="80">
        <v>43539</v>
      </c>
      <c r="E1764" s="81">
        <v>15867.74</v>
      </c>
    </row>
    <row r="1765" spans="4:5" hidden="1" outlineLevel="1" x14ac:dyDescent="0.3">
      <c r="D1765" s="80">
        <v>43538</v>
      </c>
      <c r="E1765" s="81">
        <v>15749.67</v>
      </c>
    </row>
    <row r="1766" spans="4:5" hidden="1" outlineLevel="1" x14ac:dyDescent="0.3">
      <c r="D1766" s="80">
        <v>43537</v>
      </c>
      <c r="E1766" s="81">
        <v>15742.86</v>
      </c>
    </row>
    <row r="1767" spans="4:5" hidden="1" outlineLevel="1" x14ac:dyDescent="0.3">
      <c r="D1767" s="80">
        <v>43536</v>
      </c>
      <c r="E1767" s="81">
        <v>15685.41</v>
      </c>
    </row>
    <row r="1768" spans="4:5" hidden="1" outlineLevel="1" x14ac:dyDescent="0.3">
      <c r="D1768" s="80">
        <v>43535</v>
      </c>
      <c r="E1768" s="81">
        <v>15500.61</v>
      </c>
    </row>
    <row r="1769" spans="4:5" hidden="1" outlineLevel="1" x14ac:dyDescent="0.3">
      <c r="D1769" s="80">
        <v>43532</v>
      </c>
      <c r="E1769" s="81">
        <v>15316.51</v>
      </c>
    </row>
    <row r="1770" spans="4:5" hidden="1" outlineLevel="1" x14ac:dyDescent="0.3">
      <c r="D1770" s="80">
        <v>43531</v>
      </c>
      <c r="E1770" s="81">
        <v>15348.14</v>
      </c>
    </row>
    <row r="1771" spans="4:5" hidden="1" outlineLevel="1" x14ac:dyDescent="0.3">
      <c r="D1771" s="80">
        <v>43530</v>
      </c>
      <c r="E1771" s="81">
        <v>15340.93</v>
      </c>
    </row>
    <row r="1772" spans="4:5" hidden="1" outlineLevel="1" x14ac:dyDescent="0.3">
      <c r="D1772" s="80">
        <v>43529</v>
      </c>
      <c r="E1772" s="81">
        <v>15249.97</v>
      </c>
    </row>
    <row r="1773" spans="4:5" hidden="1" outlineLevel="1" x14ac:dyDescent="0.3">
      <c r="D1773" s="80">
        <v>43525</v>
      </c>
      <c r="E1773" s="81">
        <v>15077.91</v>
      </c>
    </row>
    <row r="1774" spans="4:5" hidden="1" outlineLevel="1" x14ac:dyDescent="0.3">
      <c r="D1774" s="80">
        <v>43524</v>
      </c>
      <c r="E1774" s="81">
        <v>14979.39</v>
      </c>
    </row>
    <row r="1775" spans="4:5" hidden="1" outlineLevel="1" x14ac:dyDescent="0.3">
      <c r="D1775" s="80">
        <v>43523</v>
      </c>
      <c r="E1775" s="81">
        <v>14993.45</v>
      </c>
    </row>
    <row r="1776" spans="4:5" hidden="1" outlineLevel="1" x14ac:dyDescent="0.3">
      <c r="D1776" s="80">
        <v>43522</v>
      </c>
      <c r="E1776" s="81">
        <v>15033.15</v>
      </c>
    </row>
    <row r="1777" spans="4:5" hidden="1" outlineLevel="1" x14ac:dyDescent="0.3">
      <c r="D1777" s="80">
        <v>43521</v>
      </c>
      <c r="E1777" s="81">
        <v>15095.33</v>
      </c>
    </row>
    <row r="1778" spans="4:5" hidden="1" outlineLevel="1" x14ac:dyDescent="0.3">
      <c r="D1778" s="80">
        <v>43518</v>
      </c>
      <c r="E1778" s="81">
        <v>14972.58</v>
      </c>
    </row>
    <row r="1779" spans="4:5" hidden="1" outlineLevel="1" x14ac:dyDescent="0.3">
      <c r="D1779" s="80">
        <v>43517</v>
      </c>
      <c r="E1779" s="81">
        <v>14970.12</v>
      </c>
    </row>
    <row r="1780" spans="4:5" hidden="1" outlineLevel="1" x14ac:dyDescent="0.3">
      <c r="D1780" s="80">
        <v>43516</v>
      </c>
      <c r="E1780" s="81">
        <v>14891.6</v>
      </c>
    </row>
    <row r="1781" spans="4:5" hidden="1" outlineLevel="1" x14ac:dyDescent="0.3">
      <c r="D1781" s="80">
        <v>43515</v>
      </c>
      <c r="E1781" s="81">
        <v>14709.75</v>
      </c>
    </row>
    <row r="1782" spans="4:5" hidden="1" outlineLevel="1" x14ac:dyDescent="0.3">
      <c r="D1782" s="80">
        <v>43514</v>
      </c>
      <c r="E1782" s="81">
        <v>14760.48</v>
      </c>
    </row>
    <row r="1783" spans="4:5" hidden="1" outlineLevel="1" x14ac:dyDescent="0.3">
      <c r="D1783" s="80">
        <v>43511</v>
      </c>
      <c r="E1783" s="81">
        <v>14876.27</v>
      </c>
    </row>
    <row r="1784" spans="4:5" hidden="1" outlineLevel="1" x14ac:dyDescent="0.3">
      <c r="D1784" s="80">
        <v>43510</v>
      </c>
      <c r="E1784" s="81">
        <v>14906.26</v>
      </c>
    </row>
    <row r="1785" spans="4:5" hidden="1" outlineLevel="1" x14ac:dyDescent="0.3">
      <c r="D1785" s="80">
        <v>43509</v>
      </c>
      <c r="E1785" s="81">
        <v>14970.62</v>
      </c>
    </row>
    <row r="1786" spans="4:5" hidden="1" outlineLevel="1" x14ac:dyDescent="0.3">
      <c r="D1786" s="80">
        <v>43508</v>
      </c>
      <c r="E1786" s="81">
        <v>15023.02</v>
      </c>
    </row>
    <row r="1787" spans="4:5" hidden="1" outlineLevel="1" x14ac:dyDescent="0.3">
      <c r="D1787" s="80">
        <v>43507</v>
      </c>
      <c r="E1787" s="81">
        <v>15100.61</v>
      </c>
    </row>
    <row r="1788" spans="4:5" hidden="1" outlineLevel="1" x14ac:dyDescent="0.3">
      <c r="D1788" s="80">
        <v>43504</v>
      </c>
      <c r="E1788" s="81">
        <v>15173.02</v>
      </c>
    </row>
    <row r="1789" spans="4:5" hidden="1" outlineLevel="1" x14ac:dyDescent="0.3">
      <c r="D1789" s="80">
        <v>43503</v>
      </c>
      <c r="E1789" s="81">
        <v>15347.41</v>
      </c>
    </row>
    <row r="1790" spans="4:5" hidden="1" outlineLevel="1" x14ac:dyDescent="0.3">
      <c r="D1790" s="80">
        <v>43502</v>
      </c>
      <c r="E1790" s="81">
        <v>15337.8</v>
      </c>
    </row>
    <row r="1791" spans="4:5" hidden="1" outlineLevel="1" x14ac:dyDescent="0.3">
      <c r="D1791" s="80">
        <v>43501</v>
      </c>
      <c r="E1791" s="81">
        <v>15155.99</v>
      </c>
    </row>
    <row r="1792" spans="4:5" hidden="1" outlineLevel="1" x14ac:dyDescent="0.3">
      <c r="D1792" s="80">
        <v>43500</v>
      </c>
      <c r="E1792" s="81">
        <v>15125.02</v>
      </c>
    </row>
    <row r="1793" spans="4:5" hidden="1" outlineLevel="1" x14ac:dyDescent="0.3">
      <c r="D1793" s="80">
        <v>43497</v>
      </c>
      <c r="E1793" s="81">
        <v>15099.21</v>
      </c>
    </row>
    <row r="1794" spans="4:5" hidden="1" outlineLevel="1" x14ac:dyDescent="0.3">
      <c r="D1794" s="80">
        <v>43496</v>
      </c>
      <c r="E1794" s="81">
        <v>15012.34</v>
      </c>
    </row>
    <row r="1795" spans="4:5" hidden="1" outlineLevel="1" x14ac:dyDescent="0.3">
      <c r="D1795" s="80">
        <v>43495</v>
      </c>
      <c r="E1795" s="81">
        <v>14764.02</v>
      </c>
    </row>
    <row r="1796" spans="4:5" hidden="1" outlineLevel="1" x14ac:dyDescent="0.3">
      <c r="D1796" s="80">
        <v>43494</v>
      </c>
      <c r="E1796" s="81">
        <v>14764.59</v>
      </c>
    </row>
    <row r="1797" spans="4:5" hidden="1" outlineLevel="1" x14ac:dyDescent="0.3">
      <c r="D1797" s="80">
        <v>43493</v>
      </c>
      <c r="E1797" s="81">
        <v>14777.11</v>
      </c>
    </row>
    <row r="1798" spans="4:5" hidden="1" outlineLevel="1" x14ac:dyDescent="0.3">
      <c r="D1798" s="80">
        <v>43490</v>
      </c>
      <c r="E1798" s="81">
        <v>14942.09</v>
      </c>
    </row>
    <row r="1799" spans="4:5" hidden="1" outlineLevel="1" x14ac:dyDescent="0.3">
      <c r="D1799" s="80">
        <v>43489</v>
      </c>
      <c r="E1799" s="81">
        <v>15038.07</v>
      </c>
    </row>
    <row r="1800" spans="4:5" hidden="1" outlineLevel="1" x14ac:dyDescent="0.3">
      <c r="D1800" s="80">
        <v>43488</v>
      </c>
      <c r="E1800" s="81">
        <v>15007.4</v>
      </c>
    </row>
    <row r="1801" spans="4:5" hidden="1" outlineLevel="1" x14ac:dyDescent="0.3">
      <c r="D1801" s="80">
        <v>43487</v>
      </c>
      <c r="E1801" s="81">
        <v>15133.83</v>
      </c>
    </row>
    <row r="1802" spans="4:5" hidden="1" outlineLevel="1" x14ac:dyDescent="0.3">
      <c r="D1802" s="80">
        <v>43486</v>
      </c>
      <c r="E1802" s="81">
        <v>15188</v>
      </c>
    </row>
    <row r="1803" spans="4:5" hidden="1" outlineLevel="1" x14ac:dyDescent="0.3">
      <c r="D1803" s="80">
        <v>43483</v>
      </c>
      <c r="E1803" s="81">
        <v>15111.95</v>
      </c>
    </row>
    <row r="1804" spans="4:5" hidden="1" outlineLevel="1" x14ac:dyDescent="0.3">
      <c r="D1804" s="80">
        <v>43482</v>
      </c>
      <c r="E1804" s="81">
        <v>15109.54</v>
      </c>
    </row>
    <row r="1805" spans="4:5" hidden="1" outlineLevel="1" x14ac:dyDescent="0.3">
      <c r="D1805" s="80">
        <v>43481</v>
      </c>
      <c r="E1805" s="81">
        <v>15087.41</v>
      </c>
    </row>
    <row r="1806" spans="4:5" hidden="1" outlineLevel="1" x14ac:dyDescent="0.3">
      <c r="D1806" s="80">
        <v>43480</v>
      </c>
      <c r="E1806" s="81">
        <v>15082.59</v>
      </c>
    </row>
    <row r="1807" spans="4:5" hidden="1" outlineLevel="1" x14ac:dyDescent="0.3">
      <c r="D1807" s="80">
        <v>43479</v>
      </c>
      <c r="E1807" s="81">
        <v>14875.92</v>
      </c>
    </row>
    <row r="1808" spans="4:5" hidden="1" outlineLevel="1" x14ac:dyDescent="0.3">
      <c r="D1808" s="80">
        <v>43476</v>
      </c>
      <c r="E1808" s="81">
        <v>14955.33</v>
      </c>
    </row>
    <row r="1809" spans="4:5" hidden="1" outlineLevel="1" x14ac:dyDescent="0.3">
      <c r="D1809" s="80">
        <v>43475</v>
      </c>
      <c r="E1809" s="81">
        <v>14992.23</v>
      </c>
    </row>
    <row r="1810" spans="4:5" hidden="1" outlineLevel="1" x14ac:dyDescent="0.3">
      <c r="D1810" s="80">
        <v>43474</v>
      </c>
      <c r="E1810" s="81">
        <v>15038.74</v>
      </c>
    </row>
    <row r="1811" spans="4:5" hidden="1" outlineLevel="1" x14ac:dyDescent="0.3">
      <c r="D1811" s="80">
        <v>43473</v>
      </c>
      <c r="E1811" s="81">
        <v>14965.34</v>
      </c>
    </row>
    <row r="1812" spans="4:5" hidden="1" outlineLevel="1" x14ac:dyDescent="0.3">
      <c r="D1812" s="80">
        <v>43472</v>
      </c>
      <c r="E1812" s="81">
        <v>14923.27</v>
      </c>
    </row>
    <row r="1813" spans="4:5" hidden="1" outlineLevel="1" x14ac:dyDescent="0.3">
      <c r="D1813" s="80">
        <v>43469</v>
      </c>
      <c r="E1813" s="81">
        <v>14861.69</v>
      </c>
    </row>
    <row r="1814" spans="4:5" hidden="1" outlineLevel="1" x14ac:dyDescent="0.3">
      <c r="D1814" s="80">
        <v>43468</v>
      </c>
      <c r="E1814" s="81">
        <v>14785.38</v>
      </c>
    </row>
    <row r="1815" spans="4:5" hidden="1" outlineLevel="1" x14ac:dyDescent="0.3">
      <c r="D1815" s="80">
        <v>43467</v>
      </c>
      <c r="E1815" s="81">
        <v>14951.96</v>
      </c>
    </row>
    <row r="1816" spans="4:5" hidden="1" outlineLevel="1" x14ac:dyDescent="0.3">
      <c r="D1816" s="80">
        <v>43466</v>
      </c>
      <c r="E1816" s="81">
        <v>15114.9</v>
      </c>
    </row>
    <row r="1817" spans="4:5" hidden="1" outlineLevel="1" x14ac:dyDescent="0.3">
      <c r="D1817" s="80">
        <v>43465</v>
      </c>
      <c r="E1817" s="81">
        <v>15048.98</v>
      </c>
    </row>
    <row r="1818" spans="4:5" hidden="1" outlineLevel="1" x14ac:dyDescent="0.3">
      <c r="D1818" s="80">
        <v>43462</v>
      </c>
      <c r="E1818" s="81">
        <v>15045.34</v>
      </c>
    </row>
    <row r="1819" spans="4:5" hidden="1" outlineLevel="1" x14ac:dyDescent="0.3">
      <c r="D1819" s="80">
        <v>43461</v>
      </c>
      <c r="E1819" s="81">
        <v>14930.18</v>
      </c>
    </row>
    <row r="1820" spans="4:5" hidden="1" outlineLevel="1" x14ac:dyDescent="0.3">
      <c r="D1820" s="80">
        <v>43460</v>
      </c>
      <c r="E1820" s="81">
        <v>14860.97</v>
      </c>
    </row>
    <row r="1821" spans="4:5" hidden="1" outlineLevel="1" x14ac:dyDescent="0.3">
      <c r="D1821" s="80">
        <v>43458</v>
      </c>
      <c r="E1821" s="81">
        <v>14769.13</v>
      </c>
    </row>
    <row r="1822" spans="4:5" hidden="1" outlineLevel="1" x14ac:dyDescent="0.3">
      <c r="D1822" s="80">
        <v>43455</v>
      </c>
      <c r="E1822" s="81">
        <v>14894.42</v>
      </c>
    </row>
    <row r="1823" spans="4:5" hidden="1" outlineLevel="1" x14ac:dyDescent="0.3">
      <c r="D1823" s="80">
        <v>43454</v>
      </c>
      <c r="E1823" s="81">
        <v>15163.14</v>
      </c>
    </row>
    <row r="1824" spans="4:5" hidden="1" outlineLevel="1" x14ac:dyDescent="0.3">
      <c r="D1824" s="80">
        <v>43453</v>
      </c>
      <c r="E1824" s="81">
        <v>15184.78</v>
      </c>
    </row>
    <row r="1825" spans="4:5" hidden="1" outlineLevel="1" x14ac:dyDescent="0.3">
      <c r="D1825" s="80">
        <v>43452</v>
      </c>
      <c r="E1825" s="81">
        <v>15103.63</v>
      </c>
    </row>
    <row r="1826" spans="4:5" hidden="1" outlineLevel="1" x14ac:dyDescent="0.3">
      <c r="D1826" s="80">
        <v>43451</v>
      </c>
      <c r="E1826" s="81">
        <v>15075.46</v>
      </c>
    </row>
    <row r="1827" spans="4:5" hidden="1" outlineLevel="1" x14ac:dyDescent="0.3">
      <c r="D1827" s="80">
        <v>43448</v>
      </c>
      <c r="E1827" s="81">
        <v>14960.64</v>
      </c>
    </row>
    <row r="1828" spans="4:5" hidden="1" outlineLevel="1" x14ac:dyDescent="0.3">
      <c r="D1828" s="80">
        <v>43447</v>
      </c>
      <c r="E1828" s="81">
        <v>14941.4</v>
      </c>
    </row>
    <row r="1829" spans="4:5" hidden="1" outlineLevel="1" x14ac:dyDescent="0.3">
      <c r="D1829" s="80">
        <v>43446</v>
      </c>
      <c r="E1829" s="81">
        <v>14866.71</v>
      </c>
    </row>
    <row r="1830" spans="4:5" hidden="1" outlineLevel="1" x14ac:dyDescent="0.3">
      <c r="D1830" s="80">
        <v>43445</v>
      </c>
      <c r="E1830" s="81">
        <v>14605.79</v>
      </c>
    </row>
    <row r="1831" spans="4:5" hidden="1" outlineLevel="1" x14ac:dyDescent="0.3">
      <c r="D1831" s="80">
        <v>43444</v>
      </c>
      <c r="E1831" s="81">
        <v>14521.73</v>
      </c>
    </row>
    <row r="1832" spans="4:5" hidden="1" outlineLevel="1" x14ac:dyDescent="0.3">
      <c r="D1832" s="80">
        <v>43441</v>
      </c>
      <c r="E1832" s="81">
        <v>14805.93</v>
      </c>
    </row>
    <row r="1833" spans="4:5" hidden="1" outlineLevel="1" x14ac:dyDescent="0.3">
      <c r="D1833" s="80">
        <v>43440</v>
      </c>
      <c r="E1833" s="81">
        <v>14677.79</v>
      </c>
    </row>
    <row r="1834" spans="4:5" hidden="1" outlineLevel="1" x14ac:dyDescent="0.3">
      <c r="D1834" s="80">
        <v>43439</v>
      </c>
      <c r="E1834" s="81">
        <v>14929.43</v>
      </c>
    </row>
    <row r="1835" spans="4:5" hidden="1" outlineLevel="1" x14ac:dyDescent="0.3">
      <c r="D1835" s="80">
        <v>43438</v>
      </c>
      <c r="E1835" s="81">
        <v>15049.32</v>
      </c>
    </row>
    <row r="1836" spans="4:5" hidden="1" outlineLevel="1" x14ac:dyDescent="0.3">
      <c r="D1836" s="80">
        <v>43437</v>
      </c>
      <c r="E1836" s="81">
        <v>15069.07</v>
      </c>
    </row>
    <row r="1837" spans="4:5" hidden="1" outlineLevel="1" x14ac:dyDescent="0.3">
      <c r="D1837" s="80">
        <v>43434</v>
      </c>
      <c r="E1837" s="81">
        <v>15059.37</v>
      </c>
    </row>
    <row r="1838" spans="4:5" hidden="1" outlineLevel="1" x14ac:dyDescent="0.3">
      <c r="D1838" s="80">
        <v>43433</v>
      </c>
      <c r="E1838" s="81">
        <v>15034.36</v>
      </c>
    </row>
    <row r="1839" spans="4:5" hidden="1" outlineLevel="1" x14ac:dyDescent="0.3">
      <c r="D1839" s="80">
        <v>43432</v>
      </c>
      <c r="E1839" s="81">
        <v>14854.61</v>
      </c>
    </row>
    <row r="1840" spans="4:5" hidden="1" outlineLevel="1" x14ac:dyDescent="0.3">
      <c r="D1840" s="80">
        <v>43431</v>
      </c>
      <c r="E1840" s="81">
        <v>14794.7</v>
      </c>
    </row>
    <row r="1841" spans="4:5" hidden="1" outlineLevel="1" x14ac:dyDescent="0.3">
      <c r="D1841" s="80">
        <v>43430</v>
      </c>
      <c r="E1841" s="81">
        <v>14715.81</v>
      </c>
    </row>
    <row r="1842" spans="4:5" hidden="1" outlineLevel="1" x14ac:dyDescent="0.3">
      <c r="D1842" s="80">
        <v>43426</v>
      </c>
      <c r="E1842" s="81">
        <v>14574.82</v>
      </c>
    </row>
    <row r="1843" spans="4:5" hidden="1" outlineLevel="1" x14ac:dyDescent="0.3">
      <c r="D1843" s="80">
        <v>43425</v>
      </c>
      <c r="E1843" s="81">
        <v>14676.29</v>
      </c>
    </row>
    <row r="1844" spans="4:5" hidden="1" outlineLevel="1" x14ac:dyDescent="0.3">
      <c r="D1844" s="80">
        <v>43424</v>
      </c>
      <c r="E1844" s="81">
        <v>14754.03</v>
      </c>
    </row>
    <row r="1845" spans="4:5" hidden="1" outlineLevel="1" x14ac:dyDescent="0.3">
      <c r="D1845" s="80">
        <v>43423</v>
      </c>
      <c r="E1845" s="81">
        <v>14902.44</v>
      </c>
    </row>
    <row r="1846" spans="4:5" hidden="1" outlineLevel="1" x14ac:dyDescent="0.3">
      <c r="D1846" s="80">
        <v>43420</v>
      </c>
      <c r="E1846" s="81">
        <v>14790.05</v>
      </c>
    </row>
    <row r="1847" spans="4:5" hidden="1" outlineLevel="1" x14ac:dyDescent="0.3">
      <c r="D1847" s="80">
        <v>43419</v>
      </c>
      <c r="E1847" s="81">
        <v>14699.33</v>
      </c>
    </row>
    <row r="1848" spans="4:5" hidden="1" outlineLevel="1" x14ac:dyDescent="0.3">
      <c r="D1848" s="80">
        <v>43418</v>
      </c>
      <c r="E1848" s="81">
        <v>14643.42</v>
      </c>
    </row>
    <row r="1849" spans="4:5" hidden="1" outlineLevel="1" x14ac:dyDescent="0.3">
      <c r="D1849" s="80">
        <v>43417</v>
      </c>
      <c r="E1849" s="81">
        <v>14651.98</v>
      </c>
    </row>
    <row r="1850" spans="4:5" hidden="1" outlineLevel="1" x14ac:dyDescent="0.3">
      <c r="D1850" s="80">
        <v>43416</v>
      </c>
      <c r="E1850" s="81">
        <v>14513.12</v>
      </c>
    </row>
    <row r="1851" spans="4:5" hidden="1" outlineLevel="1" x14ac:dyDescent="0.3">
      <c r="D1851" s="80">
        <v>43413</v>
      </c>
      <c r="E1851" s="81">
        <v>14655.69</v>
      </c>
    </row>
    <row r="1852" spans="4:5" hidden="1" outlineLevel="1" x14ac:dyDescent="0.3">
      <c r="D1852" s="80">
        <v>43411</v>
      </c>
      <c r="E1852" s="81">
        <v>14673.98</v>
      </c>
    </row>
    <row r="1853" spans="4:5" hidden="1" outlineLevel="1" x14ac:dyDescent="0.3">
      <c r="D1853" s="80">
        <v>43410</v>
      </c>
      <c r="E1853" s="81">
        <v>14579.28</v>
      </c>
    </row>
    <row r="1854" spans="4:5" hidden="1" outlineLevel="1" x14ac:dyDescent="0.3">
      <c r="D1854" s="80">
        <v>43409</v>
      </c>
      <c r="E1854" s="81">
        <v>14570.98</v>
      </c>
    </row>
    <row r="1855" spans="4:5" hidden="1" outlineLevel="1" x14ac:dyDescent="0.3">
      <c r="D1855" s="80">
        <v>43406</v>
      </c>
      <c r="E1855" s="81">
        <v>14609.96</v>
      </c>
    </row>
    <row r="1856" spans="4:5" hidden="1" outlineLevel="1" x14ac:dyDescent="0.3">
      <c r="D1856" s="80">
        <v>43405</v>
      </c>
      <c r="E1856" s="81">
        <v>14371.1</v>
      </c>
    </row>
    <row r="1857" spans="4:5" hidden="1" outlineLevel="1" x14ac:dyDescent="0.3">
      <c r="D1857" s="80">
        <v>43404</v>
      </c>
      <c r="E1857" s="81">
        <v>14377.38</v>
      </c>
    </row>
    <row r="1858" spans="4:5" hidden="1" outlineLevel="1" x14ac:dyDescent="0.3">
      <c r="D1858" s="80">
        <v>43403</v>
      </c>
      <c r="E1858" s="81">
        <v>14116.91</v>
      </c>
    </row>
    <row r="1859" spans="4:5" hidden="1" outlineLevel="1" x14ac:dyDescent="0.3">
      <c r="D1859" s="80">
        <v>43402</v>
      </c>
      <c r="E1859" s="81">
        <v>14189.11</v>
      </c>
    </row>
    <row r="1860" spans="4:5" hidden="1" outlineLevel="1" x14ac:dyDescent="0.3">
      <c r="D1860" s="80">
        <v>43399</v>
      </c>
      <c r="E1860" s="81">
        <v>13882.95</v>
      </c>
    </row>
    <row r="1861" spans="4:5" hidden="1" outlineLevel="1" x14ac:dyDescent="0.3">
      <c r="D1861" s="80">
        <v>43398</v>
      </c>
      <c r="E1861" s="81">
        <v>14014.33</v>
      </c>
    </row>
    <row r="1862" spans="4:5" hidden="1" outlineLevel="1" x14ac:dyDescent="0.3">
      <c r="D1862" s="80">
        <v>43397</v>
      </c>
      <c r="E1862" s="81">
        <v>14139.75</v>
      </c>
    </row>
    <row r="1863" spans="4:5" hidden="1" outlineLevel="1" x14ac:dyDescent="0.3">
      <c r="D1863" s="80">
        <v>43396</v>
      </c>
      <c r="E1863" s="81">
        <v>14031.96</v>
      </c>
    </row>
    <row r="1864" spans="4:5" hidden="1" outlineLevel="1" x14ac:dyDescent="0.3">
      <c r="D1864" s="80">
        <v>43395</v>
      </c>
      <c r="E1864" s="81">
        <v>14166.64</v>
      </c>
    </row>
    <row r="1865" spans="4:5" hidden="1" outlineLevel="1" x14ac:dyDescent="0.3">
      <c r="D1865" s="80">
        <v>43392</v>
      </c>
      <c r="E1865" s="81">
        <v>14247.22</v>
      </c>
    </row>
    <row r="1866" spans="4:5" hidden="1" outlineLevel="1" x14ac:dyDescent="0.3">
      <c r="D1866" s="80">
        <v>43390</v>
      </c>
      <c r="E1866" s="81">
        <v>14453.94</v>
      </c>
    </row>
    <row r="1867" spans="4:5" hidden="1" outlineLevel="1" x14ac:dyDescent="0.3">
      <c r="D1867" s="80">
        <v>43389</v>
      </c>
      <c r="E1867" s="81">
        <v>14636.1</v>
      </c>
    </row>
    <row r="1868" spans="4:5" hidden="1" outlineLevel="1" x14ac:dyDescent="0.3">
      <c r="D1868" s="80">
        <v>43388</v>
      </c>
      <c r="E1868" s="81">
        <v>14536.17</v>
      </c>
    </row>
    <row r="1869" spans="4:5" hidden="1" outlineLevel="1" x14ac:dyDescent="0.3">
      <c r="D1869" s="80">
        <v>43385</v>
      </c>
      <c r="E1869" s="81">
        <v>14480.86</v>
      </c>
    </row>
    <row r="1870" spans="4:5" hidden="1" outlineLevel="1" x14ac:dyDescent="0.3">
      <c r="D1870" s="80">
        <v>43384</v>
      </c>
      <c r="E1870" s="81">
        <v>14152</v>
      </c>
    </row>
    <row r="1871" spans="4:5" hidden="1" outlineLevel="1" x14ac:dyDescent="0.3">
      <c r="D1871" s="80">
        <v>43383</v>
      </c>
      <c r="E1871" s="81">
        <v>14463.71</v>
      </c>
    </row>
    <row r="1872" spans="4:5" hidden="1" outlineLevel="1" x14ac:dyDescent="0.3">
      <c r="D1872" s="80">
        <v>43382</v>
      </c>
      <c r="E1872" s="81">
        <v>14243.79</v>
      </c>
    </row>
    <row r="1873" spans="4:5" hidden="1" outlineLevel="1" x14ac:dyDescent="0.3">
      <c r="D1873" s="80">
        <v>43381</v>
      </c>
      <c r="E1873" s="81">
        <v>14308.79</v>
      </c>
    </row>
    <row r="1874" spans="4:5" hidden="1" outlineLevel="1" x14ac:dyDescent="0.3">
      <c r="D1874" s="80">
        <v>43378</v>
      </c>
      <c r="E1874" s="81">
        <v>14265.08</v>
      </c>
    </row>
    <row r="1875" spans="4:5" hidden="1" outlineLevel="1" x14ac:dyDescent="0.3">
      <c r="D1875" s="80">
        <v>43377</v>
      </c>
      <c r="E1875" s="81">
        <v>14656.09</v>
      </c>
    </row>
    <row r="1876" spans="4:5" hidden="1" outlineLevel="1" x14ac:dyDescent="0.3">
      <c r="D1876" s="80">
        <v>43376</v>
      </c>
      <c r="E1876" s="81">
        <v>15014.23</v>
      </c>
    </row>
    <row r="1877" spans="4:5" hidden="1" outlineLevel="1" x14ac:dyDescent="0.3">
      <c r="D1877" s="80">
        <v>43374</v>
      </c>
      <c r="E1877" s="81">
        <v>15221.75</v>
      </c>
    </row>
    <row r="1878" spans="4:5" hidden="1" outlineLevel="1" x14ac:dyDescent="0.3">
      <c r="D1878" s="80">
        <v>43371</v>
      </c>
      <c r="E1878" s="81">
        <v>15114.08</v>
      </c>
    </row>
    <row r="1879" spans="4:5" hidden="1" outlineLevel="1" x14ac:dyDescent="0.3">
      <c r="D1879" s="80">
        <v>43370</v>
      </c>
      <c r="E1879" s="81">
        <v>15179.24</v>
      </c>
    </row>
    <row r="1880" spans="4:5" hidden="1" outlineLevel="1" x14ac:dyDescent="0.3">
      <c r="D1880" s="80">
        <v>43369</v>
      </c>
      <c r="E1880" s="81">
        <v>15284.67</v>
      </c>
    </row>
    <row r="1881" spans="4:5" hidden="1" outlineLevel="1" x14ac:dyDescent="0.3">
      <c r="D1881" s="80">
        <v>43368</v>
      </c>
      <c r="E1881" s="81">
        <v>15303.55</v>
      </c>
    </row>
    <row r="1882" spans="4:5" hidden="1" outlineLevel="1" x14ac:dyDescent="0.3">
      <c r="D1882" s="80">
        <v>43367</v>
      </c>
      <c r="E1882" s="81">
        <v>15165.18</v>
      </c>
    </row>
    <row r="1883" spans="4:5" hidden="1" outlineLevel="1" x14ac:dyDescent="0.3">
      <c r="D1883" s="80">
        <v>43364</v>
      </c>
      <c r="E1883" s="81">
        <v>15408.16</v>
      </c>
    </row>
    <row r="1884" spans="4:5" hidden="1" outlineLevel="1" x14ac:dyDescent="0.3">
      <c r="D1884" s="80">
        <v>43362</v>
      </c>
      <c r="E1884" s="81">
        <v>15534.28</v>
      </c>
    </row>
    <row r="1885" spans="4:5" hidden="1" outlineLevel="1" x14ac:dyDescent="0.3">
      <c r="D1885" s="80">
        <v>43361</v>
      </c>
      <c r="E1885" s="81">
        <v>15594.57</v>
      </c>
    </row>
    <row r="1886" spans="4:5" hidden="1" outlineLevel="1" x14ac:dyDescent="0.3">
      <c r="D1886" s="80">
        <v>43360</v>
      </c>
      <c r="E1886" s="81">
        <v>15731.26</v>
      </c>
    </row>
    <row r="1887" spans="4:5" hidden="1" outlineLevel="1" x14ac:dyDescent="0.3">
      <c r="D1887" s="80">
        <v>43357</v>
      </c>
      <c r="E1887" s="81">
        <v>15920.48</v>
      </c>
    </row>
    <row r="1888" spans="4:5" hidden="1" outlineLevel="1" x14ac:dyDescent="0.3">
      <c r="D1888" s="80">
        <v>43355</v>
      </c>
      <c r="E1888" s="81">
        <v>15719.62</v>
      </c>
    </row>
    <row r="1889" spans="4:5" hidden="1" outlineLevel="1" x14ac:dyDescent="0.3">
      <c r="D1889" s="80">
        <v>43354</v>
      </c>
      <c r="E1889" s="81">
        <v>15605.11</v>
      </c>
    </row>
    <row r="1890" spans="4:5" hidden="1" outlineLevel="1" x14ac:dyDescent="0.3">
      <c r="D1890" s="80">
        <v>43353</v>
      </c>
      <c r="E1890" s="81">
        <v>15813.26</v>
      </c>
    </row>
    <row r="1891" spans="4:5" hidden="1" outlineLevel="1" x14ac:dyDescent="0.3">
      <c r="D1891" s="80">
        <v>43350</v>
      </c>
      <c r="E1891" s="81">
        <v>16019.84</v>
      </c>
    </row>
    <row r="1892" spans="4:5" hidden="1" outlineLevel="1" x14ac:dyDescent="0.3">
      <c r="D1892" s="80">
        <v>43349</v>
      </c>
      <c r="E1892" s="81">
        <v>15947.67</v>
      </c>
    </row>
    <row r="1893" spans="4:5" hidden="1" outlineLevel="1" x14ac:dyDescent="0.3">
      <c r="D1893" s="80">
        <v>43348</v>
      </c>
      <c r="E1893" s="81">
        <v>15862.15</v>
      </c>
    </row>
    <row r="1894" spans="4:5" hidden="1" outlineLevel="1" x14ac:dyDescent="0.3">
      <c r="D1894" s="80">
        <v>43347</v>
      </c>
      <c r="E1894" s="81">
        <v>15922.09</v>
      </c>
    </row>
    <row r="1895" spans="4:5" hidden="1" outlineLevel="1" x14ac:dyDescent="0.3">
      <c r="D1895" s="80">
        <v>43346</v>
      </c>
      <c r="E1895" s="81">
        <v>16007.84</v>
      </c>
    </row>
    <row r="1896" spans="4:5" hidden="1" outlineLevel="1" x14ac:dyDescent="0.3">
      <c r="D1896" s="80">
        <v>43343</v>
      </c>
      <c r="E1896" s="81">
        <v>16143.51</v>
      </c>
    </row>
    <row r="1897" spans="4:5" hidden="1" outlineLevel="1" x14ac:dyDescent="0.3">
      <c r="D1897" s="80">
        <v>43342</v>
      </c>
      <c r="E1897" s="81">
        <v>16135.61</v>
      </c>
    </row>
    <row r="1898" spans="4:5" hidden="1" outlineLevel="1" x14ac:dyDescent="0.3">
      <c r="D1898" s="80">
        <v>43341</v>
      </c>
      <c r="E1898" s="81">
        <v>16156.02</v>
      </c>
    </row>
    <row r="1899" spans="4:5" hidden="1" outlineLevel="1" x14ac:dyDescent="0.3">
      <c r="D1899" s="80">
        <v>43340</v>
      </c>
      <c r="E1899" s="81">
        <v>16220.45</v>
      </c>
    </row>
    <row r="1900" spans="4:5" hidden="1" outlineLevel="1" x14ac:dyDescent="0.3">
      <c r="D1900" s="80">
        <v>43339</v>
      </c>
      <c r="E1900" s="81">
        <v>16156.09</v>
      </c>
    </row>
    <row r="1901" spans="4:5" hidden="1" outlineLevel="1" x14ac:dyDescent="0.3">
      <c r="D1901" s="80">
        <v>43336</v>
      </c>
      <c r="E1901" s="81">
        <v>15969.8</v>
      </c>
    </row>
    <row r="1902" spans="4:5" hidden="1" outlineLevel="1" x14ac:dyDescent="0.3">
      <c r="D1902" s="80">
        <v>43335</v>
      </c>
      <c r="E1902" s="81">
        <v>16001.85</v>
      </c>
    </row>
    <row r="1903" spans="4:5" hidden="1" outlineLevel="1" x14ac:dyDescent="0.3">
      <c r="D1903" s="80">
        <v>43333</v>
      </c>
      <c r="E1903" s="81">
        <v>15985.48</v>
      </c>
    </row>
    <row r="1904" spans="4:5" hidden="1" outlineLevel="1" x14ac:dyDescent="0.3">
      <c r="D1904" s="80">
        <v>43332</v>
      </c>
      <c r="E1904" s="81">
        <v>15959.04</v>
      </c>
    </row>
    <row r="1905" spans="4:5" hidden="1" outlineLevel="1" x14ac:dyDescent="0.3">
      <c r="D1905" s="80">
        <v>43329</v>
      </c>
      <c r="E1905" s="81">
        <v>15845.64</v>
      </c>
    </row>
    <row r="1906" spans="4:5" hidden="1" outlineLevel="1" x14ac:dyDescent="0.3">
      <c r="D1906" s="80">
        <v>43328</v>
      </c>
      <c r="E1906" s="81">
        <v>15727.25</v>
      </c>
    </row>
    <row r="1907" spans="4:5" hidden="1" outlineLevel="1" x14ac:dyDescent="0.3">
      <c r="D1907" s="80">
        <v>43326</v>
      </c>
      <c r="E1907" s="81">
        <v>15796.36</v>
      </c>
    </row>
    <row r="1908" spans="4:5" hidden="1" outlineLevel="1" x14ac:dyDescent="0.3">
      <c r="D1908" s="80">
        <v>43325</v>
      </c>
      <c r="E1908" s="81">
        <v>15676.23</v>
      </c>
    </row>
    <row r="1909" spans="4:5" hidden="1" outlineLevel="1" x14ac:dyDescent="0.3">
      <c r="D1909" s="80">
        <v>43322</v>
      </c>
      <c r="E1909" s="81">
        <v>15776.32</v>
      </c>
    </row>
    <row r="1910" spans="4:5" hidden="1" outlineLevel="1" x14ac:dyDescent="0.3">
      <c r="D1910" s="80">
        <v>43321</v>
      </c>
      <c r="E1910" s="81">
        <v>15833.23</v>
      </c>
    </row>
    <row r="1911" spans="4:5" hidden="1" outlineLevel="1" x14ac:dyDescent="0.3">
      <c r="D1911" s="80">
        <v>43320</v>
      </c>
      <c r="E1911" s="81">
        <v>15803.64</v>
      </c>
    </row>
    <row r="1912" spans="4:5" hidden="1" outlineLevel="1" x14ac:dyDescent="0.3">
      <c r="D1912" s="80">
        <v>43319</v>
      </c>
      <c r="E1912" s="81">
        <v>15720.05</v>
      </c>
    </row>
    <row r="1913" spans="4:5" hidden="1" outlineLevel="1" x14ac:dyDescent="0.3">
      <c r="D1913" s="80">
        <v>43318</v>
      </c>
      <c r="E1913" s="81">
        <v>15716.78</v>
      </c>
    </row>
    <row r="1914" spans="4:5" hidden="1" outlineLevel="1" x14ac:dyDescent="0.3">
      <c r="D1914" s="80">
        <v>43315</v>
      </c>
      <c r="E1914" s="81">
        <v>15680.51</v>
      </c>
    </row>
    <row r="1915" spans="4:5" hidden="1" outlineLevel="1" x14ac:dyDescent="0.3">
      <c r="D1915" s="80">
        <v>43314</v>
      </c>
      <c r="E1915" s="81">
        <v>15520.25</v>
      </c>
    </row>
    <row r="1916" spans="4:5" hidden="1" outlineLevel="1" x14ac:dyDescent="0.3">
      <c r="D1916" s="80">
        <v>43313</v>
      </c>
      <c r="E1916" s="81">
        <v>15658.27</v>
      </c>
    </row>
    <row r="1917" spans="4:5" hidden="1" outlineLevel="1" x14ac:dyDescent="0.3">
      <c r="D1917" s="80">
        <v>43312</v>
      </c>
      <c r="E1917" s="81">
        <v>15672.47</v>
      </c>
    </row>
    <row r="1918" spans="4:5" hidden="1" outlineLevel="1" x14ac:dyDescent="0.3">
      <c r="D1918" s="80">
        <v>43311</v>
      </c>
      <c r="E1918" s="81">
        <v>15621.47</v>
      </c>
    </row>
    <row r="1919" spans="4:5" hidden="1" outlineLevel="1" x14ac:dyDescent="0.3">
      <c r="D1919" s="80">
        <v>43308</v>
      </c>
      <c r="E1919" s="81">
        <v>15564.19</v>
      </c>
    </row>
    <row r="1920" spans="4:5" hidden="1" outlineLevel="1" x14ac:dyDescent="0.3">
      <c r="D1920" s="80">
        <v>43307</v>
      </c>
      <c r="E1920" s="81">
        <v>15410.93</v>
      </c>
    </row>
    <row r="1921" spans="4:5" hidden="1" outlineLevel="1" x14ac:dyDescent="0.3">
      <c r="D1921" s="80">
        <v>43306</v>
      </c>
      <c r="E1921" s="81">
        <v>15358.72</v>
      </c>
    </row>
    <row r="1922" spans="4:5" hidden="1" outlineLevel="1" x14ac:dyDescent="0.3">
      <c r="D1922" s="80">
        <v>43305</v>
      </c>
      <c r="E1922" s="81">
        <v>15361.88</v>
      </c>
    </row>
    <row r="1923" spans="4:5" hidden="1" outlineLevel="1" x14ac:dyDescent="0.3">
      <c r="D1923" s="80">
        <v>43304</v>
      </c>
      <c r="E1923" s="81">
        <v>15293.5</v>
      </c>
    </row>
    <row r="1924" spans="4:5" hidden="1" outlineLevel="1" x14ac:dyDescent="0.3">
      <c r="D1924" s="80">
        <v>43301</v>
      </c>
      <c r="E1924" s="81">
        <v>15190.13</v>
      </c>
    </row>
    <row r="1925" spans="4:5" hidden="1" outlineLevel="1" x14ac:dyDescent="0.3">
      <c r="D1925" s="80">
        <v>43300</v>
      </c>
      <c r="E1925" s="81">
        <v>15116.83</v>
      </c>
    </row>
    <row r="1926" spans="4:5" hidden="1" outlineLevel="1" x14ac:dyDescent="0.3">
      <c r="D1926" s="80">
        <v>43299</v>
      </c>
      <c r="E1926" s="81">
        <v>15135.57</v>
      </c>
    </row>
    <row r="1927" spans="4:5" hidden="1" outlineLevel="1" x14ac:dyDescent="0.3">
      <c r="D1927" s="80">
        <v>43298</v>
      </c>
      <c r="E1927" s="81">
        <v>15172.31</v>
      </c>
    </row>
    <row r="1928" spans="4:5" hidden="1" outlineLevel="1" x14ac:dyDescent="0.3">
      <c r="D1928" s="80">
        <v>43297</v>
      </c>
      <c r="E1928" s="81">
        <v>15072.66</v>
      </c>
    </row>
    <row r="1929" spans="4:5" hidden="1" outlineLevel="1" x14ac:dyDescent="0.3">
      <c r="D1929" s="80">
        <v>43294</v>
      </c>
      <c r="E1929" s="81">
        <v>15184.88</v>
      </c>
    </row>
    <row r="1930" spans="4:5" hidden="1" outlineLevel="1" x14ac:dyDescent="0.3">
      <c r="D1930" s="80">
        <v>43293</v>
      </c>
      <c r="E1930" s="81">
        <v>15190.82</v>
      </c>
    </row>
    <row r="1931" spans="4:5" hidden="1" outlineLevel="1" x14ac:dyDescent="0.3">
      <c r="D1931" s="80">
        <v>43292</v>
      </c>
      <c r="E1931" s="81">
        <v>15085.15</v>
      </c>
    </row>
    <row r="1932" spans="4:5" hidden="1" outlineLevel="1" x14ac:dyDescent="0.3">
      <c r="D1932" s="80">
        <v>43291</v>
      </c>
      <c r="E1932" s="81">
        <v>15081.6</v>
      </c>
    </row>
    <row r="1933" spans="4:5" hidden="1" outlineLevel="1" x14ac:dyDescent="0.3">
      <c r="D1933" s="80">
        <v>43290</v>
      </c>
      <c r="E1933" s="81">
        <v>14951.2</v>
      </c>
    </row>
    <row r="1934" spans="4:5" hidden="1" outlineLevel="1" x14ac:dyDescent="0.3">
      <c r="D1934" s="80">
        <v>43287</v>
      </c>
      <c r="E1934" s="81">
        <v>14840.13</v>
      </c>
    </row>
    <row r="1935" spans="4:5" hidden="1" outlineLevel="1" x14ac:dyDescent="0.3">
      <c r="D1935" s="80">
        <v>43286</v>
      </c>
      <c r="E1935" s="81">
        <v>14808.54</v>
      </c>
    </row>
    <row r="1936" spans="4:5" hidden="1" outlineLevel="1" x14ac:dyDescent="0.3">
      <c r="D1936" s="80">
        <v>43285</v>
      </c>
      <c r="E1936" s="81">
        <v>14830.5</v>
      </c>
    </row>
    <row r="1937" spans="4:5" hidden="1" outlineLevel="1" x14ac:dyDescent="0.3">
      <c r="D1937" s="80">
        <v>43284</v>
      </c>
      <c r="E1937" s="81">
        <v>14734.11</v>
      </c>
    </row>
    <row r="1938" spans="4:5" hidden="1" outlineLevel="1" x14ac:dyDescent="0.3">
      <c r="D1938" s="80">
        <v>43283</v>
      </c>
      <c r="E1938" s="81">
        <v>14675.42</v>
      </c>
    </row>
    <row r="1939" spans="4:5" hidden="1" outlineLevel="1" x14ac:dyDescent="0.3">
      <c r="D1939" s="80">
        <v>43280</v>
      </c>
      <c r="E1939" s="81">
        <v>14753.91</v>
      </c>
    </row>
    <row r="1940" spans="4:5" hidden="1" outlineLevel="1" x14ac:dyDescent="0.3">
      <c r="D1940" s="80">
        <v>43279</v>
      </c>
      <c r="E1940" s="81">
        <v>14581.53</v>
      </c>
    </row>
    <row r="1941" spans="4:5" hidden="1" outlineLevel="1" x14ac:dyDescent="0.3">
      <c r="D1941" s="80">
        <v>43278</v>
      </c>
      <c r="E1941" s="81">
        <v>14694.16</v>
      </c>
    </row>
    <row r="1942" spans="4:5" hidden="1" outlineLevel="1" x14ac:dyDescent="0.3">
      <c r="D1942" s="80">
        <v>43277</v>
      </c>
      <c r="E1942" s="81">
        <v>14821.45</v>
      </c>
    </row>
    <row r="1943" spans="4:5" hidden="1" outlineLevel="1" x14ac:dyDescent="0.3">
      <c r="D1943" s="80">
        <v>43276</v>
      </c>
      <c r="E1943" s="81">
        <v>14812.28</v>
      </c>
    </row>
    <row r="1944" spans="4:5" hidden="1" outlineLevel="1" x14ac:dyDescent="0.3">
      <c r="D1944" s="80">
        <v>43273</v>
      </c>
      <c r="E1944" s="81">
        <v>14894.02</v>
      </c>
    </row>
    <row r="1945" spans="4:5" hidden="1" outlineLevel="1" x14ac:dyDescent="0.3">
      <c r="D1945" s="80">
        <v>43272</v>
      </c>
      <c r="E1945" s="81">
        <v>14782.87</v>
      </c>
    </row>
    <row r="1946" spans="4:5" hidden="1" outlineLevel="1" x14ac:dyDescent="0.3">
      <c r="D1946" s="80">
        <v>43271</v>
      </c>
      <c r="E1946" s="81">
        <v>14822.46</v>
      </c>
    </row>
    <row r="1947" spans="4:5" hidden="1" outlineLevel="1" x14ac:dyDescent="0.3">
      <c r="D1947" s="80">
        <v>43270</v>
      </c>
      <c r="E1947" s="81">
        <v>14737.7</v>
      </c>
    </row>
    <row r="1948" spans="4:5" hidden="1" outlineLevel="1" x14ac:dyDescent="0.3">
      <c r="D1948" s="80">
        <v>43269</v>
      </c>
      <c r="E1948" s="81">
        <v>14860.73</v>
      </c>
    </row>
    <row r="1949" spans="4:5" hidden="1" outlineLevel="1" x14ac:dyDescent="0.3">
      <c r="D1949" s="80">
        <v>43266</v>
      </c>
      <c r="E1949" s="81">
        <v>14885.3</v>
      </c>
    </row>
    <row r="1950" spans="4:5" hidden="1" outlineLevel="1" x14ac:dyDescent="0.3">
      <c r="D1950" s="80">
        <v>43265</v>
      </c>
      <c r="E1950" s="81">
        <v>14871.97</v>
      </c>
    </row>
    <row r="1951" spans="4:5" hidden="1" outlineLevel="1" x14ac:dyDescent="0.3">
      <c r="D1951" s="80">
        <v>43264</v>
      </c>
      <c r="E1951" s="81">
        <v>14917.68</v>
      </c>
    </row>
    <row r="1952" spans="4:5" hidden="1" outlineLevel="1" x14ac:dyDescent="0.3">
      <c r="D1952" s="80">
        <v>43263</v>
      </c>
      <c r="E1952" s="81">
        <v>14898.66</v>
      </c>
    </row>
    <row r="1953" spans="4:5" hidden="1" outlineLevel="1" x14ac:dyDescent="0.3">
      <c r="D1953" s="80">
        <v>43262</v>
      </c>
      <c r="E1953" s="81">
        <v>14821.8</v>
      </c>
    </row>
    <row r="1954" spans="4:5" hidden="1" outlineLevel="1" x14ac:dyDescent="0.3">
      <c r="D1954" s="80">
        <v>43259</v>
      </c>
      <c r="E1954" s="81">
        <v>14795.31</v>
      </c>
    </row>
    <row r="1955" spans="4:5" hidden="1" outlineLevel="1" x14ac:dyDescent="0.3">
      <c r="D1955" s="80">
        <v>43258</v>
      </c>
      <c r="E1955" s="81">
        <v>14796.24</v>
      </c>
    </row>
    <row r="1956" spans="4:5" hidden="1" outlineLevel="1" x14ac:dyDescent="0.3">
      <c r="D1956" s="80">
        <v>43257</v>
      </c>
      <c r="E1956" s="81">
        <v>14681.25</v>
      </c>
    </row>
    <row r="1957" spans="4:5" hidden="1" outlineLevel="1" x14ac:dyDescent="0.3">
      <c r="D1957" s="80">
        <v>43256</v>
      </c>
      <c r="E1957" s="81">
        <v>14555.52</v>
      </c>
    </row>
    <row r="1958" spans="4:5" hidden="1" outlineLevel="1" x14ac:dyDescent="0.3">
      <c r="D1958" s="80">
        <v>43255</v>
      </c>
      <c r="E1958" s="81">
        <v>14604.11</v>
      </c>
    </row>
    <row r="1959" spans="4:5" hidden="1" outlineLevel="1" x14ac:dyDescent="0.3">
      <c r="D1959" s="80">
        <v>43252</v>
      </c>
      <c r="E1959" s="81">
        <v>14695.4</v>
      </c>
    </row>
    <row r="1960" spans="4:5" hidden="1" outlineLevel="1" x14ac:dyDescent="0.3">
      <c r="D1960" s="80">
        <v>43251</v>
      </c>
      <c r="E1960" s="81">
        <v>14750.26</v>
      </c>
    </row>
    <row r="1961" spans="4:5" hidden="1" outlineLevel="1" x14ac:dyDescent="0.3">
      <c r="D1961" s="80">
        <v>43250</v>
      </c>
      <c r="E1961" s="81">
        <v>14568.75</v>
      </c>
    </row>
    <row r="1962" spans="4:5" hidden="1" outlineLevel="1" x14ac:dyDescent="0.3">
      <c r="D1962" s="80">
        <v>43249</v>
      </c>
      <c r="E1962" s="81">
        <v>14594.78</v>
      </c>
    </row>
    <row r="1963" spans="4:5" hidden="1" outlineLevel="1" x14ac:dyDescent="0.3">
      <c r="D1963" s="80">
        <v>43248</v>
      </c>
      <c r="E1963" s="81">
        <v>14670.76</v>
      </c>
    </row>
    <row r="1964" spans="4:5" hidden="1" outlineLevel="1" x14ac:dyDescent="0.3">
      <c r="D1964" s="80">
        <v>43245</v>
      </c>
      <c r="E1964" s="81">
        <v>14556.18</v>
      </c>
    </row>
    <row r="1965" spans="4:5" hidden="1" outlineLevel="1" x14ac:dyDescent="0.3">
      <c r="D1965" s="80">
        <v>43244</v>
      </c>
      <c r="E1965" s="81">
        <v>14415.65</v>
      </c>
    </row>
    <row r="1966" spans="4:5" hidden="1" outlineLevel="1" x14ac:dyDescent="0.3">
      <c r="D1966" s="80">
        <v>43243</v>
      </c>
      <c r="E1966" s="81">
        <v>14301.15</v>
      </c>
    </row>
    <row r="1967" spans="4:5" hidden="1" outlineLevel="1" x14ac:dyDescent="0.3">
      <c r="D1967" s="80">
        <v>43242</v>
      </c>
      <c r="E1967" s="81">
        <v>14446.97</v>
      </c>
    </row>
    <row r="1968" spans="4:5" hidden="1" outlineLevel="1" x14ac:dyDescent="0.3">
      <c r="D1968" s="80">
        <v>43241</v>
      </c>
      <c r="E1968" s="81">
        <v>14419.57</v>
      </c>
    </row>
    <row r="1969" spans="4:5" hidden="1" outlineLevel="1" x14ac:dyDescent="0.3">
      <c r="D1969" s="80">
        <v>43238</v>
      </c>
      <c r="E1969" s="81">
        <v>14528.82</v>
      </c>
    </row>
    <row r="1970" spans="4:5" hidden="1" outlineLevel="1" x14ac:dyDescent="0.3">
      <c r="D1970" s="80">
        <v>43237</v>
      </c>
      <c r="E1970" s="81">
        <v>14647.15</v>
      </c>
    </row>
    <row r="1971" spans="4:5" hidden="1" outlineLevel="1" x14ac:dyDescent="0.3">
      <c r="D1971" s="80">
        <v>43236</v>
      </c>
      <c r="E1971" s="81">
        <v>14727.26</v>
      </c>
    </row>
    <row r="1972" spans="4:5" hidden="1" outlineLevel="1" x14ac:dyDescent="0.3">
      <c r="D1972" s="80">
        <v>43235</v>
      </c>
      <c r="E1972" s="81">
        <v>14810.54</v>
      </c>
    </row>
    <row r="1973" spans="4:5" hidden="1" outlineLevel="1" x14ac:dyDescent="0.3">
      <c r="D1973" s="80">
        <v>43234</v>
      </c>
      <c r="E1973" s="81">
        <v>14817.01</v>
      </c>
    </row>
    <row r="1974" spans="4:5" hidden="1" outlineLevel="1" x14ac:dyDescent="0.3">
      <c r="D1974" s="80">
        <v>43231</v>
      </c>
      <c r="E1974" s="81">
        <v>14816.93</v>
      </c>
    </row>
    <row r="1975" spans="4:5" hidden="1" outlineLevel="1" x14ac:dyDescent="0.3">
      <c r="D1975" s="80">
        <v>43230</v>
      </c>
      <c r="E1975" s="81">
        <v>14693.55</v>
      </c>
    </row>
    <row r="1976" spans="4:5" hidden="1" outlineLevel="1" x14ac:dyDescent="0.3">
      <c r="D1976" s="80">
        <v>43229</v>
      </c>
      <c r="E1976" s="81">
        <v>14728.03</v>
      </c>
    </row>
    <row r="1977" spans="4:5" hidden="1" outlineLevel="1" x14ac:dyDescent="0.3">
      <c r="D1977" s="80">
        <v>43228</v>
      </c>
      <c r="E1977" s="81">
        <v>14694.93</v>
      </c>
    </row>
    <row r="1978" spans="4:5" hidden="1" outlineLevel="1" x14ac:dyDescent="0.3">
      <c r="D1978" s="80">
        <v>43227</v>
      </c>
      <c r="E1978" s="81">
        <v>14691.72</v>
      </c>
    </row>
    <row r="1979" spans="4:5" hidden="1" outlineLevel="1" x14ac:dyDescent="0.3">
      <c r="D1979" s="80">
        <v>43224</v>
      </c>
      <c r="E1979" s="81">
        <v>14558.42</v>
      </c>
    </row>
    <row r="1980" spans="4:5" hidden="1" outlineLevel="1" x14ac:dyDescent="0.3">
      <c r="D1980" s="80">
        <v>43223</v>
      </c>
      <c r="E1980" s="81">
        <v>14642.62</v>
      </c>
    </row>
    <row r="1981" spans="4:5" hidden="1" outlineLevel="1" x14ac:dyDescent="0.3">
      <c r="D1981" s="80">
        <v>43222</v>
      </c>
      <c r="E1981" s="81">
        <v>14695.26</v>
      </c>
    </row>
    <row r="1982" spans="4:5" hidden="1" outlineLevel="1" x14ac:dyDescent="0.3">
      <c r="D1982" s="80">
        <v>43220</v>
      </c>
      <c r="E1982" s="81">
        <v>14723.32</v>
      </c>
    </row>
    <row r="1983" spans="4:5" hidden="1" outlineLevel="1" x14ac:dyDescent="0.3">
      <c r="D1983" s="80">
        <v>43217</v>
      </c>
      <c r="E1983" s="81">
        <v>14658.83</v>
      </c>
    </row>
    <row r="1984" spans="4:5" hidden="1" outlineLevel="1" x14ac:dyDescent="0.3">
      <c r="D1984" s="80">
        <v>43216</v>
      </c>
      <c r="E1984" s="81">
        <v>14556.65</v>
      </c>
    </row>
    <row r="1985" spans="4:5" hidden="1" outlineLevel="1" x14ac:dyDescent="0.3">
      <c r="D1985" s="80">
        <v>43215</v>
      </c>
      <c r="E1985" s="81">
        <v>14491.88</v>
      </c>
    </row>
    <row r="1986" spans="4:5" hidden="1" outlineLevel="1" x14ac:dyDescent="0.3">
      <c r="D1986" s="80">
        <v>43214</v>
      </c>
      <c r="E1986" s="81">
        <v>14551.96</v>
      </c>
    </row>
    <row r="1987" spans="4:5" hidden="1" outlineLevel="1" x14ac:dyDescent="0.3">
      <c r="D1987" s="80">
        <v>43213</v>
      </c>
      <c r="E1987" s="81">
        <v>14511.28</v>
      </c>
    </row>
    <row r="1988" spans="4:5" hidden="1" outlineLevel="1" x14ac:dyDescent="0.3">
      <c r="D1988" s="80">
        <v>43210</v>
      </c>
      <c r="E1988" s="81">
        <v>14482.97</v>
      </c>
    </row>
    <row r="1989" spans="4:5" hidden="1" outlineLevel="1" x14ac:dyDescent="0.3">
      <c r="D1989" s="80">
        <v>43209</v>
      </c>
      <c r="E1989" s="81">
        <v>14484.7</v>
      </c>
    </row>
    <row r="1990" spans="4:5" hidden="1" outlineLevel="1" x14ac:dyDescent="0.3">
      <c r="D1990" s="80">
        <v>43208</v>
      </c>
      <c r="E1990" s="81">
        <v>14431.07</v>
      </c>
    </row>
    <row r="1991" spans="4:5" hidden="1" outlineLevel="1" x14ac:dyDescent="0.3">
      <c r="D1991" s="80">
        <v>43207</v>
      </c>
      <c r="E1991" s="81">
        <v>14461.97</v>
      </c>
    </row>
    <row r="1992" spans="4:5" hidden="1" outlineLevel="1" x14ac:dyDescent="0.3">
      <c r="D1992" s="80">
        <v>43206</v>
      </c>
      <c r="E1992" s="81">
        <v>14434.05</v>
      </c>
    </row>
    <row r="1993" spans="4:5" hidden="1" outlineLevel="1" x14ac:dyDescent="0.3">
      <c r="D1993" s="80">
        <v>43203</v>
      </c>
      <c r="E1993" s="81">
        <v>14368.56</v>
      </c>
    </row>
    <row r="1994" spans="4:5" hidden="1" outlineLevel="1" x14ac:dyDescent="0.3">
      <c r="D1994" s="80">
        <v>43202</v>
      </c>
      <c r="E1994" s="81">
        <v>14338.46</v>
      </c>
    </row>
    <row r="1995" spans="4:5" hidden="1" outlineLevel="1" x14ac:dyDescent="0.3">
      <c r="D1995" s="80">
        <v>43201</v>
      </c>
      <c r="E1995" s="81">
        <v>14281.6</v>
      </c>
    </row>
    <row r="1996" spans="4:5" hidden="1" outlineLevel="1" x14ac:dyDescent="0.3">
      <c r="D1996" s="80">
        <v>43200</v>
      </c>
      <c r="E1996" s="81">
        <v>14261.15</v>
      </c>
    </row>
    <row r="1997" spans="4:5" hidden="1" outlineLevel="1" x14ac:dyDescent="0.3">
      <c r="D1997" s="80">
        <v>43199</v>
      </c>
      <c r="E1997" s="81">
        <v>14229.77</v>
      </c>
    </row>
    <row r="1998" spans="4:5" hidden="1" outlineLevel="1" x14ac:dyDescent="0.3">
      <c r="D1998" s="80">
        <v>43196</v>
      </c>
      <c r="E1998" s="81">
        <v>14164.28</v>
      </c>
    </row>
    <row r="1999" spans="4:5" hidden="1" outlineLevel="1" x14ac:dyDescent="0.3">
      <c r="D1999" s="80">
        <v>43195</v>
      </c>
      <c r="E1999" s="81">
        <v>14155.47</v>
      </c>
    </row>
    <row r="2000" spans="4:5" hidden="1" outlineLevel="1" x14ac:dyDescent="0.3">
      <c r="D2000" s="80">
        <v>43194</v>
      </c>
      <c r="E2000" s="81">
        <v>13885.72</v>
      </c>
    </row>
    <row r="2001" spans="4:5" hidden="1" outlineLevel="1" x14ac:dyDescent="0.3">
      <c r="D2001" s="80">
        <v>43193</v>
      </c>
      <c r="E2001" s="81">
        <v>14045.55</v>
      </c>
    </row>
    <row r="2002" spans="4:5" hidden="1" outlineLevel="1" x14ac:dyDescent="0.3">
      <c r="D2002" s="80">
        <v>43192</v>
      </c>
      <c r="E2002" s="81">
        <v>14000.07</v>
      </c>
    </row>
    <row r="2003" spans="4:5" hidden="1" outlineLevel="1" x14ac:dyDescent="0.3">
      <c r="D2003" s="80">
        <v>43187</v>
      </c>
      <c r="E2003" s="81">
        <v>13865.57</v>
      </c>
    </row>
    <row r="2004" spans="4:5" hidden="1" outlineLevel="1" x14ac:dyDescent="0.3">
      <c r="D2004" s="80">
        <v>43186</v>
      </c>
      <c r="E2004" s="81">
        <v>13962.15</v>
      </c>
    </row>
    <row r="2005" spans="4:5" hidden="1" outlineLevel="1" x14ac:dyDescent="0.3">
      <c r="D2005" s="80">
        <v>43185</v>
      </c>
      <c r="E2005" s="81">
        <v>13888.82</v>
      </c>
    </row>
    <row r="2006" spans="4:5" hidden="1" outlineLevel="1" x14ac:dyDescent="0.3">
      <c r="D2006" s="80">
        <v>43182</v>
      </c>
      <c r="E2006" s="81">
        <v>13706.99</v>
      </c>
    </row>
    <row r="2007" spans="4:5" hidden="1" outlineLevel="1" x14ac:dyDescent="0.3">
      <c r="D2007" s="80">
        <v>43181</v>
      </c>
      <c r="E2007" s="81">
        <v>13867.01</v>
      </c>
    </row>
    <row r="2008" spans="4:5" hidden="1" outlineLevel="1" x14ac:dyDescent="0.3">
      <c r="D2008" s="80">
        <v>43180</v>
      </c>
      <c r="E2008" s="81">
        <v>13920.51</v>
      </c>
    </row>
    <row r="2009" spans="4:5" hidden="1" outlineLevel="1" x14ac:dyDescent="0.3">
      <c r="D2009" s="80">
        <v>43179</v>
      </c>
      <c r="E2009" s="81">
        <v>13878.17</v>
      </c>
    </row>
    <row r="2010" spans="4:5" hidden="1" outlineLevel="1" x14ac:dyDescent="0.3">
      <c r="D2010" s="80">
        <v>43178</v>
      </c>
      <c r="E2010" s="81">
        <v>13822.99</v>
      </c>
    </row>
    <row r="2011" spans="4:5" hidden="1" outlineLevel="1" x14ac:dyDescent="0.3">
      <c r="D2011" s="80">
        <v>43175</v>
      </c>
      <c r="E2011" s="81">
        <v>13961.14</v>
      </c>
    </row>
    <row r="2012" spans="4:5" hidden="1" outlineLevel="1" x14ac:dyDescent="0.3">
      <c r="D2012" s="80">
        <v>43174</v>
      </c>
      <c r="E2012" s="81">
        <v>14179.36</v>
      </c>
    </row>
    <row r="2013" spans="4:5" hidden="1" outlineLevel="1" x14ac:dyDescent="0.3">
      <c r="D2013" s="80">
        <v>43173</v>
      </c>
      <c r="E2013" s="81">
        <v>14248.81</v>
      </c>
    </row>
    <row r="2014" spans="4:5" hidden="1" outlineLevel="1" x14ac:dyDescent="0.3">
      <c r="D2014" s="80">
        <v>43172</v>
      </c>
      <c r="E2014" s="81">
        <v>14270.64</v>
      </c>
    </row>
    <row r="2015" spans="4:5" hidden="1" outlineLevel="1" x14ac:dyDescent="0.3">
      <c r="D2015" s="80">
        <v>43171</v>
      </c>
      <c r="E2015" s="81">
        <v>14260.92</v>
      </c>
    </row>
    <row r="2016" spans="4:5" hidden="1" outlineLevel="1" x14ac:dyDescent="0.3">
      <c r="D2016" s="80">
        <v>43168</v>
      </c>
      <c r="E2016" s="81">
        <v>13994.68</v>
      </c>
    </row>
    <row r="2017" spans="4:5" hidden="1" outlineLevel="1" x14ac:dyDescent="0.3">
      <c r="D2017" s="80">
        <v>43167</v>
      </c>
      <c r="E2017" s="81">
        <v>14016.3</v>
      </c>
    </row>
    <row r="2018" spans="4:5" hidden="1" outlineLevel="1" x14ac:dyDescent="0.3">
      <c r="D2018" s="80">
        <v>43166</v>
      </c>
      <c r="E2018" s="81">
        <v>13895.27</v>
      </c>
    </row>
    <row r="2019" spans="4:5" hidden="1" outlineLevel="1" x14ac:dyDescent="0.3">
      <c r="D2019" s="80">
        <v>43165</v>
      </c>
      <c r="E2019" s="81">
        <v>14025.34</v>
      </c>
    </row>
    <row r="2020" spans="4:5" hidden="1" outlineLevel="1" x14ac:dyDescent="0.3">
      <c r="D2020" s="80">
        <v>43164</v>
      </c>
      <c r="E2020" s="81">
        <v>14175.32</v>
      </c>
    </row>
    <row r="2021" spans="4:5" hidden="1" outlineLevel="1" x14ac:dyDescent="0.3">
      <c r="D2021" s="80">
        <v>43160</v>
      </c>
      <c r="E2021" s="81">
        <v>14311.52</v>
      </c>
    </row>
    <row r="2022" spans="4:5" hidden="1" outlineLevel="1" x14ac:dyDescent="0.3">
      <c r="D2022" s="80">
        <v>43159</v>
      </c>
      <c r="E2022" s="81">
        <v>14358.71</v>
      </c>
    </row>
    <row r="2023" spans="4:5" hidden="1" outlineLevel="1" x14ac:dyDescent="0.3">
      <c r="D2023" s="80">
        <v>43158</v>
      </c>
      <c r="E2023" s="81">
        <v>14438.9</v>
      </c>
    </row>
    <row r="2024" spans="4:5" hidden="1" outlineLevel="1" x14ac:dyDescent="0.3">
      <c r="D2024" s="80">
        <v>43157</v>
      </c>
      <c r="E2024" s="81">
        <v>14477.62</v>
      </c>
    </row>
    <row r="2025" spans="4:5" hidden="1" outlineLevel="1" x14ac:dyDescent="0.3">
      <c r="D2025" s="80">
        <v>43154</v>
      </c>
      <c r="E2025" s="81">
        <v>14352.4</v>
      </c>
    </row>
    <row r="2026" spans="4:5" hidden="1" outlineLevel="1" x14ac:dyDescent="0.3">
      <c r="D2026" s="80">
        <v>43153</v>
      </c>
      <c r="E2026" s="81">
        <v>14204.17</v>
      </c>
    </row>
    <row r="2027" spans="4:5" hidden="1" outlineLevel="1" x14ac:dyDescent="0.3">
      <c r="D2027" s="80">
        <v>43152</v>
      </c>
      <c r="E2027" s="81">
        <v>14220.48</v>
      </c>
    </row>
    <row r="2028" spans="4:5" hidden="1" outlineLevel="1" x14ac:dyDescent="0.3">
      <c r="D2028" s="80">
        <v>43151</v>
      </c>
      <c r="E2028" s="81">
        <v>14169.77</v>
      </c>
    </row>
    <row r="2029" spans="4:5" hidden="1" outlineLevel="1" x14ac:dyDescent="0.3">
      <c r="D2029" s="80">
        <v>43150</v>
      </c>
      <c r="E2029" s="81">
        <v>14194.28</v>
      </c>
    </row>
    <row r="2030" spans="4:5" hidden="1" outlineLevel="1" x14ac:dyDescent="0.3">
      <c r="D2030" s="80">
        <v>43147</v>
      </c>
      <c r="E2030" s="81">
        <v>14295.41</v>
      </c>
    </row>
    <row r="2031" spans="4:5" hidden="1" outlineLevel="1" x14ac:dyDescent="0.3">
      <c r="D2031" s="80">
        <v>43146</v>
      </c>
      <c r="E2031" s="81">
        <v>14422.85</v>
      </c>
    </row>
    <row r="2032" spans="4:5" hidden="1" outlineLevel="1" x14ac:dyDescent="0.3">
      <c r="D2032" s="80">
        <v>43145</v>
      </c>
      <c r="E2032" s="81">
        <v>14359.35</v>
      </c>
    </row>
    <row r="2033" spans="4:5" hidden="1" outlineLevel="1" x14ac:dyDescent="0.3">
      <c r="D2033" s="80">
        <v>43143</v>
      </c>
      <c r="E2033" s="81">
        <v>14412.46</v>
      </c>
    </row>
    <row r="2034" spans="4:5" hidden="1" outlineLevel="1" x14ac:dyDescent="0.3">
      <c r="D2034" s="80">
        <v>43140</v>
      </c>
      <c r="E2034" s="81">
        <v>14296.5</v>
      </c>
    </row>
    <row r="2035" spans="4:5" hidden="1" outlineLevel="1" x14ac:dyDescent="0.3">
      <c r="D2035" s="80">
        <v>43139</v>
      </c>
      <c r="E2035" s="81">
        <v>14463.16</v>
      </c>
    </row>
    <row r="2036" spans="4:5" hidden="1" outlineLevel="1" x14ac:dyDescent="0.3">
      <c r="D2036" s="80">
        <v>43138</v>
      </c>
      <c r="E2036" s="81">
        <v>14317.57</v>
      </c>
    </row>
    <row r="2037" spans="4:5" hidden="1" outlineLevel="1" x14ac:dyDescent="0.3">
      <c r="D2037" s="80">
        <v>43137</v>
      </c>
      <c r="E2037" s="81">
        <v>14344.02</v>
      </c>
    </row>
    <row r="2038" spans="4:5" hidden="1" outlineLevel="1" x14ac:dyDescent="0.3">
      <c r="D2038" s="80">
        <v>43136</v>
      </c>
      <c r="E2038" s="81">
        <v>14574</v>
      </c>
    </row>
    <row r="2039" spans="4:5" hidden="1" outlineLevel="1" x14ac:dyDescent="0.3">
      <c r="D2039" s="80">
        <v>43133</v>
      </c>
      <c r="E2039" s="81">
        <v>14702.49</v>
      </c>
    </row>
    <row r="2040" spans="4:5" hidden="1" outlineLevel="1" x14ac:dyDescent="0.3">
      <c r="D2040" s="80">
        <v>43132</v>
      </c>
      <c r="E2040" s="81">
        <v>15052.72</v>
      </c>
    </row>
    <row r="2041" spans="4:5" hidden="1" outlineLevel="1" x14ac:dyDescent="0.3">
      <c r="D2041" s="80">
        <v>43131</v>
      </c>
      <c r="E2041" s="81">
        <v>15065.82</v>
      </c>
    </row>
    <row r="2042" spans="4:5" hidden="1" outlineLevel="1" x14ac:dyDescent="0.3">
      <c r="D2042" s="80">
        <v>43130</v>
      </c>
      <c r="E2042" s="81">
        <v>15095.42</v>
      </c>
    </row>
    <row r="2043" spans="4:5" hidden="1" outlineLevel="1" x14ac:dyDescent="0.3">
      <c r="D2043" s="80">
        <v>43129</v>
      </c>
      <c r="E2043" s="81">
        <v>15204.42</v>
      </c>
    </row>
    <row r="2044" spans="4:5" hidden="1" outlineLevel="1" x14ac:dyDescent="0.3">
      <c r="D2044" s="80">
        <v>43125</v>
      </c>
      <c r="E2044" s="81">
        <v>15121</v>
      </c>
    </row>
    <row r="2045" spans="4:5" hidden="1" outlineLevel="1" x14ac:dyDescent="0.3">
      <c r="D2045" s="80">
        <v>43124</v>
      </c>
      <c r="E2045" s="81">
        <v>15143.35</v>
      </c>
    </row>
    <row r="2046" spans="4:5" hidden="1" outlineLevel="1" x14ac:dyDescent="0.3">
      <c r="D2046" s="80">
        <v>43123</v>
      </c>
      <c r="E2046" s="81">
        <v>15140.24</v>
      </c>
    </row>
    <row r="2047" spans="4:5" hidden="1" outlineLevel="1" x14ac:dyDescent="0.3">
      <c r="D2047" s="80">
        <v>43122</v>
      </c>
      <c r="E2047" s="81">
        <v>14979.72</v>
      </c>
    </row>
    <row r="2048" spans="4:5" hidden="1" outlineLevel="1" x14ac:dyDescent="0.3">
      <c r="D2048" s="80">
        <v>43119</v>
      </c>
      <c r="E2048" s="81">
        <v>14880.8</v>
      </c>
    </row>
    <row r="2049" spans="4:5" hidden="1" outlineLevel="1" x14ac:dyDescent="0.3">
      <c r="D2049" s="80">
        <v>43118</v>
      </c>
      <c r="E2049" s="81">
        <v>14774.67</v>
      </c>
    </row>
    <row r="2050" spans="4:5" hidden="1" outlineLevel="1" x14ac:dyDescent="0.3">
      <c r="D2050" s="80">
        <v>43117</v>
      </c>
      <c r="E2050" s="81">
        <v>14734.07</v>
      </c>
    </row>
    <row r="2051" spans="4:5" hidden="1" outlineLevel="1" x14ac:dyDescent="0.3">
      <c r="D2051" s="80">
        <v>43116</v>
      </c>
      <c r="E2051" s="81">
        <v>14613.79</v>
      </c>
    </row>
    <row r="2052" spans="4:5" hidden="1" outlineLevel="1" x14ac:dyDescent="0.3">
      <c r="D2052" s="80">
        <v>43115</v>
      </c>
      <c r="E2052" s="81">
        <v>14669.9</v>
      </c>
    </row>
    <row r="2053" spans="4:5" hidden="1" outlineLevel="1" x14ac:dyDescent="0.3">
      <c r="D2053" s="80">
        <v>43112</v>
      </c>
      <c r="E2053" s="81">
        <v>14587.54</v>
      </c>
    </row>
    <row r="2054" spans="4:5" hidden="1" outlineLevel="1" x14ac:dyDescent="0.3">
      <c r="D2054" s="80">
        <v>43111</v>
      </c>
      <c r="E2054" s="81">
        <v>14546.49</v>
      </c>
    </row>
    <row r="2055" spans="4:5" hidden="1" outlineLevel="1" x14ac:dyDescent="0.3">
      <c r="D2055" s="80">
        <v>43110</v>
      </c>
      <c r="E2055" s="81">
        <v>14520.56</v>
      </c>
    </row>
    <row r="2056" spans="4:5" hidden="1" outlineLevel="1" x14ac:dyDescent="0.3">
      <c r="D2056" s="80">
        <v>43109</v>
      </c>
      <c r="E2056" s="81">
        <v>14527.15</v>
      </c>
    </row>
    <row r="2057" spans="4:5" hidden="1" outlineLevel="1" x14ac:dyDescent="0.3">
      <c r="D2057" s="80">
        <v>43108</v>
      </c>
      <c r="E2057" s="81">
        <v>14508.81</v>
      </c>
    </row>
    <row r="2058" spans="4:5" hidden="1" outlineLevel="1" x14ac:dyDescent="0.3">
      <c r="D2058" s="80">
        <v>43105</v>
      </c>
      <c r="E2058" s="81">
        <v>14420.42</v>
      </c>
    </row>
    <row r="2059" spans="4:5" hidden="1" outlineLevel="1" x14ac:dyDescent="0.3">
      <c r="D2059" s="80">
        <v>43104</v>
      </c>
      <c r="E2059" s="81">
        <v>14346.59</v>
      </c>
    </row>
    <row r="2060" spans="4:5" hidden="1" outlineLevel="1" x14ac:dyDescent="0.3">
      <c r="D2060" s="80">
        <v>43103</v>
      </c>
      <c r="E2060" s="81">
        <v>14262.48</v>
      </c>
    </row>
    <row r="2061" spans="4:5" hidden="1" outlineLevel="1" x14ac:dyDescent="0.3">
      <c r="D2061" s="80">
        <v>43102</v>
      </c>
      <c r="E2061" s="81">
        <v>14261.1</v>
      </c>
    </row>
    <row r="2062" spans="4:5" hidden="1" outlineLevel="1" x14ac:dyDescent="0.3">
      <c r="D2062" s="80">
        <v>43101</v>
      </c>
      <c r="E2062" s="81">
        <v>14252.02</v>
      </c>
    </row>
    <row r="2063" spans="4:5" hidden="1" outlineLevel="1" x14ac:dyDescent="0.3">
      <c r="D2063" s="80">
        <v>43098</v>
      </c>
      <c r="E2063" s="81">
        <v>14381.92</v>
      </c>
    </row>
    <row r="2064" spans="4:5" hidden="1" outlineLevel="1" x14ac:dyDescent="0.3">
      <c r="D2064" s="80">
        <v>43097</v>
      </c>
      <c r="E2064" s="81">
        <v>14309.85</v>
      </c>
    </row>
    <row r="2065" spans="4:5" hidden="1" outlineLevel="1" x14ac:dyDescent="0.3">
      <c r="D2065" s="80">
        <v>43096</v>
      </c>
      <c r="E2065" s="81">
        <v>14327.42</v>
      </c>
    </row>
    <row r="2066" spans="4:5" hidden="1" outlineLevel="1" x14ac:dyDescent="0.3">
      <c r="D2066" s="80">
        <v>43095</v>
      </c>
      <c r="E2066" s="81">
        <v>14383.04</v>
      </c>
    </row>
    <row r="2067" spans="4:5" hidden="1" outlineLevel="1" x14ac:dyDescent="0.3">
      <c r="D2067" s="80">
        <v>43091</v>
      </c>
      <c r="E2067" s="81">
        <v>14330.49</v>
      </c>
    </row>
    <row r="2068" spans="4:5" hidden="1" outlineLevel="1" x14ac:dyDescent="0.3">
      <c r="D2068" s="80">
        <v>43090</v>
      </c>
      <c r="E2068" s="81">
        <v>14258.49</v>
      </c>
    </row>
    <row r="2069" spans="4:5" hidden="1" outlineLevel="1" x14ac:dyDescent="0.3">
      <c r="D2069" s="80">
        <v>43089</v>
      </c>
      <c r="E2069" s="81">
        <v>14263.81</v>
      </c>
    </row>
    <row r="2070" spans="4:5" hidden="1" outlineLevel="1" x14ac:dyDescent="0.3">
      <c r="D2070" s="80">
        <v>43088</v>
      </c>
      <c r="E2070" s="81">
        <v>14289.76</v>
      </c>
    </row>
    <row r="2071" spans="4:5" hidden="1" outlineLevel="1" x14ac:dyDescent="0.3">
      <c r="D2071" s="80">
        <v>43087</v>
      </c>
      <c r="E2071" s="81">
        <v>14188.11</v>
      </c>
    </row>
    <row r="2072" spans="4:5" hidden="1" outlineLevel="1" x14ac:dyDescent="0.3">
      <c r="D2072" s="80">
        <v>43084</v>
      </c>
      <c r="E2072" s="81">
        <v>14112.3</v>
      </c>
    </row>
    <row r="2073" spans="4:5" hidden="1" outlineLevel="1" x14ac:dyDescent="0.3">
      <c r="D2073" s="80">
        <v>43083</v>
      </c>
      <c r="E2073" s="81">
        <v>14001.49</v>
      </c>
    </row>
    <row r="2074" spans="4:5" hidden="1" outlineLevel="1" x14ac:dyDescent="0.3">
      <c r="D2074" s="80">
        <v>43082</v>
      </c>
      <c r="E2074" s="81">
        <v>13920.69</v>
      </c>
    </row>
    <row r="2075" spans="4:5" hidden="1" outlineLevel="1" x14ac:dyDescent="0.3">
      <c r="D2075" s="80">
        <v>43081</v>
      </c>
      <c r="E2075" s="81">
        <v>13985.11</v>
      </c>
    </row>
    <row r="2076" spans="4:5" hidden="1" outlineLevel="1" x14ac:dyDescent="0.3">
      <c r="D2076" s="80">
        <v>43080</v>
      </c>
      <c r="E2076" s="81">
        <v>14097.29</v>
      </c>
    </row>
    <row r="2077" spans="4:5" hidden="1" outlineLevel="1" x14ac:dyDescent="0.3">
      <c r="D2077" s="80">
        <v>43077</v>
      </c>
      <c r="E2077" s="81">
        <v>14019.95</v>
      </c>
    </row>
    <row r="2078" spans="4:5" hidden="1" outlineLevel="1" x14ac:dyDescent="0.3">
      <c r="D2078" s="80">
        <v>43076</v>
      </c>
      <c r="E2078" s="81">
        <v>13884.82</v>
      </c>
    </row>
    <row r="2079" spans="4:5" hidden="1" outlineLevel="1" x14ac:dyDescent="0.3">
      <c r="D2079" s="80">
        <v>43075</v>
      </c>
      <c r="E2079" s="81">
        <v>13717.36</v>
      </c>
    </row>
    <row r="2080" spans="4:5" hidden="1" outlineLevel="1" x14ac:dyDescent="0.3">
      <c r="D2080" s="80">
        <v>43074</v>
      </c>
      <c r="E2080" s="81">
        <v>13818.67</v>
      </c>
    </row>
    <row r="2081" spans="4:5" hidden="1" outlineLevel="1" x14ac:dyDescent="0.3">
      <c r="D2081" s="80">
        <v>43073</v>
      </c>
      <c r="E2081" s="81">
        <v>13831.66</v>
      </c>
    </row>
    <row r="2082" spans="4:5" hidden="1" outlineLevel="1" x14ac:dyDescent="0.3">
      <c r="D2082" s="80">
        <v>43070</v>
      </c>
      <c r="E2082" s="81">
        <v>13823.52</v>
      </c>
    </row>
    <row r="2083" spans="4:5" hidden="1" outlineLevel="1" x14ac:dyDescent="0.3">
      <c r="D2083" s="80">
        <v>43069</v>
      </c>
      <c r="E2083" s="81">
        <v>13966.58</v>
      </c>
    </row>
    <row r="2084" spans="4:5" hidden="1" outlineLevel="1" x14ac:dyDescent="0.3">
      <c r="D2084" s="80">
        <v>43068</v>
      </c>
      <c r="E2084" s="81">
        <v>14150.6</v>
      </c>
    </row>
    <row r="2085" spans="4:5" hidden="1" outlineLevel="1" x14ac:dyDescent="0.3">
      <c r="D2085" s="80">
        <v>43067</v>
      </c>
      <c r="E2085" s="81">
        <v>14162.79</v>
      </c>
    </row>
    <row r="2086" spans="4:5" hidden="1" outlineLevel="1" x14ac:dyDescent="0.3">
      <c r="D2086" s="80">
        <v>43066</v>
      </c>
      <c r="E2086" s="81">
        <v>14202.82</v>
      </c>
    </row>
    <row r="2087" spans="4:5" hidden="1" outlineLevel="1" x14ac:dyDescent="0.3">
      <c r="D2087" s="80">
        <v>43063</v>
      </c>
      <c r="E2087" s="81">
        <v>14189.41</v>
      </c>
    </row>
    <row r="2088" spans="4:5" hidden="1" outlineLevel="1" x14ac:dyDescent="0.3">
      <c r="D2088" s="80">
        <v>43062</v>
      </c>
      <c r="E2088" s="81">
        <v>14133.47</v>
      </c>
    </row>
    <row r="2089" spans="4:5" hidden="1" outlineLevel="1" x14ac:dyDescent="0.3">
      <c r="D2089" s="80">
        <v>43061</v>
      </c>
      <c r="E2089" s="81">
        <v>14124.68</v>
      </c>
    </row>
    <row r="2090" spans="4:5" hidden="1" outlineLevel="1" x14ac:dyDescent="0.3">
      <c r="D2090" s="80">
        <v>43060</v>
      </c>
      <c r="E2090" s="81">
        <v>14103.64</v>
      </c>
    </row>
    <row r="2091" spans="4:5" hidden="1" outlineLevel="1" x14ac:dyDescent="0.3">
      <c r="D2091" s="80">
        <v>43059</v>
      </c>
      <c r="E2091" s="81">
        <v>14065.05</v>
      </c>
    </row>
    <row r="2092" spans="4:5" hidden="1" outlineLevel="1" x14ac:dyDescent="0.3">
      <c r="D2092" s="80">
        <v>43056</v>
      </c>
      <c r="E2092" s="81">
        <v>14044.32</v>
      </c>
    </row>
    <row r="2093" spans="4:5" hidden="1" outlineLevel="1" x14ac:dyDescent="0.3">
      <c r="D2093" s="80">
        <v>43055</v>
      </c>
      <c r="E2093" s="81">
        <v>13950.33</v>
      </c>
    </row>
    <row r="2094" spans="4:5" hidden="1" outlineLevel="1" x14ac:dyDescent="0.3">
      <c r="D2094" s="80">
        <v>43054</v>
      </c>
      <c r="E2094" s="81">
        <v>13818.25</v>
      </c>
    </row>
    <row r="2095" spans="4:5" hidden="1" outlineLevel="1" x14ac:dyDescent="0.3">
      <c r="D2095" s="80">
        <v>43053</v>
      </c>
      <c r="E2095" s="81">
        <v>13911.87</v>
      </c>
    </row>
    <row r="2096" spans="4:5" hidden="1" outlineLevel="1" x14ac:dyDescent="0.3">
      <c r="D2096" s="80">
        <v>43052</v>
      </c>
      <c r="E2096" s="81">
        <v>13964.26</v>
      </c>
    </row>
    <row r="2097" spans="4:5" hidden="1" outlineLevel="1" x14ac:dyDescent="0.3">
      <c r="D2097" s="80">
        <v>43049</v>
      </c>
      <c r="E2097" s="81">
        <v>14096.45</v>
      </c>
    </row>
    <row r="2098" spans="4:5" hidden="1" outlineLevel="1" x14ac:dyDescent="0.3">
      <c r="D2098" s="80">
        <v>43048</v>
      </c>
      <c r="E2098" s="81">
        <v>14078.98</v>
      </c>
    </row>
    <row r="2099" spans="4:5" hidden="1" outlineLevel="1" x14ac:dyDescent="0.3">
      <c r="D2099" s="80">
        <v>43047</v>
      </c>
      <c r="E2099" s="81">
        <v>14071.02</v>
      </c>
    </row>
    <row r="2100" spans="4:5" hidden="1" outlineLevel="1" x14ac:dyDescent="0.3">
      <c r="D2100" s="80">
        <v>43046</v>
      </c>
      <c r="E2100" s="81">
        <v>14135.23</v>
      </c>
    </row>
    <row r="2101" spans="4:5" hidden="1" outlineLevel="1" x14ac:dyDescent="0.3">
      <c r="D2101" s="80">
        <v>43045</v>
      </c>
      <c r="E2101" s="81">
        <v>14274.03</v>
      </c>
    </row>
    <row r="2102" spans="4:5" hidden="1" outlineLevel="1" x14ac:dyDescent="0.3">
      <c r="D2102" s="80">
        <v>43042</v>
      </c>
      <c r="E2102" s="81">
        <v>14274.97</v>
      </c>
    </row>
    <row r="2103" spans="4:5" hidden="1" outlineLevel="1" x14ac:dyDescent="0.3">
      <c r="D2103" s="80">
        <v>43041</v>
      </c>
      <c r="E2103" s="81">
        <v>14232.79</v>
      </c>
    </row>
    <row r="2104" spans="4:5" hidden="1" outlineLevel="1" x14ac:dyDescent="0.3">
      <c r="D2104" s="80">
        <v>43040</v>
      </c>
      <c r="E2104" s="81">
        <v>14255.58</v>
      </c>
    </row>
    <row r="2105" spans="4:5" hidden="1" outlineLevel="1" x14ac:dyDescent="0.3">
      <c r="D2105" s="80">
        <v>43039</v>
      </c>
      <c r="E2105" s="81">
        <v>14108.55</v>
      </c>
    </row>
    <row r="2106" spans="4:5" hidden="1" outlineLevel="1" x14ac:dyDescent="0.3">
      <c r="D2106" s="80">
        <v>43038</v>
      </c>
      <c r="E2106" s="81">
        <v>14137.62</v>
      </c>
    </row>
    <row r="2107" spans="4:5" hidden="1" outlineLevel="1" x14ac:dyDescent="0.3">
      <c r="D2107" s="80">
        <v>43035</v>
      </c>
      <c r="E2107" s="81">
        <v>14082.21</v>
      </c>
    </row>
    <row r="2108" spans="4:5" hidden="1" outlineLevel="1" x14ac:dyDescent="0.3">
      <c r="D2108" s="80">
        <v>43034</v>
      </c>
      <c r="E2108" s="81">
        <v>14110.5</v>
      </c>
    </row>
    <row r="2109" spans="4:5" hidden="1" outlineLevel="1" x14ac:dyDescent="0.3">
      <c r="D2109" s="80">
        <v>43033</v>
      </c>
      <c r="E2109" s="81">
        <v>14044.44</v>
      </c>
    </row>
    <row r="2110" spans="4:5" hidden="1" outlineLevel="1" x14ac:dyDescent="0.3">
      <c r="D2110" s="80">
        <v>43032</v>
      </c>
      <c r="E2110" s="81">
        <v>13923.61</v>
      </c>
    </row>
    <row r="2111" spans="4:5" hidden="1" outlineLevel="1" x14ac:dyDescent="0.3">
      <c r="D2111" s="80">
        <v>43031</v>
      </c>
      <c r="E2111" s="81">
        <v>13892.48</v>
      </c>
    </row>
    <row r="2112" spans="4:5" hidden="1" outlineLevel="1" x14ac:dyDescent="0.3">
      <c r="D2112" s="80">
        <v>43027</v>
      </c>
      <c r="E2112" s="81">
        <v>13840.24</v>
      </c>
    </row>
    <row r="2113" spans="4:5" hidden="1" outlineLevel="1" x14ac:dyDescent="0.3">
      <c r="D2113" s="80">
        <v>43026</v>
      </c>
      <c r="E2113" s="81">
        <v>13927.92</v>
      </c>
    </row>
    <row r="2114" spans="4:5" hidden="1" outlineLevel="1" x14ac:dyDescent="0.3">
      <c r="D2114" s="80">
        <v>43025</v>
      </c>
      <c r="E2114" s="81">
        <v>13960.09</v>
      </c>
    </row>
    <row r="2115" spans="4:5" hidden="1" outlineLevel="1" x14ac:dyDescent="0.3">
      <c r="D2115" s="80">
        <v>43024</v>
      </c>
      <c r="E2115" s="81">
        <v>13955.22</v>
      </c>
    </row>
    <row r="2116" spans="4:5" hidden="1" outlineLevel="1" x14ac:dyDescent="0.3">
      <c r="D2116" s="80">
        <v>43021</v>
      </c>
      <c r="E2116" s="81">
        <v>13868.7</v>
      </c>
    </row>
    <row r="2117" spans="4:5" hidden="1" outlineLevel="1" x14ac:dyDescent="0.3">
      <c r="D2117" s="80">
        <v>43020</v>
      </c>
      <c r="E2117" s="81">
        <v>13771.84</v>
      </c>
    </row>
    <row r="2118" spans="4:5" hidden="1" outlineLevel="1" x14ac:dyDescent="0.3">
      <c r="D2118" s="80">
        <v>43019</v>
      </c>
      <c r="E2118" s="81">
        <v>13619.62</v>
      </c>
    </row>
    <row r="2119" spans="4:5" hidden="1" outlineLevel="1" x14ac:dyDescent="0.3">
      <c r="D2119" s="80">
        <v>43018</v>
      </c>
      <c r="E2119" s="81">
        <v>13663.44</v>
      </c>
    </row>
    <row r="2120" spans="4:5" hidden="1" outlineLevel="1" x14ac:dyDescent="0.3">
      <c r="D2120" s="80">
        <v>43017</v>
      </c>
      <c r="E2120" s="81">
        <v>13625</v>
      </c>
    </row>
    <row r="2121" spans="4:5" hidden="1" outlineLevel="1" x14ac:dyDescent="0.3">
      <c r="D2121" s="80">
        <v>43014</v>
      </c>
      <c r="E2121" s="81">
        <v>13612.63</v>
      </c>
    </row>
    <row r="2122" spans="4:5" hidden="1" outlineLevel="1" x14ac:dyDescent="0.3">
      <c r="D2122" s="80">
        <v>43013</v>
      </c>
      <c r="E2122" s="81">
        <v>13488.48</v>
      </c>
    </row>
    <row r="2123" spans="4:5" hidden="1" outlineLevel="1" x14ac:dyDescent="0.3">
      <c r="D2123" s="80">
        <v>43012</v>
      </c>
      <c r="E2123" s="81">
        <v>13524.27</v>
      </c>
    </row>
    <row r="2124" spans="4:5" hidden="1" outlineLevel="1" x14ac:dyDescent="0.3">
      <c r="D2124" s="80">
        <v>43011</v>
      </c>
      <c r="E2124" s="81">
        <v>13448.66</v>
      </c>
    </row>
    <row r="2125" spans="4:5" hidden="1" outlineLevel="1" x14ac:dyDescent="0.3">
      <c r="D2125" s="80">
        <v>43007</v>
      </c>
      <c r="E2125" s="81">
        <v>13351.99</v>
      </c>
    </row>
    <row r="2126" spans="4:5" hidden="1" outlineLevel="1" x14ac:dyDescent="0.3">
      <c r="D2126" s="80">
        <v>43006</v>
      </c>
      <c r="E2126" s="81">
        <v>13325.16</v>
      </c>
    </row>
    <row r="2127" spans="4:5" hidden="1" outlineLevel="1" x14ac:dyDescent="0.3">
      <c r="D2127" s="80">
        <v>43005</v>
      </c>
      <c r="E2127" s="81">
        <v>13279.85</v>
      </c>
    </row>
    <row r="2128" spans="4:5" hidden="1" outlineLevel="1" x14ac:dyDescent="0.3">
      <c r="D2128" s="80">
        <v>43004</v>
      </c>
      <c r="E2128" s="81">
        <v>13465.07</v>
      </c>
    </row>
    <row r="2129" spans="4:5" hidden="1" outlineLevel="1" x14ac:dyDescent="0.3">
      <c r="D2129" s="80">
        <v>43003</v>
      </c>
      <c r="E2129" s="81">
        <v>13466.53</v>
      </c>
    </row>
    <row r="2130" spans="4:5" hidden="1" outlineLevel="1" x14ac:dyDescent="0.3">
      <c r="D2130" s="80">
        <v>43000</v>
      </c>
      <c r="E2130" s="81">
        <v>13591.79</v>
      </c>
    </row>
    <row r="2131" spans="4:5" hidden="1" outlineLevel="1" x14ac:dyDescent="0.3">
      <c r="D2131" s="80">
        <v>42999</v>
      </c>
      <c r="E2131" s="81">
        <v>13806.6</v>
      </c>
    </row>
    <row r="2132" spans="4:5" hidden="1" outlineLevel="1" x14ac:dyDescent="0.3">
      <c r="D2132" s="80">
        <v>42998</v>
      </c>
      <c r="E2132" s="81">
        <v>13832.04</v>
      </c>
    </row>
    <row r="2133" spans="4:5" hidden="1" outlineLevel="1" x14ac:dyDescent="0.3">
      <c r="D2133" s="80">
        <v>42997</v>
      </c>
      <c r="E2133" s="81">
        <v>13840.78</v>
      </c>
    </row>
    <row r="2134" spans="4:5" hidden="1" outlineLevel="1" x14ac:dyDescent="0.3">
      <c r="D2134" s="80">
        <v>42996</v>
      </c>
      <c r="E2134" s="81">
        <v>13848.34</v>
      </c>
    </row>
    <row r="2135" spans="4:5" hidden="1" outlineLevel="1" x14ac:dyDescent="0.3">
      <c r="D2135" s="80">
        <v>42993</v>
      </c>
      <c r="E2135" s="81">
        <v>13754.62</v>
      </c>
    </row>
    <row r="2136" spans="4:5" hidden="1" outlineLevel="1" x14ac:dyDescent="0.3">
      <c r="D2136" s="80">
        <v>42992</v>
      </c>
      <c r="E2136" s="81">
        <v>13756.28</v>
      </c>
    </row>
    <row r="2137" spans="4:5" hidden="1" outlineLevel="1" x14ac:dyDescent="0.3">
      <c r="D2137" s="80">
        <v>42991</v>
      </c>
      <c r="E2137" s="81">
        <v>13746.3</v>
      </c>
    </row>
    <row r="2138" spans="4:5" hidden="1" outlineLevel="1" x14ac:dyDescent="0.3">
      <c r="D2138" s="80">
        <v>42990</v>
      </c>
      <c r="E2138" s="81">
        <v>13765.03</v>
      </c>
    </row>
    <row r="2139" spans="4:5" hidden="1" outlineLevel="1" x14ac:dyDescent="0.3">
      <c r="D2139" s="80">
        <v>42989</v>
      </c>
      <c r="E2139" s="81">
        <v>13646.37</v>
      </c>
    </row>
    <row r="2140" spans="4:5" hidden="1" outlineLevel="1" x14ac:dyDescent="0.3">
      <c r="D2140" s="80">
        <v>42986</v>
      </c>
      <c r="E2140" s="81">
        <v>13546.57</v>
      </c>
    </row>
    <row r="2141" spans="4:5" hidden="1" outlineLevel="1" x14ac:dyDescent="0.3">
      <c r="D2141" s="80">
        <v>42985</v>
      </c>
      <c r="E2141" s="81">
        <v>13539.91</v>
      </c>
    </row>
    <row r="2142" spans="4:5" hidden="1" outlineLevel="1" x14ac:dyDescent="0.3">
      <c r="D2142" s="80">
        <v>42984</v>
      </c>
      <c r="E2142" s="81">
        <v>13519.3</v>
      </c>
    </row>
    <row r="2143" spans="4:5" hidden="1" outlineLevel="1" x14ac:dyDescent="0.3">
      <c r="D2143" s="80">
        <v>42983</v>
      </c>
      <c r="E2143" s="81">
        <v>13568.38</v>
      </c>
    </row>
    <row r="2144" spans="4:5" hidden="1" outlineLevel="1" x14ac:dyDescent="0.3">
      <c r="D2144" s="80">
        <v>42982</v>
      </c>
      <c r="E2144" s="81">
        <v>13514.16</v>
      </c>
    </row>
    <row r="2145" spans="4:5" hidden="1" outlineLevel="1" x14ac:dyDescent="0.3">
      <c r="D2145" s="80">
        <v>42979</v>
      </c>
      <c r="E2145" s="81">
        <v>13598.09</v>
      </c>
    </row>
    <row r="2146" spans="4:5" hidden="1" outlineLevel="1" x14ac:dyDescent="0.3">
      <c r="D2146" s="80">
        <v>42978</v>
      </c>
      <c r="E2146" s="81">
        <v>13521.03</v>
      </c>
    </row>
    <row r="2147" spans="4:5" hidden="1" outlineLevel="1" x14ac:dyDescent="0.3">
      <c r="D2147" s="80">
        <v>42977</v>
      </c>
      <c r="E2147" s="81">
        <v>13474.73</v>
      </c>
    </row>
    <row r="2148" spans="4:5" hidden="1" outlineLevel="1" x14ac:dyDescent="0.3">
      <c r="D2148" s="80">
        <v>42976</v>
      </c>
      <c r="E2148" s="81">
        <v>13354.29</v>
      </c>
    </row>
    <row r="2149" spans="4:5" hidden="1" outlineLevel="1" x14ac:dyDescent="0.3">
      <c r="D2149" s="80">
        <v>42975</v>
      </c>
      <c r="E2149" s="81">
        <v>13513.48</v>
      </c>
    </row>
    <row r="2150" spans="4:5" hidden="1" outlineLevel="1" x14ac:dyDescent="0.3">
      <c r="D2150" s="80">
        <v>42971</v>
      </c>
      <c r="E2150" s="81">
        <v>13437.45</v>
      </c>
    </row>
    <row r="2151" spans="4:5" hidden="1" outlineLevel="1" x14ac:dyDescent="0.3">
      <c r="D2151" s="80">
        <v>42970</v>
      </c>
      <c r="E2151" s="81">
        <v>13427.67</v>
      </c>
    </row>
    <row r="2152" spans="4:5" hidden="1" outlineLevel="1" x14ac:dyDescent="0.3">
      <c r="D2152" s="80">
        <v>42969</v>
      </c>
      <c r="E2152" s="81">
        <v>13309.14</v>
      </c>
    </row>
    <row r="2153" spans="4:5" hidden="1" outlineLevel="1" x14ac:dyDescent="0.3">
      <c r="D2153" s="80">
        <v>42968</v>
      </c>
      <c r="E2153" s="81">
        <v>13293.88</v>
      </c>
    </row>
    <row r="2154" spans="4:5" hidden="1" outlineLevel="1" x14ac:dyDescent="0.3">
      <c r="D2154" s="80">
        <v>42965</v>
      </c>
      <c r="E2154" s="81">
        <v>13407.07</v>
      </c>
    </row>
    <row r="2155" spans="4:5" hidden="1" outlineLevel="1" x14ac:dyDescent="0.3">
      <c r="D2155" s="80">
        <v>42964</v>
      </c>
      <c r="E2155" s="81">
        <v>13497.69</v>
      </c>
    </row>
    <row r="2156" spans="4:5" hidden="1" outlineLevel="1" x14ac:dyDescent="0.3">
      <c r="D2156" s="80">
        <v>42963</v>
      </c>
      <c r="E2156" s="81">
        <v>13488.33</v>
      </c>
    </row>
    <row r="2157" spans="4:5" hidden="1" outlineLevel="1" x14ac:dyDescent="0.3">
      <c r="D2157" s="80">
        <v>42961</v>
      </c>
      <c r="E2157" s="81">
        <v>13347.75</v>
      </c>
    </row>
    <row r="2158" spans="4:5" hidden="1" outlineLevel="1" x14ac:dyDescent="0.3">
      <c r="D2158" s="80">
        <v>42958</v>
      </c>
      <c r="E2158" s="81">
        <v>13234.2</v>
      </c>
    </row>
    <row r="2159" spans="4:5" hidden="1" outlineLevel="1" x14ac:dyDescent="0.3">
      <c r="D2159" s="80">
        <v>42957</v>
      </c>
      <c r="E2159" s="81">
        <v>13377.05</v>
      </c>
    </row>
    <row r="2160" spans="4:5" hidden="1" outlineLevel="1" x14ac:dyDescent="0.3">
      <c r="D2160" s="80">
        <v>42956</v>
      </c>
      <c r="E2160" s="81">
        <v>13495.81</v>
      </c>
    </row>
    <row r="2161" spans="4:5" hidden="1" outlineLevel="1" x14ac:dyDescent="0.3">
      <c r="D2161" s="80">
        <v>42955</v>
      </c>
      <c r="E2161" s="81">
        <v>13591.81</v>
      </c>
    </row>
    <row r="2162" spans="4:5" hidden="1" outlineLevel="1" x14ac:dyDescent="0.3">
      <c r="D2162" s="80">
        <v>42954</v>
      </c>
      <c r="E2162" s="81">
        <v>13699.21</v>
      </c>
    </row>
    <row r="2163" spans="4:5" hidden="1" outlineLevel="1" x14ac:dyDescent="0.3">
      <c r="D2163" s="80">
        <v>42951</v>
      </c>
      <c r="E2163" s="81">
        <v>13711.47</v>
      </c>
    </row>
    <row r="2164" spans="4:5" hidden="1" outlineLevel="1" x14ac:dyDescent="0.3">
      <c r="D2164" s="80">
        <v>42950</v>
      </c>
      <c r="E2164" s="81">
        <v>13639.66</v>
      </c>
    </row>
    <row r="2165" spans="4:5" hidden="1" outlineLevel="1" x14ac:dyDescent="0.3">
      <c r="D2165" s="80">
        <v>42949</v>
      </c>
      <c r="E2165" s="81">
        <v>13731.63</v>
      </c>
    </row>
    <row r="2166" spans="4:5" hidden="1" outlineLevel="1" x14ac:dyDescent="0.3">
      <c r="D2166" s="80">
        <v>42948</v>
      </c>
      <c r="E2166" s="81">
        <v>13775.33</v>
      </c>
    </row>
    <row r="2167" spans="4:5" hidden="1" outlineLevel="1" x14ac:dyDescent="0.3">
      <c r="D2167" s="80">
        <v>42947</v>
      </c>
      <c r="E2167" s="81">
        <v>13724.19</v>
      </c>
    </row>
    <row r="2168" spans="4:5" hidden="1" outlineLevel="1" x14ac:dyDescent="0.3">
      <c r="D2168" s="80">
        <v>42944</v>
      </c>
      <c r="E2168" s="81">
        <v>13638.1</v>
      </c>
    </row>
    <row r="2169" spans="4:5" hidden="1" outlineLevel="1" x14ac:dyDescent="0.3">
      <c r="D2169" s="80">
        <v>42943</v>
      </c>
      <c r="E2169" s="81">
        <v>13646.34</v>
      </c>
    </row>
    <row r="2170" spans="4:5" hidden="1" outlineLevel="1" x14ac:dyDescent="0.3">
      <c r="D2170" s="80">
        <v>42942</v>
      </c>
      <c r="E2170" s="81">
        <v>13644.46</v>
      </c>
    </row>
    <row r="2171" spans="4:5" hidden="1" outlineLevel="1" x14ac:dyDescent="0.3">
      <c r="D2171" s="80">
        <v>42941</v>
      </c>
      <c r="E2171" s="81">
        <v>13567.66</v>
      </c>
    </row>
    <row r="2172" spans="4:5" hidden="1" outlineLevel="1" x14ac:dyDescent="0.3">
      <c r="D2172" s="80">
        <v>42940</v>
      </c>
      <c r="E2172" s="81">
        <v>13569.88</v>
      </c>
    </row>
    <row r="2173" spans="4:5" hidden="1" outlineLevel="1" x14ac:dyDescent="0.3">
      <c r="D2173" s="80">
        <v>42937</v>
      </c>
      <c r="E2173" s="81">
        <v>13498.25</v>
      </c>
    </row>
    <row r="2174" spans="4:5" hidden="1" outlineLevel="1" x14ac:dyDescent="0.3">
      <c r="D2174" s="80">
        <v>42936</v>
      </c>
      <c r="E2174" s="81">
        <v>13441.11</v>
      </c>
    </row>
    <row r="2175" spans="4:5" hidden="1" outlineLevel="1" x14ac:dyDescent="0.3">
      <c r="D2175" s="80">
        <v>42935</v>
      </c>
      <c r="E2175" s="81">
        <v>13473.52</v>
      </c>
    </row>
    <row r="2176" spans="4:5" hidden="1" outlineLevel="1" x14ac:dyDescent="0.3">
      <c r="D2176" s="80">
        <v>42934</v>
      </c>
      <c r="E2176" s="81">
        <v>13374.92</v>
      </c>
    </row>
    <row r="2177" spans="4:5" hidden="1" outlineLevel="1" x14ac:dyDescent="0.3">
      <c r="D2177" s="80">
        <v>42933</v>
      </c>
      <c r="E2177" s="81">
        <v>13494.64</v>
      </c>
    </row>
    <row r="2178" spans="4:5" hidden="1" outlineLevel="1" x14ac:dyDescent="0.3">
      <c r="D2178" s="80">
        <v>42930</v>
      </c>
      <c r="E2178" s="81">
        <v>13453.49</v>
      </c>
    </row>
    <row r="2179" spans="4:5" hidden="1" outlineLevel="1" x14ac:dyDescent="0.3">
      <c r="D2179" s="80">
        <v>42929</v>
      </c>
      <c r="E2179" s="81">
        <v>13452.22</v>
      </c>
    </row>
    <row r="2180" spans="4:5" hidden="1" outlineLevel="1" x14ac:dyDescent="0.3">
      <c r="D2180" s="80">
        <v>42928</v>
      </c>
      <c r="E2180" s="81">
        <v>13340.24</v>
      </c>
    </row>
    <row r="2181" spans="4:5" hidden="1" outlineLevel="1" x14ac:dyDescent="0.3">
      <c r="D2181" s="80">
        <v>42927</v>
      </c>
      <c r="E2181" s="81">
        <v>13299.17</v>
      </c>
    </row>
    <row r="2182" spans="4:5" hidden="1" outlineLevel="1" x14ac:dyDescent="0.3">
      <c r="D2182" s="80">
        <v>42926</v>
      </c>
      <c r="E2182" s="81">
        <v>13278.81</v>
      </c>
    </row>
    <row r="2183" spans="4:5" hidden="1" outlineLevel="1" x14ac:dyDescent="0.3">
      <c r="D2183" s="80">
        <v>42923</v>
      </c>
      <c r="E2183" s="81">
        <v>13135.35</v>
      </c>
    </row>
    <row r="2184" spans="4:5" hidden="1" outlineLevel="1" x14ac:dyDescent="0.3">
      <c r="D2184" s="80">
        <v>42922</v>
      </c>
      <c r="E2184" s="81">
        <v>13147.27</v>
      </c>
    </row>
    <row r="2185" spans="4:5" hidden="1" outlineLevel="1" x14ac:dyDescent="0.3">
      <c r="D2185" s="80">
        <v>42921</v>
      </c>
      <c r="E2185" s="81">
        <v>13091.36</v>
      </c>
    </row>
    <row r="2186" spans="4:5" hidden="1" outlineLevel="1" x14ac:dyDescent="0.3">
      <c r="D2186" s="80">
        <v>42920</v>
      </c>
      <c r="E2186" s="81">
        <v>13057.86</v>
      </c>
    </row>
    <row r="2187" spans="4:5" hidden="1" outlineLevel="1" x14ac:dyDescent="0.3">
      <c r="D2187" s="80">
        <v>42919</v>
      </c>
      <c r="E2187" s="81">
        <v>13060.15</v>
      </c>
    </row>
    <row r="2188" spans="4:5" hidden="1" outlineLevel="1" x14ac:dyDescent="0.3">
      <c r="D2188" s="80">
        <v>42916</v>
      </c>
      <c r="E2188" s="81">
        <v>12932.33</v>
      </c>
    </row>
    <row r="2189" spans="4:5" hidden="1" outlineLevel="1" x14ac:dyDescent="0.3">
      <c r="D2189" s="80">
        <v>42915</v>
      </c>
      <c r="E2189" s="81">
        <v>12908.13</v>
      </c>
    </row>
    <row r="2190" spans="4:5" hidden="1" outlineLevel="1" x14ac:dyDescent="0.3">
      <c r="D2190" s="80">
        <v>42914</v>
      </c>
      <c r="E2190" s="81">
        <v>12882.7</v>
      </c>
    </row>
    <row r="2191" spans="4:5" hidden="1" outlineLevel="1" x14ac:dyDescent="0.3">
      <c r="D2191" s="80">
        <v>42913</v>
      </c>
      <c r="E2191" s="81">
        <v>12910.01</v>
      </c>
    </row>
    <row r="2192" spans="4:5" hidden="1" outlineLevel="1" x14ac:dyDescent="0.3">
      <c r="D2192" s="80">
        <v>42909</v>
      </c>
      <c r="E2192" s="81">
        <v>12996.3</v>
      </c>
    </row>
    <row r="2193" spans="4:5" hidden="1" outlineLevel="1" x14ac:dyDescent="0.3">
      <c r="D2193" s="80">
        <v>42908</v>
      </c>
      <c r="E2193" s="81">
        <v>13070.98</v>
      </c>
    </row>
    <row r="2194" spans="4:5" hidden="1" outlineLevel="1" x14ac:dyDescent="0.3">
      <c r="D2194" s="80">
        <v>42907</v>
      </c>
      <c r="E2194" s="81">
        <v>13072.91</v>
      </c>
    </row>
    <row r="2195" spans="4:5" hidden="1" outlineLevel="1" x14ac:dyDescent="0.3">
      <c r="D2195" s="80">
        <v>42906</v>
      </c>
      <c r="E2195" s="81">
        <v>13072.98</v>
      </c>
    </row>
    <row r="2196" spans="4:5" hidden="1" outlineLevel="1" x14ac:dyDescent="0.3">
      <c r="D2196" s="80">
        <v>42905</v>
      </c>
      <c r="E2196" s="81">
        <v>13100.15</v>
      </c>
    </row>
    <row r="2197" spans="4:5" hidden="1" outlineLevel="1" x14ac:dyDescent="0.3">
      <c r="D2197" s="80">
        <v>42902</v>
      </c>
      <c r="E2197" s="81">
        <v>13005.86</v>
      </c>
    </row>
    <row r="2198" spans="4:5" hidden="1" outlineLevel="1" x14ac:dyDescent="0.3">
      <c r="D2198" s="80">
        <v>42901</v>
      </c>
      <c r="E2198" s="81">
        <v>12992.34</v>
      </c>
    </row>
    <row r="2199" spans="4:5" hidden="1" outlineLevel="1" x14ac:dyDescent="0.3">
      <c r="D2199" s="80">
        <v>42900</v>
      </c>
      <c r="E2199" s="81">
        <v>13045.44</v>
      </c>
    </row>
    <row r="2200" spans="4:5" hidden="1" outlineLevel="1" x14ac:dyDescent="0.3">
      <c r="D2200" s="80">
        <v>42899</v>
      </c>
      <c r="E2200" s="81">
        <v>13030.22</v>
      </c>
    </row>
    <row r="2201" spans="4:5" hidden="1" outlineLevel="1" x14ac:dyDescent="0.3">
      <c r="D2201" s="80">
        <v>42898</v>
      </c>
      <c r="E2201" s="81">
        <v>13037.83</v>
      </c>
    </row>
    <row r="2202" spans="4:5" hidden="1" outlineLevel="1" x14ac:dyDescent="0.3">
      <c r="D2202" s="80">
        <v>42895</v>
      </c>
      <c r="E2202" s="81">
        <v>13108.12</v>
      </c>
    </row>
    <row r="2203" spans="4:5" hidden="1" outlineLevel="1" x14ac:dyDescent="0.3">
      <c r="D2203" s="80">
        <v>42894</v>
      </c>
      <c r="E2203" s="81">
        <v>13079.63</v>
      </c>
    </row>
    <row r="2204" spans="4:5" hidden="1" outlineLevel="1" x14ac:dyDescent="0.3">
      <c r="D2204" s="80">
        <v>42893</v>
      </c>
      <c r="E2204" s="81">
        <v>13101.62</v>
      </c>
    </row>
    <row r="2205" spans="4:5" hidden="1" outlineLevel="1" x14ac:dyDescent="0.3">
      <c r="D2205" s="80">
        <v>42892</v>
      </c>
      <c r="E2205" s="81">
        <v>13065.33</v>
      </c>
    </row>
    <row r="2206" spans="4:5" hidden="1" outlineLevel="1" x14ac:dyDescent="0.3">
      <c r="D2206" s="80">
        <v>42891</v>
      </c>
      <c r="E2206" s="81">
        <v>13116.78</v>
      </c>
    </row>
    <row r="2207" spans="4:5" hidden="1" outlineLevel="1" x14ac:dyDescent="0.3">
      <c r="D2207" s="80">
        <v>42888</v>
      </c>
      <c r="E2207" s="81">
        <v>13072.98</v>
      </c>
    </row>
    <row r="2208" spans="4:5" hidden="1" outlineLevel="1" x14ac:dyDescent="0.3">
      <c r="D2208" s="80">
        <v>42887</v>
      </c>
      <c r="E2208" s="81">
        <v>13022.35</v>
      </c>
    </row>
    <row r="2209" spans="4:5" hidden="1" outlineLevel="1" x14ac:dyDescent="0.3">
      <c r="D2209" s="80">
        <v>42886</v>
      </c>
      <c r="E2209" s="81">
        <v>13018.69</v>
      </c>
    </row>
    <row r="2210" spans="4:5" hidden="1" outlineLevel="1" x14ac:dyDescent="0.3">
      <c r="D2210" s="80">
        <v>42885</v>
      </c>
      <c r="E2210" s="81">
        <v>13023.19</v>
      </c>
    </row>
    <row r="2211" spans="4:5" hidden="1" outlineLevel="1" x14ac:dyDescent="0.3">
      <c r="D2211" s="80">
        <v>42884</v>
      </c>
      <c r="E2211" s="81">
        <v>12996.61</v>
      </c>
    </row>
    <row r="2212" spans="4:5" hidden="1" outlineLevel="1" x14ac:dyDescent="0.3">
      <c r="D2212" s="80">
        <v>42881</v>
      </c>
      <c r="E2212" s="81">
        <v>12981.79</v>
      </c>
    </row>
    <row r="2213" spans="4:5" hidden="1" outlineLevel="1" x14ac:dyDescent="0.3">
      <c r="D2213" s="80">
        <v>42880</v>
      </c>
      <c r="E2213" s="81">
        <v>12863.38</v>
      </c>
    </row>
    <row r="2214" spans="4:5" hidden="1" outlineLevel="1" x14ac:dyDescent="0.3">
      <c r="D2214" s="80">
        <v>42879</v>
      </c>
      <c r="E2214" s="81">
        <v>12661.62</v>
      </c>
    </row>
    <row r="2215" spans="4:5" hidden="1" outlineLevel="1" x14ac:dyDescent="0.3">
      <c r="D2215" s="80">
        <v>42878</v>
      </c>
      <c r="E2215" s="81">
        <v>12695.02</v>
      </c>
    </row>
    <row r="2216" spans="4:5" hidden="1" outlineLevel="1" x14ac:dyDescent="0.3">
      <c r="D2216" s="80">
        <v>42877</v>
      </c>
      <c r="E2216" s="81">
        <v>12765.48</v>
      </c>
    </row>
    <row r="2217" spans="4:5" hidden="1" outlineLevel="1" x14ac:dyDescent="0.3">
      <c r="D2217" s="80">
        <v>42874</v>
      </c>
      <c r="E2217" s="81">
        <v>12751.43</v>
      </c>
    </row>
    <row r="2218" spans="4:5" hidden="1" outlineLevel="1" x14ac:dyDescent="0.3">
      <c r="D2218" s="80">
        <v>42873</v>
      </c>
      <c r="E2218" s="81">
        <v>12753.55</v>
      </c>
    </row>
    <row r="2219" spans="4:5" hidden="1" outlineLevel="1" x14ac:dyDescent="0.3">
      <c r="D2219" s="80">
        <v>42872</v>
      </c>
      <c r="E2219" s="81">
        <v>12883.83</v>
      </c>
    </row>
    <row r="2220" spans="4:5" hidden="1" outlineLevel="1" x14ac:dyDescent="0.3">
      <c r="D2220" s="80">
        <v>42871</v>
      </c>
      <c r="E2220" s="81">
        <v>12865.56</v>
      </c>
    </row>
    <row r="2221" spans="4:5" hidden="1" outlineLevel="1" x14ac:dyDescent="0.3">
      <c r="D2221" s="80">
        <v>42870</v>
      </c>
      <c r="E2221" s="81">
        <v>12775.11</v>
      </c>
    </row>
    <row r="2222" spans="4:5" hidden="1" outlineLevel="1" x14ac:dyDescent="0.3">
      <c r="D2222" s="80">
        <v>42867</v>
      </c>
      <c r="E2222" s="81">
        <v>12714.97</v>
      </c>
    </row>
    <row r="2223" spans="4:5" hidden="1" outlineLevel="1" x14ac:dyDescent="0.3">
      <c r="D2223" s="80">
        <v>42866</v>
      </c>
      <c r="E2223" s="81">
        <v>12743.99</v>
      </c>
    </row>
    <row r="2224" spans="4:5" hidden="1" outlineLevel="1" x14ac:dyDescent="0.3">
      <c r="D2224" s="80">
        <v>42865</v>
      </c>
      <c r="E2224" s="81">
        <v>12723.6</v>
      </c>
    </row>
    <row r="2225" spans="4:5" hidden="1" outlineLevel="1" x14ac:dyDescent="0.3">
      <c r="D2225" s="80">
        <v>42864</v>
      </c>
      <c r="E2225" s="81">
        <v>12601.23</v>
      </c>
    </row>
    <row r="2226" spans="4:5" hidden="1" outlineLevel="1" x14ac:dyDescent="0.3">
      <c r="D2226" s="80">
        <v>42863</v>
      </c>
      <c r="E2226" s="81">
        <v>12597.5</v>
      </c>
    </row>
    <row r="2227" spans="4:5" hidden="1" outlineLevel="1" x14ac:dyDescent="0.3">
      <c r="D2227" s="80">
        <v>42860</v>
      </c>
      <c r="E2227" s="81">
        <v>12558.6</v>
      </c>
    </row>
    <row r="2228" spans="4:5" hidden="1" outlineLevel="1" x14ac:dyDescent="0.3">
      <c r="D2228" s="80">
        <v>42859</v>
      </c>
      <c r="E2228" s="81">
        <v>12659.51</v>
      </c>
    </row>
    <row r="2229" spans="4:5" hidden="1" outlineLevel="1" x14ac:dyDescent="0.3">
      <c r="D2229" s="80">
        <v>42858</v>
      </c>
      <c r="E2229" s="81">
        <v>12593.58</v>
      </c>
    </row>
    <row r="2230" spans="4:5" hidden="1" outlineLevel="1" x14ac:dyDescent="0.3">
      <c r="D2230" s="80">
        <v>42857</v>
      </c>
      <c r="E2230" s="81">
        <v>12596.08</v>
      </c>
    </row>
    <row r="2231" spans="4:5" hidden="1" outlineLevel="1" x14ac:dyDescent="0.3">
      <c r="D2231" s="80">
        <v>42853</v>
      </c>
      <c r="E2231" s="81">
        <v>12582.88</v>
      </c>
    </row>
    <row r="2232" spans="4:5" hidden="1" outlineLevel="1" x14ac:dyDescent="0.3">
      <c r="D2232" s="80">
        <v>42852</v>
      </c>
      <c r="E2232" s="81">
        <v>12634.41</v>
      </c>
    </row>
    <row r="2233" spans="4:5" hidden="1" outlineLevel="1" x14ac:dyDescent="0.3">
      <c r="D2233" s="80">
        <v>42851</v>
      </c>
      <c r="E2233" s="81">
        <v>12647.53</v>
      </c>
    </row>
    <row r="2234" spans="4:5" hidden="1" outlineLevel="1" x14ac:dyDescent="0.3">
      <c r="D2234" s="80">
        <v>42850</v>
      </c>
      <c r="E2234" s="81">
        <v>12586.34</v>
      </c>
    </row>
    <row r="2235" spans="4:5" hidden="1" outlineLevel="1" x14ac:dyDescent="0.3">
      <c r="D2235" s="80">
        <v>42849</v>
      </c>
      <c r="E2235" s="81">
        <v>12466.46</v>
      </c>
    </row>
    <row r="2236" spans="4:5" hidden="1" outlineLevel="1" x14ac:dyDescent="0.3">
      <c r="D2236" s="80">
        <v>42846</v>
      </c>
      <c r="E2236" s="81">
        <v>12333.17</v>
      </c>
    </row>
    <row r="2237" spans="4:5" hidden="1" outlineLevel="1" x14ac:dyDescent="0.3">
      <c r="D2237" s="80">
        <v>42845</v>
      </c>
      <c r="E2237" s="81">
        <v>12356.2</v>
      </c>
    </row>
    <row r="2238" spans="4:5" hidden="1" outlineLevel="1" x14ac:dyDescent="0.3">
      <c r="D2238" s="80">
        <v>42844</v>
      </c>
      <c r="E2238" s="81">
        <v>12311.67</v>
      </c>
    </row>
    <row r="2239" spans="4:5" hidden="1" outlineLevel="1" x14ac:dyDescent="0.3">
      <c r="D2239" s="80">
        <v>42843</v>
      </c>
      <c r="E2239" s="81">
        <v>12313.9</v>
      </c>
    </row>
    <row r="2240" spans="4:5" hidden="1" outlineLevel="1" x14ac:dyDescent="0.3">
      <c r="D2240" s="80">
        <v>42842</v>
      </c>
      <c r="E2240" s="81">
        <v>12360.11</v>
      </c>
    </row>
    <row r="2241" spans="4:5" hidden="1" outlineLevel="1" x14ac:dyDescent="0.3">
      <c r="D2241" s="80">
        <v>42838</v>
      </c>
      <c r="E2241" s="81">
        <v>12375.68</v>
      </c>
    </row>
    <row r="2242" spans="4:5" hidden="1" outlineLevel="1" x14ac:dyDescent="0.3">
      <c r="D2242" s="80">
        <v>42837</v>
      </c>
      <c r="E2242" s="81">
        <v>12446.84</v>
      </c>
    </row>
    <row r="2243" spans="4:5" hidden="1" outlineLevel="1" x14ac:dyDescent="0.3">
      <c r="D2243" s="80">
        <v>42836</v>
      </c>
      <c r="E2243" s="81">
        <v>12492.24</v>
      </c>
    </row>
    <row r="2244" spans="4:5" hidden="1" outlineLevel="1" x14ac:dyDescent="0.3">
      <c r="D2244" s="80">
        <v>42835</v>
      </c>
      <c r="E2244" s="81">
        <v>12417.07</v>
      </c>
    </row>
    <row r="2245" spans="4:5" hidden="1" outlineLevel="1" x14ac:dyDescent="0.3">
      <c r="D2245" s="80">
        <v>42832</v>
      </c>
      <c r="E2245" s="81">
        <v>12439.9</v>
      </c>
    </row>
    <row r="2246" spans="4:5" hidden="1" outlineLevel="1" x14ac:dyDescent="0.3">
      <c r="D2246" s="80">
        <v>42831</v>
      </c>
      <c r="E2246" s="81">
        <v>12525.97</v>
      </c>
    </row>
    <row r="2247" spans="4:5" hidden="1" outlineLevel="1" x14ac:dyDescent="0.3">
      <c r="D2247" s="80">
        <v>42830</v>
      </c>
      <c r="E2247" s="81">
        <v>12530.31</v>
      </c>
    </row>
    <row r="2248" spans="4:5" hidden="1" outlineLevel="1" x14ac:dyDescent="0.3">
      <c r="D2248" s="80">
        <v>42828</v>
      </c>
      <c r="E2248" s="81">
        <v>12493.39</v>
      </c>
    </row>
    <row r="2249" spans="4:5" hidden="1" outlineLevel="1" x14ac:dyDescent="0.3">
      <c r="D2249" s="80">
        <v>42825</v>
      </c>
      <c r="E2249" s="81">
        <v>12406.69</v>
      </c>
    </row>
    <row r="2250" spans="4:5" hidden="1" outlineLevel="1" x14ac:dyDescent="0.3">
      <c r="D2250" s="80">
        <v>42824</v>
      </c>
      <c r="E2250" s="81">
        <v>12404.41</v>
      </c>
    </row>
    <row r="2251" spans="4:5" hidden="1" outlineLevel="1" x14ac:dyDescent="0.3">
      <c r="D2251" s="80">
        <v>42823</v>
      </c>
      <c r="E2251" s="81">
        <v>12363.95</v>
      </c>
    </row>
    <row r="2252" spans="4:5" hidden="1" outlineLevel="1" x14ac:dyDescent="0.3">
      <c r="D2252" s="80">
        <v>42822</v>
      </c>
      <c r="E2252" s="81">
        <v>12305.77</v>
      </c>
    </row>
    <row r="2253" spans="4:5" hidden="1" outlineLevel="1" x14ac:dyDescent="0.3">
      <c r="D2253" s="80">
        <v>42821</v>
      </c>
      <c r="E2253" s="81">
        <v>12230.63</v>
      </c>
    </row>
    <row r="2254" spans="4:5" hidden="1" outlineLevel="1" x14ac:dyDescent="0.3">
      <c r="D2254" s="80">
        <v>42818</v>
      </c>
      <c r="E2254" s="81">
        <v>12314.98</v>
      </c>
    </row>
    <row r="2255" spans="4:5" hidden="1" outlineLevel="1" x14ac:dyDescent="0.3">
      <c r="D2255" s="80">
        <v>42817</v>
      </c>
      <c r="E2255" s="81">
        <v>12283.35</v>
      </c>
    </row>
    <row r="2256" spans="4:5" hidden="1" outlineLevel="1" x14ac:dyDescent="0.3">
      <c r="D2256" s="80">
        <v>42816</v>
      </c>
      <c r="E2256" s="81">
        <v>12207.85</v>
      </c>
    </row>
    <row r="2257" spans="4:5" hidden="1" outlineLevel="1" x14ac:dyDescent="0.3">
      <c r="D2257" s="80">
        <v>42815</v>
      </c>
      <c r="E2257" s="81">
        <v>12330.92</v>
      </c>
    </row>
    <row r="2258" spans="4:5" hidden="1" outlineLevel="1" x14ac:dyDescent="0.3">
      <c r="D2258" s="80">
        <v>42814</v>
      </c>
      <c r="E2258" s="81">
        <v>12338.14</v>
      </c>
    </row>
    <row r="2259" spans="4:5" hidden="1" outlineLevel="1" x14ac:dyDescent="0.3">
      <c r="D2259" s="80">
        <v>42811</v>
      </c>
      <c r="E2259" s="81">
        <v>12383.04</v>
      </c>
    </row>
    <row r="2260" spans="4:5" hidden="1" outlineLevel="1" x14ac:dyDescent="0.3">
      <c r="D2260" s="80">
        <v>42810</v>
      </c>
      <c r="E2260" s="81">
        <v>12374.48</v>
      </c>
    </row>
    <row r="2261" spans="4:5" hidden="1" outlineLevel="1" x14ac:dyDescent="0.3">
      <c r="D2261" s="80">
        <v>42809</v>
      </c>
      <c r="E2261" s="81">
        <v>12278.23</v>
      </c>
    </row>
    <row r="2262" spans="4:5" hidden="1" outlineLevel="1" x14ac:dyDescent="0.3">
      <c r="D2262" s="80">
        <v>42808</v>
      </c>
      <c r="E2262" s="81">
        <v>12281.22</v>
      </c>
    </row>
    <row r="2263" spans="4:5" hidden="1" outlineLevel="1" x14ac:dyDescent="0.3">
      <c r="D2263" s="80">
        <v>42804</v>
      </c>
      <c r="E2263" s="81">
        <v>12066.4</v>
      </c>
    </row>
    <row r="2264" spans="4:5" hidden="1" outlineLevel="1" x14ac:dyDescent="0.3">
      <c r="D2264" s="80">
        <v>42803</v>
      </c>
      <c r="E2264" s="81">
        <v>12056.17</v>
      </c>
    </row>
    <row r="2265" spans="4:5" hidden="1" outlineLevel="1" x14ac:dyDescent="0.3">
      <c r="D2265" s="80">
        <v>42802</v>
      </c>
      <c r="E2265" s="81">
        <v>12050.77</v>
      </c>
    </row>
    <row r="2266" spans="4:5" hidden="1" outlineLevel="1" x14ac:dyDescent="0.3">
      <c r="D2266" s="80">
        <v>42801</v>
      </c>
      <c r="E2266" s="81">
        <v>12081.34</v>
      </c>
    </row>
    <row r="2267" spans="4:5" hidden="1" outlineLevel="1" x14ac:dyDescent="0.3">
      <c r="D2267" s="80">
        <v>42800</v>
      </c>
      <c r="E2267" s="81">
        <v>12103.68</v>
      </c>
    </row>
    <row r="2268" spans="4:5" hidden="1" outlineLevel="1" x14ac:dyDescent="0.3">
      <c r="D2268" s="80">
        <v>42797</v>
      </c>
      <c r="E2268" s="81">
        <v>12014.7</v>
      </c>
    </row>
    <row r="2269" spans="4:5" hidden="1" outlineLevel="1" x14ac:dyDescent="0.3">
      <c r="D2269" s="80">
        <v>42796</v>
      </c>
      <c r="E2269" s="81">
        <v>12017.63</v>
      </c>
    </row>
    <row r="2270" spans="4:5" hidden="1" outlineLevel="1" x14ac:dyDescent="0.3">
      <c r="D2270" s="80">
        <v>42795</v>
      </c>
      <c r="E2270" s="81">
        <v>12079.8</v>
      </c>
    </row>
    <row r="2271" spans="4:5" hidden="1" outlineLevel="1" x14ac:dyDescent="0.3">
      <c r="D2271" s="80">
        <v>42794</v>
      </c>
      <c r="E2271" s="81">
        <v>11990.44</v>
      </c>
    </row>
    <row r="2272" spans="4:5" hidden="1" outlineLevel="1" x14ac:dyDescent="0.3">
      <c r="D2272" s="80">
        <v>42793</v>
      </c>
      <c r="E2272" s="81">
        <v>12009.8</v>
      </c>
    </row>
    <row r="2273" spans="4:5" hidden="1" outlineLevel="1" x14ac:dyDescent="0.3">
      <c r="D2273" s="80">
        <v>42789</v>
      </c>
      <c r="E2273" s="81">
        <v>12067.61</v>
      </c>
    </row>
    <row r="2274" spans="4:5" hidden="1" outlineLevel="1" x14ac:dyDescent="0.3">
      <c r="D2274" s="80">
        <v>42788</v>
      </c>
      <c r="E2274" s="81">
        <v>12050.54</v>
      </c>
    </row>
    <row r="2275" spans="4:5" hidden="1" outlineLevel="1" x14ac:dyDescent="0.3">
      <c r="D2275" s="80">
        <v>42787</v>
      </c>
      <c r="E2275" s="81">
        <v>12024.88</v>
      </c>
    </row>
    <row r="2276" spans="4:5" hidden="1" outlineLevel="1" x14ac:dyDescent="0.3">
      <c r="D2276" s="80">
        <v>42786</v>
      </c>
      <c r="E2276" s="81">
        <v>11986.21</v>
      </c>
    </row>
    <row r="2277" spans="4:5" hidden="1" outlineLevel="1" x14ac:dyDescent="0.3">
      <c r="D2277" s="80">
        <v>42783</v>
      </c>
      <c r="E2277" s="81">
        <v>11908.56</v>
      </c>
    </row>
    <row r="2278" spans="4:5" hidden="1" outlineLevel="1" x14ac:dyDescent="0.3">
      <c r="D2278" s="80">
        <v>42782</v>
      </c>
      <c r="E2278" s="81">
        <v>11849.55</v>
      </c>
    </row>
    <row r="2279" spans="4:5" hidden="1" outlineLevel="1" x14ac:dyDescent="0.3">
      <c r="D2279" s="80">
        <v>42781</v>
      </c>
      <c r="E2279" s="81">
        <v>11776.57</v>
      </c>
    </row>
    <row r="2280" spans="4:5" hidden="1" outlineLevel="1" x14ac:dyDescent="0.3">
      <c r="D2280" s="80">
        <v>42780</v>
      </c>
      <c r="E2280" s="81">
        <v>11865.43</v>
      </c>
    </row>
    <row r="2281" spans="4:5" hidden="1" outlineLevel="1" x14ac:dyDescent="0.3">
      <c r="D2281" s="80">
        <v>42779</v>
      </c>
      <c r="E2281" s="81">
        <v>11882.38</v>
      </c>
    </row>
    <row r="2282" spans="4:5" hidden="1" outlineLevel="1" x14ac:dyDescent="0.3">
      <c r="D2282" s="80">
        <v>42776</v>
      </c>
      <c r="E2282" s="81">
        <v>11866.82</v>
      </c>
    </row>
    <row r="2283" spans="4:5" hidden="1" outlineLevel="1" x14ac:dyDescent="0.3">
      <c r="D2283" s="80">
        <v>42775</v>
      </c>
      <c r="E2283" s="81">
        <v>11846.42</v>
      </c>
    </row>
    <row r="2284" spans="4:5" hidden="1" outlineLevel="1" x14ac:dyDescent="0.3">
      <c r="D2284" s="80">
        <v>42774</v>
      </c>
      <c r="E2284" s="81">
        <v>11833.8</v>
      </c>
    </row>
    <row r="2285" spans="4:5" hidden="1" outlineLevel="1" x14ac:dyDescent="0.3">
      <c r="D2285" s="80">
        <v>42773</v>
      </c>
      <c r="E2285" s="81">
        <v>11832.78</v>
      </c>
    </row>
    <row r="2286" spans="4:5" hidden="1" outlineLevel="1" x14ac:dyDescent="0.3">
      <c r="D2286" s="80">
        <v>42772</v>
      </c>
      <c r="E2286" s="81">
        <v>11874.73</v>
      </c>
    </row>
    <row r="2287" spans="4:5" hidden="1" outlineLevel="1" x14ac:dyDescent="0.3">
      <c r="D2287" s="80">
        <v>42769</v>
      </c>
      <c r="E2287" s="81">
        <v>11793.62</v>
      </c>
    </row>
    <row r="2288" spans="4:5" hidden="1" outlineLevel="1" x14ac:dyDescent="0.3">
      <c r="D2288" s="80">
        <v>42768</v>
      </c>
      <c r="E2288" s="81">
        <v>11784.61</v>
      </c>
    </row>
    <row r="2289" spans="4:5" hidden="1" outlineLevel="1" x14ac:dyDescent="0.3">
      <c r="D2289" s="80">
        <v>42767</v>
      </c>
      <c r="E2289" s="81">
        <v>11758.63</v>
      </c>
    </row>
    <row r="2290" spans="4:5" hidden="1" outlineLevel="1" x14ac:dyDescent="0.3">
      <c r="D2290" s="80">
        <v>42766</v>
      </c>
      <c r="E2290" s="81">
        <v>11548.15</v>
      </c>
    </row>
    <row r="2291" spans="4:5" hidden="1" outlineLevel="1" x14ac:dyDescent="0.3">
      <c r="D2291" s="80">
        <v>42765</v>
      </c>
      <c r="E2291" s="81">
        <v>11644.53</v>
      </c>
    </row>
    <row r="2292" spans="4:5" hidden="1" outlineLevel="1" x14ac:dyDescent="0.3">
      <c r="D2292" s="80">
        <v>42762</v>
      </c>
      <c r="E2292" s="81">
        <v>11656</v>
      </c>
    </row>
    <row r="2293" spans="4:5" hidden="1" outlineLevel="1" x14ac:dyDescent="0.3">
      <c r="D2293" s="80">
        <v>42760</v>
      </c>
      <c r="E2293" s="81">
        <v>11604.09</v>
      </c>
    </row>
    <row r="2294" spans="4:5" hidden="1" outlineLevel="1" x14ac:dyDescent="0.3">
      <c r="D2294" s="80">
        <v>42759</v>
      </c>
      <c r="E2294" s="81">
        <v>11432.83</v>
      </c>
    </row>
    <row r="2295" spans="4:5" hidden="1" outlineLevel="1" x14ac:dyDescent="0.3">
      <c r="D2295" s="80">
        <v>42758</v>
      </c>
      <c r="E2295" s="81">
        <v>11319.09</v>
      </c>
    </row>
    <row r="2296" spans="4:5" hidden="1" outlineLevel="1" x14ac:dyDescent="0.3">
      <c r="D2296" s="80">
        <v>42755</v>
      </c>
      <c r="E2296" s="81">
        <v>11260.99</v>
      </c>
    </row>
    <row r="2297" spans="4:5" hidden="1" outlineLevel="1" x14ac:dyDescent="0.3">
      <c r="D2297" s="80">
        <v>42754</v>
      </c>
      <c r="E2297" s="81">
        <v>11376.62</v>
      </c>
    </row>
    <row r="2298" spans="4:5" hidden="1" outlineLevel="1" x14ac:dyDescent="0.3">
      <c r="D2298" s="80">
        <v>42753</v>
      </c>
      <c r="E2298" s="81">
        <v>11352.22</v>
      </c>
    </row>
    <row r="2299" spans="4:5" hidden="1" outlineLevel="1" x14ac:dyDescent="0.3">
      <c r="D2299" s="80">
        <v>42752</v>
      </c>
      <c r="E2299" s="81">
        <v>11326.62</v>
      </c>
    </row>
    <row r="2300" spans="4:5" hidden="1" outlineLevel="1" x14ac:dyDescent="0.3">
      <c r="D2300" s="80">
        <v>42751</v>
      </c>
      <c r="E2300" s="81">
        <v>11346.57</v>
      </c>
    </row>
    <row r="2301" spans="4:5" hidden="1" outlineLevel="1" x14ac:dyDescent="0.3">
      <c r="D2301" s="80">
        <v>42748</v>
      </c>
      <c r="E2301" s="81">
        <v>11329.78</v>
      </c>
    </row>
    <row r="2302" spans="4:5" hidden="1" outlineLevel="1" x14ac:dyDescent="0.3">
      <c r="D2302" s="80">
        <v>42747</v>
      </c>
      <c r="E2302" s="81">
        <v>11339.04</v>
      </c>
    </row>
    <row r="2303" spans="4:5" hidden="1" outlineLevel="1" x14ac:dyDescent="0.3">
      <c r="D2303" s="80">
        <v>42746</v>
      </c>
      <c r="E2303" s="81">
        <v>11303.19</v>
      </c>
    </row>
    <row r="2304" spans="4:5" hidden="1" outlineLevel="1" x14ac:dyDescent="0.3">
      <c r="D2304" s="80">
        <v>42745</v>
      </c>
      <c r="E2304" s="81">
        <v>11179.04</v>
      </c>
    </row>
    <row r="2305" spans="4:5" hidden="1" outlineLevel="1" x14ac:dyDescent="0.3">
      <c r="D2305" s="80">
        <v>42744</v>
      </c>
      <c r="E2305" s="81">
        <v>11108.2</v>
      </c>
    </row>
    <row r="2306" spans="4:5" hidden="1" outlineLevel="1" x14ac:dyDescent="0.3">
      <c r="D2306" s="80">
        <v>42741</v>
      </c>
      <c r="E2306" s="81">
        <v>11118.62</v>
      </c>
    </row>
    <row r="2307" spans="4:5" hidden="1" outlineLevel="1" x14ac:dyDescent="0.3">
      <c r="D2307" s="80">
        <v>42740</v>
      </c>
      <c r="E2307" s="81">
        <v>11159.12</v>
      </c>
    </row>
    <row r="2308" spans="4:5" hidden="1" outlineLevel="1" x14ac:dyDescent="0.3">
      <c r="D2308" s="80">
        <v>42739</v>
      </c>
      <c r="E2308" s="81">
        <v>11046.76</v>
      </c>
    </row>
    <row r="2309" spans="4:5" hidden="1" outlineLevel="1" x14ac:dyDescent="0.3">
      <c r="D2309" s="80">
        <v>42738</v>
      </c>
      <c r="E2309" s="81">
        <v>11049.08</v>
      </c>
    </row>
    <row r="2310" spans="4:5" hidden="1" outlineLevel="1" x14ac:dyDescent="0.3">
      <c r="D2310" s="80">
        <v>42737</v>
      </c>
      <c r="E2310" s="81">
        <v>11031.91</v>
      </c>
    </row>
    <row r="2311" spans="4:5" hidden="1" outlineLevel="1" x14ac:dyDescent="0.3">
      <c r="D2311" s="80">
        <v>42734</v>
      </c>
      <c r="E2311" s="81">
        <v>11040.41</v>
      </c>
    </row>
    <row r="2312" spans="4:5" hidden="1" outlineLevel="1" x14ac:dyDescent="0.3">
      <c r="D2312" s="80">
        <v>42733</v>
      </c>
      <c r="E2312" s="81">
        <v>10929.53</v>
      </c>
    </row>
    <row r="2313" spans="4:5" hidden="1" outlineLevel="1" x14ac:dyDescent="0.3">
      <c r="D2313" s="80">
        <v>42732</v>
      </c>
      <c r="E2313" s="81">
        <v>10836.85</v>
      </c>
    </row>
    <row r="2314" spans="4:5" hidden="1" outlineLevel="1" x14ac:dyDescent="0.3">
      <c r="D2314" s="80">
        <v>42731</v>
      </c>
      <c r="E2314" s="81">
        <v>10834.12</v>
      </c>
    </row>
    <row r="2315" spans="4:5" hidden="1" outlineLevel="1" x14ac:dyDescent="0.3">
      <c r="D2315" s="80">
        <v>42730</v>
      </c>
      <c r="E2315" s="81">
        <v>10666.06</v>
      </c>
    </row>
    <row r="2316" spans="4:5" hidden="1" outlineLevel="1" x14ac:dyDescent="0.3">
      <c r="D2316" s="80">
        <v>42727</v>
      </c>
      <c r="E2316" s="81">
        <v>10770.6</v>
      </c>
    </row>
    <row r="2317" spans="4:5" hidden="1" outlineLevel="1" x14ac:dyDescent="0.3">
      <c r="D2317" s="80">
        <v>42726</v>
      </c>
      <c r="E2317" s="81">
        <v>10761.65</v>
      </c>
    </row>
    <row r="2318" spans="4:5" hidden="1" outlineLevel="1" x14ac:dyDescent="0.3">
      <c r="D2318" s="80">
        <v>42725</v>
      </c>
      <c r="E2318" s="81">
        <v>10872.49</v>
      </c>
    </row>
    <row r="2319" spans="4:5" hidden="1" outlineLevel="1" x14ac:dyDescent="0.3">
      <c r="D2319" s="80">
        <v>42724</v>
      </c>
      <c r="E2319" s="81">
        <v>10900.96</v>
      </c>
    </row>
    <row r="2320" spans="4:5" hidden="1" outlineLevel="1" x14ac:dyDescent="0.3">
      <c r="D2320" s="80">
        <v>42723</v>
      </c>
      <c r="E2320" s="81">
        <v>10930.55</v>
      </c>
    </row>
    <row r="2321" spans="4:5" hidden="1" outlineLevel="1" x14ac:dyDescent="0.3">
      <c r="D2321" s="80">
        <v>42720</v>
      </c>
      <c r="E2321" s="81">
        <v>10977.91</v>
      </c>
    </row>
    <row r="2322" spans="4:5" hidden="1" outlineLevel="1" x14ac:dyDescent="0.3">
      <c r="D2322" s="80">
        <v>42719</v>
      </c>
      <c r="E2322" s="81">
        <v>10997.01</v>
      </c>
    </row>
    <row r="2323" spans="4:5" hidden="1" outlineLevel="1" x14ac:dyDescent="0.3">
      <c r="D2323" s="80">
        <v>42718</v>
      </c>
      <c r="E2323" s="81">
        <v>11035.88</v>
      </c>
    </row>
    <row r="2324" spans="4:5" hidden="1" outlineLevel="1" x14ac:dyDescent="0.3">
      <c r="D2324" s="80">
        <v>42717</v>
      </c>
      <c r="E2324" s="81">
        <v>11088.99</v>
      </c>
    </row>
    <row r="2325" spans="4:5" hidden="1" outlineLevel="1" x14ac:dyDescent="0.3">
      <c r="D2325" s="80">
        <v>42716</v>
      </c>
      <c r="E2325" s="81">
        <v>11020.15</v>
      </c>
    </row>
    <row r="2326" spans="4:5" hidden="1" outlineLevel="1" x14ac:dyDescent="0.3">
      <c r="D2326" s="80">
        <v>42713</v>
      </c>
      <c r="E2326" s="81">
        <v>11142.82</v>
      </c>
    </row>
    <row r="2327" spans="4:5" hidden="1" outlineLevel="1" x14ac:dyDescent="0.3">
      <c r="D2327" s="80">
        <v>42712</v>
      </c>
      <c r="E2327" s="81">
        <v>11122.75</v>
      </c>
    </row>
    <row r="2328" spans="4:5" hidden="1" outlineLevel="1" x14ac:dyDescent="0.3">
      <c r="D2328" s="80">
        <v>42711</v>
      </c>
      <c r="E2328" s="81">
        <v>10927.43</v>
      </c>
    </row>
    <row r="2329" spans="4:5" hidden="1" outlineLevel="1" x14ac:dyDescent="0.3">
      <c r="D2329" s="80">
        <v>42710</v>
      </c>
      <c r="E2329" s="81">
        <v>10982.89</v>
      </c>
    </row>
    <row r="2330" spans="4:5" hidden="1" outlineLevel="1" x14ac:dyDescent="0.3">
      <c r="D2330" s="80">
        <v>42709</v>
      </c>
      <c r="E2330" s="81">
        <v>10963.49</v>
      </c>
    </row>
    <row r="2331" spans="4:5" hidden="1" outlineLevel="1" x14ac:dyDescent="0.3">
      <c r="D2331" s="80">
        <v>42706</v>
      </c>
      <c r="E2331" s="81">
        <v>10906.86</v>
      </c>
    </row>
    <row r="2332" spans="4:5" hidden="1" outlineLevel="1" x14ac:dyDescent="0.3">
      <c r="D2332" s="80">
        <v>42705</v>
      </c>
      <c r="E2332" s="81">
        <v>11050</v>
      </c>
    </row>
    <row r="2333" spans="4:5" hidden="1" outlineLevel="1" x14ac:dyDescent="0.3">
      <c r="D2333" s="80">
        <v>42704</v>
      </c>
      <c r="E2333" s="81">
        <v>11092.59</v>
      </c>
    </row>
    <row r="2334" spans="4:5" hidden="1" outlineLevel="1" x14ac:dyDescent="0.3">
      <c r="D2334" s="80">
        <v>42703</v>
      </c>
      <c r="E2334" s="81">
        <v>10981.54</v>
      </c>
    </row>
    <row r="2335" spans="4:5" hidden="1" outlineLevel="1" x14ac:dyDescent="0.3">
      <c r="D2335" s="80">
        <v>42702</v>
      </c>
      <c r="E2335" s="81">
        <v>10960.97</v>
      </c>
    </row>
    <row r="2336" spans="4:5" hidden="1" outlineLevel="1" x14ac:dyDescent="0.3">
      <c r="D2336" s="80">
        <v>42699</v>
      </c>
      <c r="E2336" s="81">
        <v>10943.99</v>
      </c>
    </row>
    <row r="2337" spans="4:5" hidden="1" outlineLevel="1" x14ac:dyDescent="0.3">
      <c r="D2337" s="80">
        <v>42698</v>
      </c>
      <c r="E2337" s="81">
        <v>10743.28</v>
      </c>
    </row>
    <row r="2338" spans="4:5" hidden="1" outlineLevel="1" x14ac:dyDescent="0.3">
      <c r="D2338" s="80">
        <v>42697</v>
      </c>
      <c r="E2338" s="81">
        <v>10834.59</v>
      </c>
    </row>
    <row r="2339" spans="4:5" hidden="1" outlineLevel="1" x14ac:dyDescent="0.3">
      <c r="D2339" s="80">
        <v>42696</v>
      </c>
      <c r="E2339" s="81">
        <v>10792.82</v>
      </c>
    </row>
    <row r="2340" spans="4:5" hidden="1" outlineLevel="1" x14ac:dyDescent="0.3">
      <c r="D2340" s="80">
        <v>42695</v>
      </c>
      <c r="E2340" s="81">
        <v>10694.09</v>
      </c>
    </row>
    <row r="2341" spans="4:5" hidden="1" outlineLevel="1" x14ac:dyDescent="0.3">
      <c r="D2341" s="80">
        <v>42692</v>
      </c>
      <c r="E2341" s="81">
        <v>10889.64</v>
      </c>
    </row>
    <row r="2342" spans="4:5" hidden="1" outlineLevel="1" x14ac:dyDescent="0.3">
      <c r="D2342" s="80">
        <v>42691</v>
      </c>
      <c r="E2342" s="81">
        <v>10897.55</v>
      </c>
    </row>
    <row r="2343" spans="4:5" hidden="1" outlineLevel="1" x14ac:dyDescent="0.3">
      <c r="D2343" s="80">
        <v>42690</v>
      </c>
      <c r="E2343" s="81">
        <v>10940.23</v>
      </c>
    </row>
    <row r="2344" spans="4:5" hidden="1" outlineLevel="1" x14ac:dyDescent="0.3">
      <c r="D2344" s="80">
        <v>42689</v>
      </c>
      <c r="E2344" s="81">
        <v>10935.99</v>
      </c>
    </row>
    <row r="2345" spans="4:5" hidden="1" outlineLevel="1" x14ac:dyDescent="0.3">
      <c r="D2345" s="80">
        <v>42685</v>
      </c>
      <c r="E2345" s="81">
        <v>11189.3</v>
      </c>
    </row>
    <row r="2346" spans="4:5" hidden="1" outlineLevel="1" x14ac:dyDescent="0.3">
      <c r="D2346" s="80">
        <v>42684</v>
      </c>
      <c r="E2346" s="81">
        <v>11498.79</v>
      </c>
    </row>
    <row r="2347" spans="4:5" hidden="1" outlineLevel="1" x14ac:dyDescent="0.3">
      <c r="D2347" s="80">
        <v>42683</v>
      </c>
      <c r="E2347" s="81">
        <v>11372.35</v>
      </c>
    </row>
    <row r="2348" spans="4:5" hidden="1" outlineLevel="1" x14ac:dyDescent="0.3">
      <c r="D2348" s="80">
        <v>42682</v>
      </c>
      <c r="E2348" s="81">
        <v>11522.76</v>
      </c>
    </row>
    <row r="2349" spans="4:5" hidden="1" outlineLevel="1" x14ac:dyDescent="0.3">
      <c r="D2349" s="80">
        <v>42681</v>
      </c>
      <c r="E2349" s="81">
        <v>11460.08</v>
      </c>
    </row>
    <row r="2350" spans="4:5" hidden="1" outlineLevel="1" x14ac:dyDescent="0.3">
      <c r="D2350" s="80">
        <v>42678</v>
      </c>
      <c r="E2350" s="81">
        <v>11374.71</v>
      </c>
    </row>
    <row r="2351" spans="4:5" hidden="1" outlineLevel="1" x14ac:dyDescent="0.3">
      <c r="D2351" s="80">
        <v>42677</v>
      </c>
      <c r="E2351" s="81">
        <v>11443.72</v>
      </c>
    </row>
    <row r="2352" spans="4:5" hidden="1" outlineLevel="1" x14ac:dyDescent="0.3">
      <c r="D2352" s="80">
        <v>42676</v>
      </c>
      <c r="E2352" s="81">
        <v>11479.94</v>
      </c>
    </row>
    <row r="2353" spans="4:5" hidden="1" outlineLevel="1" x14ac:dyDescent="0.3">
      <c r="D2353" s="80">
        <v>42675</v>
      </c>
      <c r="E2353" s="81">
        <v>11631.33</v>
      </c>
    </row>
    <row r="2354" spans="4:5" hidden="1" outlineLevel="1" x14ac:dyDescent="0.3">
      <c r="D2354" s="80">
        <v>42673</v>
      </c>
      <c r="E2354" s="81">
        <v>11628.32</v>
      </c>
    </row>
    <row r="2355" spans="4:5" hidden="1" outlineLevel="1" x14ac:dyDescent="0.3">
      <c r="D2355" s="80">
        <v>42671</v>
      </c>
      <c r="E2355" s="81">
        <v>11644.89</v>
      </c>
    </row>
    <row r="2356" spans="4:5" hidden="1" outlineLevel="1" x14ac:dyDescent="0.3">
      <c r="D2356" s="80">
        <v>42670</v>
      </c>
      <c r="E2356" s="81">
        <v>11614.18</v>
      </c>
    </row>
    <row r="2357" spans="4:5" hidden="1" outlineLevel="1" x14ac:dyDescent="0.3">
      <c r="D2357" s="80">
        <v>42669</v>
      </c>
      <c r="E2357" s="81">
        <v>11612.99</v>
      </c>
    </row>
    <row r="2358" spans="4:5" hidden="1" outlineLevel="1" x14ac:dyDescent="0.3">
      <c r="D2358" s="80">
        <v>42668</v>
      </c>
      <c r="E2358" s="81">
        <v>11715.45</v>
      </c>
    </row>
    <row r="2359" spans="4:5" hidden="1" outlineLevel="1" x14ac:dyDescent="0.3">
      <c r="D2359" s="80">
        <v>42667</v>
      </c>
      <c r="E2359" s="81">
        <v>11739.24</v>
      </c>
    </row>
    <row r="2360" spans="4:5" hidden="1" outlineLevel="1" x14ac:dyDescent="0.3">
      <c r="D2360" s="80">
        <v>42664</v>
      </c>
      <c r="E2360" s="81">
        <v>11716.57</v>
      </c>
    </row>
    <row r="2361" spans="4:5" hidden="1" outlineLevel="1" x14ac:dyDescent="0.3">
      <c r="D2361" s="80">
        <v>42663</v>
      </c>
      <c r="E2361" s="81">
        <v>11717.04</v>
      </c>
    </row>
    <row r="2362" spans="4:5" hidden="1" outlineLevel="1" x14ac:dyDescent="0.3">
      <c r="D2362" s="80">
        <v>42662</v>
      </c>
      <c r="E2362" s="81">
        <v>11662.81</v>
      </c>
    </row>
    <row r="2363" spans="4:5" hidden="1" outlineLevel="1" x14ac:dyDescent="0.3">
      <c r="D2363" s="80">
        <v>42661</v>
      </c>
      <c r="E2363" s="81">
        <v>11688.13</v>
      </c>
    </row>
    <row r="2364" spans="4:5" hidden="1" outlineLevel="1" x14ac:dyDescent="0.3">
      <c r="D2364" s="80">
        <v>42660</v>
      </c>
      <c r="E2364" s="81">
        <v>11475.97</v>
      </c>
    </row>
    <row r="2365" spans="4:5" hidden="1" outlineLevel="1" x14ac:dyDescent="0.3">
      <c r="D2365" s="80">
        <v>42657</v>
      </c>
      <c r="E2365" s="81">
        <v>11560.81</v>
      </c>
    </row>
    <row r="2366" spans="4:5" hidden="1" outlineLevel="1" x14ac:dyDescent="0.3">
      <c r="D2366" s="80">
        <v>42656</v>
      </c>
      <c r="E2366" s="81">
        <v>11547.3</v>
      </c>
    </row>
    <row r="2367" spans="4:5" hidden="1" outlineLevel="1" x14ac:dyDescent="0.3">
      <c r="D2367" s="80">
        <v>42653</v>
      </c>
      <c r="E2367" s="81">
        <v>11729.75</v>
      </c>
    </row>
    <row r="2368" spans="4:5" hidden="1" outlineLevel="1" x14ac:dyDescent="0.3">
      <c r="D2368" s="80">
        <v>42650</v>
      </c>
      <c r="E2368" s="81">
        <v>11714.65</v>
      </c>
    </row>
    <row r="2369" spans="4:5" hidden="1" outlineLevel="1" x14ac:dyDescent="0.3">
      <c r="D2369" s="80">
        <v>42649</v>
      </c>
      <c r="E2369" s="81">
        <v>11730.75</v>
      </c>
    </row>
    <row r="2370" spans="4:5" hidden="1" outlineLevel="1" x14ac:dyDescent="0.3">
      <c r="D2370" s="80">
        <v>42648</v>
      </c>
      <c r="E2370" s="81">
        <v>11777.1</v>
      </c>
    </row>
    <row r="2371" spans="4:5" hidden="1" outlineLevel="1" x14ac:dyDescent="0.3">
      <c r="D2371" s="80">
        <v>42647</v>
      </c>
      <c r="E2371" s="81">
        <v>11811.04</v>
      </c>
    </row>
    <row r="2372" spans="4:5" hidden="1" outlineLevel="1" x14ac:dyDescent="0.3">
      <c r="D2372" s="80">
        <v>42646</v>
      </c>
      <c r="E2372" s="81">
        <v>11769.16</v>
      </c>
    </row>
    <row r="2373" spans="4:5" hidden="1" outlineLevel="1" x14ac:dyDescent="0.3">
      <c r="D2373" s="80">
        <v>42643</v>
      </c>
      <c r="E2373" s="81">
        <v>11598.22</v>
      </c>
    </row>
    <row r="2374" spans="4:5" hidden="1" outlineLevel="1" x14ac:dyDescent="0.3">
      <c r="D2374" s="80">
        <v>42642</v>
      </c>
      <c r="E2374" s="81">
        <v>11571.4</v>
      </c>
    </row>
    <row r="2375" spans="4:5" hidden="1" outlineLevel="1" x14ac:dyDescent="0.3">
      <c r="D2375" s="80">
        <v>42641</v>
      </c>
      <c r="E2375" s="81">
        <v>11778.71</v>
      </c>
    </row>
    <row r="2376" spans="4:5" hidden="1" outlineLevel="1" x14ac:dyDescent="0.3">
      <c r="D2376" s="80">
        <v>42640</v>
      </c>
      <c r="E2376" s="81">
        <v>11726.49</v>
      </c>
    </row>
    <row r="2377" spans="4:5" hidden="1" outlineLevel="1" x14ac:dyDescent="0.3">
      <c r="D2377" s="80">
        <v>42639</v>
      </c>
      <c r="E2377" s="81">
        <v>11748.91</v>
      </c>
    </row>
    <row r="2378" spans="4:5" hidden="1" outlineLevel="1" x14ac:dyDescent="0.3">
      <c r="D2378" s="80">
        <v>42636</v>
      </c>
      <c r="E2378" s="81">
        <v>11895.07</v>
      </c>
    </row>
    <row r="2379" spans="4:5" hidden="1" outlineLevel="1" x14ac:dyDescent="0.3">
      <c r="D2379" s="80">
        <v>42635</v>
      </c>
      <c r="E2379" s="81">
        <v>11943.44</v>
      </c>
    </row>
    <row r="2380" spans="4:5" hidden="1" outlineLevel="1" x14ac:dyDescent="0.3">
      <c r="D2380" s="80">
        <v>42634</v>
      </c>
      <c r="E2380" s="81">
        <v>11821.52</v>
      </c>
    </row>
    <row r="2381" spans="4:5" hidden="1" outlineLevel="1" x14ac:dyDescent="0.3">
      <c r="D2381" s="80">
        <v>42633</v>
      </c>
      <c r="E2381" s="81">
        <v>11819.83</v>
      </c>
    </row>
    <row r="2382" spans="4:5" hidden="1" outlineLevel="1" x14ac:dyDescent="0.3">
      <c r="D2382" s="80">
        <v>42632</v>
      </c>
      <c r="E2382" s="81">
        <v>11863.61</v>
      </c>
    </row>
    <row r="2383" spans="4:5" hidden="1" outlineLevel="1" x14ac:dyDescent="0.3">
      <c r="D2383" s="80">
        <v>42629</v>
      </c>
      <c r="E2383" s="81">
        <v>11825.12</v>
      </c>
    </row>
    <row r="2384" spans="4:5" hidden="1" outlineLevel="1" x14ac:dyDescent="0.3">
      <c r="D2384" s="80">
        <v>42628</v>
      </c>
      <c r="E2384" s="81">
        <v>11774.9</v>
      </c>
    </row>
    <row r="2385" spans="4:5" hidden="1" outlineLevel="1" x14ac:dyDescent="0.3">
      <c r="D2385" s="80">
        <v>42627</v>
      </c>
      <c r="E2385" s="81">
        <v>11751.93</v>
      </c>
    </row>
    <row r="2386" spans="4:5" hidden="1" outlineLevel="1" x14ac:dyDescent="0.3">
      <c r="D2386" s="80">
        <v>42625</v>
      </c>
      <c r="E2386" s="81">
        <v>11737</v>
      </c>
    </row>
    <row r="2387" spans="4:5" hidden="1" outlineLevel="1" x14ac:dyDescent="0.3">
      <c r="D2387" s="80">
        <v>42622</v>
      </c>
      <c r="E2387" s="81">
        <v>11940.12</v>
      </c>
    </row>
    <row r="2388" spans="4:5" hidden="1" outlineLevel="1" x14ac:dyDescent="0.3">
      <c r="D2388" s="80">
        <v>42621</v>
      </c>
      <c r="E2388" s="81">
        <v>12055.6</v>
      </c>
    </row>
    <row r="2389" spans="4:5" hidden="1" outlineLevel="1" x14ac:dyDescent="0.3">
      <c r="D2389" s="80">
        <v>42620</v>
      </c>
      <c r="E2389" s="81">
        <v>12005.43</v>
      </c>
    </row>
    <row r="2390" spans="4:5" hidden="1" outlineLevel="1" x14ac:dyDescent="0.3">
      <c r="D2390" s="80">
        <v>42619</v>
      </c>
      <c r="E2390" s="81">
        <v>12037.72</v>
      </c>
    </row>
    <row r="2391" spans="4:5" hidden="1" outlineLevel="1" x14ac:dyDescent="0.3">
      <c r="D2391" s="80">
        <v>42615</v>
      </c>
      <c r="E2391" s="81">
        <v>11857.76</v>
      </c>
    </row>
    <row r="2392" spans="4:5" hidden="1" outlineLevel="1" x14ac:dyDescent="0.3">
      <c r="D2392" s="80">
        <v>42614</v>
      </c>
      <c r="E2392" s="81">
        <v>11810.69</v>
      </c>
    </row>
    <row r="2393" spans="4:5" hidden="1" outlineLevel="1" x14ac:dyDescent="0.3">
      <c r="D2393" s="80">
        <v>42613</v>
      </c>
      <c r="E2393" s="81">
        <v>11826.19</v>
      </c>
    </row>
    <row r="2394" spans="4:5" hidden="1" outlineLevel="1" x14ac:dyDescent="0.3">
      <c r="D2394" s="80">
        <v>42612</v>
      </c>
      <c r="E2394" s="81">
        <v>11766.04</v>
      </c>
    </row>
    <row r="2395" spans="4:5" hidden="1" outlineLevel="1" x14ac:dyDescent="0.3">
      <c r="D2395" s="80">
        <v>42611</v>
      </c>
      <c r="E2395" s="81">
        <v>11581.83</v>
      </c>
    </row>
    <row r="2396" spans="4:5" hidden="1" outlineLevel="1" x14ac:dyDescent="0.3">
      <c r="D2396" s="80">
        <v>42608</v>
      </c>
      <c r="E2396" s="81">
        <v>11534.92</v>
      </c>
    </row>
    <row r="2397" spans="4:5" hidden="1" outlineLevel="1" x14ac:dyDescent="0.3">
      <c r="D2397" s="80">
        <v>42607</v>
      </c>
      <c r="E2397" s="81">
        <v>11561.34</v>
      </c>
    </row>
    <row r="2398" spans="4:5" hidden="1" outlineLevel="1" x14ac:dyDescent="0.3">
      <c r="D2398" s="80">
        <v>42606</v>
      </c>
      <c r="E2398" s="81">
        <v>11639.48</v>
      </c>
    </row>
    <row r="2399" spans="4:5" hidden="1" outlineLevel="1" x14ac:dyDescent="0.3">
      <c r="D2399" s="80">
        <v>42605</v>
      </c>
      <c r="E2399" s="81">
        <v>11615.7</v>
      </c>
    </row>
    <row r="2400" spans="4:5" hidden="1" outlineLevel="1" x14ac:dyDescent="0.3">
      <c r="D2400" s="80">
        <v>42604</v>
      </c>
      <c r="E2400" s="81">
        <v>11611.02</v>
      </c>
    </row>
    <row r="2401" spans="4:5" hidden="1" outlineLevel="1" x14ac:dyDescent="0.3">
      <c r="D2401" s="80">
        <v>42601</v>
      </c>
      <c r="E2401" s="81">
        <v>11661.82</v>
      </c>
    </row>
    <row r="2402" spans="4:5" hidden="1" outlineLevel="1" x14ac:dyDescent="0.3">
      <c r="D2402" s="80">
        <v>42600</v>
      </c>
      <c r="E2402" s="81">
        <v>11670.37</v>
      </c>
    </row>
    <row r="2403" spans="4:5" hidden="1" outlineLevel="1" x14ac:dyDescent="0.3">
      <c r="D2403" s="80">
        <v>42599</v>
      </c>
      <c r="E2403" s="81">
        <v>11598.72</v>
      </c>
    </row>
    <row r="2404" spans="4:5" hidden="1" outlineLevel="1" x14ac:dyDescent="0.3">
      <c r="D2404" s="80">
        <v>42598</v>
      </c>
      <c r="E2404" s="81">
        <v>11623.61</v>
      </c>
    </row>
    <row r="2405" spans="4:5" hidden="1" outlineLevel="1" x14ac:dyDescent="0.3">
      <c r="D2405" s="80">
        <v>42594</v>
      </c>
      <c r="E2405" s="81">
        <v>11663.43</v>
      </c>
    </row>
    <row r="2406" spans="4:5" hidden="1" outlineLevel="1" x14ac:dyDescent="0.3">
      <c r="D2406" s="80">
        <v>42593</v>
      </c>
      <c r="E2406" s="81">
        <v>11555.84</v>
      </c>
    </row>
    <row r="2407" spans="4:5" hidden="1" outlineLevel="1" x14ac:dyDescent="0.3">
      <c r="D2407" s="80">
        <v>42592</v>
      </c>
      <c r="E2407" s="81">
        <v>11532.49</v>
      </c>
    </row>
    <row r="2408" spans="4:5" hidden="1" outlineLevel="1" x14ac:dyDescent="0.3">
      <c r="D2408" s="80">
        <v>42591</v>
      </c>
      <c r="E2408" s="81">
        <v>11669.7</v>
      </c>
    </row>
    <row r="2409" spans="4:5" hidden="1" outlineLevel="1" x14ac:dyDescent="0.3">
      <c r="D2409" s="80">
        <v>42590</v>
      </c>
      <c r="E2409" s="81">
        <v>11713.58</v>
      </c>
    </row>
    <row r="2410" spans="4:5" hidden="1" outlineLevel="1" x14ac:dyDescent="0.3">
      <c r="D2410" s="80">
        <v>42587</v>
      </c>
      <c r="E2410" s="81">
        <v>11675.68</v>
      </c>
    </row>
    <row r="2411" spans="4:5" hidden="1" outlineLevel="1" x14ac:dyDescent="0.3">
      <c r="D2411" s="80">
        <v>42586</v>
      </c>
      <c r="E2411" s="81">
        <v>11498.13</v>
      </c>
    </row>
    <row r="2412" spans="4:5" hidden="1" outlineLevel="1" x14ac:dyDescent="0.3">
      <c r="D2412" s="80">
        <v>42585</v>
      </c>
      <c r="E2412" s="81">
        <v>11489.74</v>
      </c>
    </row>
    <row r="2413" spans="4:5" hidden="1" outlineLevel="1" x14ac:dyDescent="0.3">
      <c r="D2413" s="80">
        <v>42584</v>
      </c>
      <c r="E2413" s="81">
        <v>11594.65</v>
      </c>
    </row>
    <row r="2414" spans="4:5" hidden="1" outlineLevel="1" x14ac:dyDescent="0.3">
      <c r="D2414" s="80">
        <v>42583</v>
      </c>
      <c r="E2414" s="81">
        <v>11612.19</v>
      </c>
    </row>
    <row r="2415" spans="4:5" hidden="1" outlineLevel="1" x14ac:dyDescent="0.3">
      <c r="D2415" s="80">
        <v>42580</v>
      </c>
      <c r="E2415" s="81">
        <v>11614.8</v>
      </c>
    </row>
    <row r="2416" spans="4:5" hidden="1" outlineLevel="1" x14ac:dyDescent="0.3">
      <c r="D2416" s="80">
        <v>42579</v>
      </c>
      <c r="E2416" s="81">
        <v>11652.18</v>
      </c>
    </row>
    <row r="2417" spans="4:5" hidden="1" outlineLevel="1" x14ac:dyDescent="0.3">
      <c r="D2417" s="80">
        <v>42578</v>
      </c>
      <c r="E2417" s="81">
        <v>11579.64</v>
      </c>
    </row>
    <row r="2418" spans="4:5" hidden="1" outlineLevel="1" x14ac:dyDescent="0.3">
      <c r="D2418" s="80">
        <v>42577</v>
      </c>
      <c r="E2418" s="81">
        <v>11545.78</v>
      </c>
    </row>
    <row r="2419" spans="4:5" hidden="1" outlineLevel="1" x14ac:dyDescent="0.3">
      <c r="D2419" s="80">
        <v>42576</v>
      </c>
      <c r="E2419" s="81">
        <v>11606.29</v>
      </c>
    </row>
    <row r="2420" spans="4:5" hidden="1" outlineLevel="1" x14ac:dyDescent="0.3">
      <c r="D2420" s="80">
        <v>42573</v>
      </c>
      <c r="E2420" s="81">
        <v>11477.47</v>
      </c>
    </row>
    <row r="2421" spans="4:5" hidden="1" outlineLevel="1" x14ac:dyDescent="0.3">
      <c r="D2421" s="80">
        <v>42572</v>
      </c>
      <c r="E2421" s="81">
        <v>11435.64</v>
      </c>
    </row>
    <row r="2422" spans="4:5" hidden="1" outlineLevel="1" x14ac:dyDescent="0.3">
      <c r="D2422" s="80">
        <v>42571</v>
      </c>
      <c r="E2422" s="81">
        <v>11508.07</v>
      </c>
    </row>
    <row r="2423" spans="4:5" hidden="1" outlineLevel="1" x14ac:dyDescent="0.3">
      <c r="D2423" s="80">
        <v>42570</v>
      </c>
      <c r="E2423" s="81">
        <v>11457.95</v>
      </c>
    </row>
    <row r="2424" spans="4:5" hidden="1" outlineLevel="1" x14ac:dyDescent="0.3">
      <c r="D2424" s="80">
        <v>42569</v>
      </c>
      <c r="E2424" s="81">
        <v>11431.25</v>
      </c>
    </row>
    <row r="2425" spans="4:5" hidden="1" outlineLevel="1" x14ac:dyDescent="0.3">
      <c r="D2425" s="80">
        <v>42566</v>
      </c>
      <c r="E2425" s="81">
        <v>11474.04</v>
      </c>
    </row>
    <row r="2426" spans="4:5" hidden="1" outlineLevel="1" x14ac:dyDescent="0.3">
      <c r="D2426" s="80">
        <v>42565</v>
      </c>
      <c r="E2426" s="81">
        <v>11497.65</v>
      </c>
    </row>
    <row r="2427" spans="4:5" hidden="1" outlineLevel="1" x14ac:dyDescent="0.3">
      <c r="D2427" s="80">
        <v>42564</v>
      </c>
      <c r="E2427" s="81">
        <v>11436.09</v>
      </c>
    </row>
    <row r="2428" spans="4:5" hidden="1" outlineLevel="1" x14ac:dyDescent="0.3">
      <c r="D2428" s="80">
        <v>42563</v>
      </c>
      <c r="E2428" s="81">
        <v>11438.19</v>
      </c>
    </row>
    <row r="2429" spans="4:5" hidden="1" outlineLevel="1" x14ac:dyDescent="0.3">
      <c r="D2429" s="80">
        <v>42562</v>
      </c>
      <c r="E2429" s="81">
        <v>11366.82</v>
      </c>
    </row>
    <row r="2430" spans="4:5" hidden="1" outlineLevel="1" x14ac:dyDescent="0.3">
      <c r="D2430" s="80">
        <v>42559</v>
      </c>
      <c r="E2430" s="81">
        <v>11172.39</v>
      </c>
    </row>
    <row r="2431" spans="4:5" hidden="1" outlineLevel="1" x14ac:dyDescent="0.3">
      <c r="D2431" s="80">
        <v>42558</v>
      </c>
      <c r="E2431" s="81">
        <v>11192.11</v>
      </c>
    </row>
    <row r="2432" spans="4:5" hidden="1" outlineLevel="1" x14ac:dyDescent="0.3">
      <c r="D2432" s="80">
        <v>42556</v>
      </c>
      <c r="E2432" s="81">
        <v>11186.41</v>
      </c>
    </row>
    <row r="2433" spans="4:5" hidden="1" outlineLevel="1" x14ac:dyDescent="0.3">
      <c r="D2433" s="80">
        <v>42555</v>
      </c>
      <c r="E2433" s="81">
        <v>11233.09</v>
      </c>
    </row>
    <row r="2434" spans="4:5" hidden="1" outlineLevel="1" x14ac:dyDescent="0.3">
      <c r="D2434" s="80">
        <v>42552</v>
      </c>
      <c r="E2434" s="81">
        <v>11175.85</v>
      </c>
    </row>
    <row r="2435" spans="4:5" hidden="1" outlineLevel="1" x14ac:dyDescent="0.3">
      <c r="D2435" s="80">
        <v>42551</v>
      </c>
      <c r="E2435" s="81">
        <v>11121.39</v>
      </c>
    </row>
    <row r="2436" spans="4:5" hidden="1" outlineLevel="1" x14ac:dyDescent="0.3">
      <c r="D2436" s="80">
        <v>42550</v>
      </c>
      <c r="E2436" s="81">
        <v>11009.02</v>
      </c>
    </row>
    <row r="2437" spans="4:5" hidden="1" outlineLevel="1" x14ac:dyDescent="0.3">
      <c r="D2437" s="80">
        <v>42549</v>
      </c>
      <c r="E2437" s="81">
        <v>10899.91</v>
      </c>
    </row>
    <row r="2438" spans="4:5" hidden="1" outlineLevel="1" x14ac:dyDescent="0.3">
      <c r="D2438" s="80">
        <v>42548</v>
      </c>
      <c r="E2438" s="81">
        <v>10855.5</v>
      </c>
    </row>
    <row r="2439" spans="4:5" hidden="1" outlineLevel="1" x14ac:dyDescent="0.3">
      <c r="D2439" s="80">
        <v>42545</v>
      </c>
      <c r="E2439" s="81">
        <v>10847.29</v>
      </c>
    </row>
    <row r="2440" spans="4:5" hidden="1" outlineLevel="1" x14ac:dyDescent="0.3">
      <c r="D2440" s="80">
        <v>42544</v>
      </c>
      <c r="E2440" s="81">
        <v>11091.16</v>
      </c>
    </row>
    <row r="2441" spans="4:5" hidden="1" outlineLevel="1" x14ac:dyDescent="0.3">
      <c r="D2441" s="80">
        <v>42543</v>
      </c>
      <c r="E2441" s="81">
        <v>11000.82</v>
      </c>
    </row>
    <row r="2442" spans="4:5" hidden="1" outlineLevel="1" x14ac:dyDescent="0.3">
      <c r="D2442" s="80">
        <v>42542</v>
      </c>
      <c r="E2442" s="81">
        <v>11020.11</v>
      </c>
    </row>
    <row r="2443" spans="4:5" hidden="1" outlineLevel="1" x14ac:dyDescent="0.3">
      <c r="D2443" s="80">
        <v>42541</v>
      </c>
      <c r="E2443" s="81">
        <v>11045.03</v>
      </c>
    </row>
    <row r="2444" spans="4:5" hidden="1" outlineLevel="1" x14ac:dyDescent="0.3">
      <c r="D2444" s="80">
        <v>42538</v>
      </c>
      <c r="E2444" s="81">
        <v>10953.44</v>
      </c>
    </row>
    <row r="2445" spans="4:5" hidden="1" outlineLevel="1" x14ac:dyDescent="0.3">
      <c r="D2445" s="80">
        <v>42537</v>
      </c>
      <c r="E2445" s="81">
        <v>10913.97</v>
      </c>
    </row>
    <row r="2446" spans="4:5" hidden="1" outlineLevel="1" x14ac:dyDescent="0.3">
      <c r="D2446" s="80">
        <v>42536</v>
      </c>
      <c r="E2446" s="81">
        <v>10990.64</v>
      </c>
    </row>
    <row r="2447" spans="4:5" hidden="1" outlineLevel="1" x14ac:dyDescent="0.3">
      <c r="D2447" s="80">
        <v>42535</v>
      </c>
      <c r="E2447" s="81">
        <v>10859.76</v>
      </c>
    </row>
    <row r="2448" spans="4:5" hidden="1" outlineLevel="1" x14ac:dyDescent="0.3">
      <c r="D2448" s="80">
        <v>42534</v>
      </c>
      <c r="E2448" s="81">
        <v>10862.06</v>
      </c>
    </row>
    <row r="2449" spans="4:5" hidden="1" outlineLevel="1" x14ac:dyDescent="0.3">
      <c r="D2449" s="80">
        <v>42531</v>
      </c>
      <c r="E2449" s="81">
        <v>10941.7</v>
      </c>
    </row>
    <row r="2450" spans="4:5" hidden="1" outlineLevel="1" x14ac:dyDescent="0.3">
      <c r="D2450" s="80">
        <v>42530</v>
      </c>
      <c r="E2450" s="81">
        <v>10986.64</v>
      </c>
    </row>
    <row r="2451" spans="4:5" hidden="1" outlineLevel="1" x14ac:dyDescent="0.3">
      <c r="D2451" s="80">
        <v>42529</v>
      </c>
      <c r="E2451" s="81">
        <v>11068.75</v>
      </c>
    </row>
    <row r="2452" spans="4:5" hidden="1" outlineLevel="1" x14ac:dyDescent="0.3">
      <c r="D2452" s="80">
        <v>42528</v>
      </c>
      <c r="E2452" s="81">
        <v>11059.93</v>
      </c>
    </row>
    <row r="2453" spans="4:5" hidden="1" outlineLevel="1" x14ac:dyDescent="0.3">
      <c r="D2453" s="80">
        <v>42527</v>
      </c>
      <c r="E2453" s="81">
        <v>10972.45</v>
      </c>
    </row>
    <row r="2454" spans="4:5" hidden="1" outlineLevel="1" x14ac:dyDescent="0.3">
      <c r="D2454" s="80">
        <v>42524</v>
      </c>
      <c r="E2454" s="81">
        <v>10992.21</v>
      </c>
    </row>
    <row r="2455" spans="4:5" hidden="1" outlineLevel="1" x14ac:dyDescent="0.3">
      <c r="D2455" s="80">
        <v>42523</v>
      </c>
      <c r="E2455" s="81">
        <v>10986.77</v>
      </c>
    </row>
    <row r="2456" spans="4:5" hidden="1" outlineLevel="1" x14ac:dyDescent="0.3">
      <c r="D2456" s="80">
        <v>42522</v>
      </c>
      <c r="E2456" s="81">
        <v>10934.62</v>
      </c>
    </row>
    <row r="2457" spans="4:5" hidden="1" outlineLevel="1" x14ac:dyDescent="0.3">
      <c r="D2457" s="80">
        <v>42521</v>
      </c>
      <c r="E2457" s="81">
        <v>10908.07</v>
      </c>
    </row>
    <row r="2458" spans="4:5" hidden="1" outlineLevel="1" x14ac:dyDescent="0.3">
      <c r="D2458" s="80">
        <v>42520</v>
      </c>
      <c r="E2458" s="81">
        <v>10932.7</v>
      </c>
    </row>
    <row r="2459" spans="4:5" hidden="1" outlineLevel="1" x14ac:dyDescent="0.3">
      <c r="D2459" s="80">
        <v>42517</v>
      </c>
      <c r="E2459" s="81">
        <v>10884.88</v>
      </c>
    </row>
    <row r="2460" spans="4:5" hidden="1" outlineLevel="1" x14ac:dyDescent="0.3">
      <c r="D2460" s="80">
        <v>42516</v>
      </c>
      <c r="E2460" s="81">
        <v>10768.78</v>
      </c>
    </row>
    <row r="2461" spans="4:5" hidden="1" outlineLevel="1" x14ac:dyDescent="0.3">
      <c r="D2461" s="80">
        <v>42515</v>
      </c>
      <c r="E2461" s="81">
        <v>10588.92</v>
      </c>
    </row>
    <row r="2462" spans="4:5" hidden="1" outlineLevel="1" x14ac:dyDescent="0.3">
      <c r="D2462" s="80">
        <v>42514</v>
      </c>
      <c r="E2462" s="81">
        <v>10340.65</v>
      </c>
    </row>
    <row r="2463" spans="4:5" hidden="1" outlineLevel="1" x14ac:dyDescent="0.3">
      <c r="D2463" s="80">
        <v>42513</v>
      </c>
      <c r="E2463" s="81">
        <v>10316.91</v>
      </c>
    </row>
    <row r="2464" spans="4:5" hidden="1" outlineLevel="1" x14ac:dyDescent="0.3">
      <c r="D2464" s="80">
        <v>42510</v>
      </c>
      <c r="E2464" s="81">
        <v>10341.790000000001</v>
      </c>
    </row>
    <row r="2465" spans="4:5" hidden="1" outlineLevel="1" x14ac:dyDescent="0.3">
      <c r="D2465" s="80">
        <v>42509</v>
      </c>
      <c r="E2465" s="81">
        <v>10386.75</v>
      </c>
    </row>
    <row r="2466" spans="4:5" hidden="1" outlineLevel="1" x14ac:dyDescent="0.3">
      <c r="D2466" s="80">
        <v>42508</v>
      </c>
      <c r="E2466" s="81">
        <v>10502.51</v>
      </c>
    </row>
    <row r="2467" spans="4:5" hidden="1" outlineLevel="1" x14ac:dyDescent="0.3">
      <c r="D2467" s="80">
        <v>42507</v>
      </c>
      <c r="E2467" s="81">
        <v>10530.03</v>
      </c>
    </row>
    <row r="2468" spans="4:5" hidden="1" outlineLevel="1" x14ac:dyDescent="0.3">
      <c r="D2468" s="80">
        <v>42506</v>
      </c>
      <c r="E2468" s="81">
        <v>10489.97</v>
      </c>
    </row>
    <row r="2469" spans="4:5" hidden="1" outlineLevel="1" x14ac:dyDescent="0.3">
      <c r="D2469" s="80">
        <v>42503</v>
      </c>
      <c r="E2469" s="81">
        <v>10428.780000000001</v>
      </c>
    </row>
    <row r="2470" spans="4:5" hidden="1" outlineLevel="1" x14ac:dyDescent="0.3">
      <c r="D2470" s="80">
        <v>42502</v>
      </c>
      <c r="E2470" s="81">
        <v>10542.93</v>
      </c>
    </row>
    <row r="2471" spans="4:5" hidden="1" outlineLevel="1" x14ac:dyDescent="0.3">
      <c r="D2471" s="80">
        <v>42501</v>
      </c>
      <c r="E2471" s="81">
        <v>10474.1</v>
      </c>
    </row>
    <row r="2472" spans="4:5" hidden="1" outlineLevel="1" x14ac:dyDescent="0.3">
      <c r="D2472" s="80">
        <v>42500</v>
      </c>
      <c r="E2472" s="81">
        <v>10526.11</v>
      </c>
    </row>
    <row r="2473" spans="4:5" hidden="1" outlineLevel="1" x14ac:dyDescent="0.3">
      <c r="D2473" s="80">
        <v>42499</v>
      </c>
      <c r="E2473" s="81">
        <v>10497.09</v>
      </c>
    </row>
    <row r="2474" spans="4:5" hidden="1" outlineLevel="1" x14ac:dyDescent="0.3">
      <c r="D2474" s="80">
        <v>42496</v>
      </c>
      <c r="E2474" s="81">
        <v>10320.120000000001</v>
      </c>
    </row>
    <row r="2475" spans="4:5" hidden="1" outlineLevel="1" x14ac:dyDescent="0.3">
      <c r="D2475" s="80">
        <v>42495</v>
      </c>
      <c r="E2475" s="81">
        <v>10322.82</v>
      </c>
    </row>
    <row r="2476" spans="4:5" hidden="1" outlineLevel="1" x14ac:dyDescent="0.3">
      <c r="D2476" s="80"/>
      <c r="E2476" s="81"/>
    </row>
    <row r="2477" spans="4:5" collapsed="1" x14ac:dyDescent="0.3">
      <c r="D2477" s="139"/>
      <c r="E2477" s="81"/>
    </row>
    <row r="2478" spans="4:5" x14ac:dyDescent="0.3">
      <c r="D2478" s="139"/>
      <c r="E2478" s="81"/>
    </row>
    <row r="2479" spans="4:5" x14ac:dyDescent="0.3">
      <c r="D2479" s="80"/>
      <c r="E2479" s="81"/>
    </row>
    <row r="2480" spans="4:5" x14ac:dyDescent="0.3">
      <c r="D2480" s="80"/>
      <c r="E2480" s="81"/>
    </row>
    <row r="2481" spans="4:5" x14ac:dyDescent="0.3">
      <c r="D2481" s="80"/>
      <c r="E2481" s="81"/>
    </row>
    <row r="2482" spans="4:5" x14ac:dyDescent="0.3">
      <c r="D2482" s="80"/>
      <c r="E2482" s="81"/>
    </row>
    <row r="2483" spans="4:5" x14ac:dyDescent="0.3">
      <c r="D2483" s="80"/>
      <c r="E2483" s="81"/>
    </row>
  </sheetData>
  <hyperlinks>
    <hyperlink ref="H14" location="Cover!A1" display="Back to Cover" xr:uid="{2813DA2E-6B7E-4F33-8CCD-B7A82948D9D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48D9E-9580-449F-88FD-451FB8A18583}">
  <sheetPr>
    <tabColor rgb="FFBBB2F0"/>
  </sheetPr>
  <dimension ref="A1:M44"/>
  <sheetViews>
    <sheetView zoomScale="83" workbookViewId="0">
      <pane ySplit="2" topLeftCell="A3" activePane="bottomLeft" state="frozen"/>
      <selection pane="bottomLeft"/>
    </sheetView>
  </sheetViews>
  <sheetFormatPr defaultColWidth="11.77734375" defaultRowHeight="14.4" x14ac:dyDescent="0.3"/>
  <cols>
    <col min="1" max="3" width="1.33203125" customWidth="1"/>
    <col min="4" max="4" width="40.77734375" customWidth="1"/>
    <col min="5" max="5" width="12.77734375" customWidth="1"/>
    <col min="6" max="6" width="2.77734375" customWidth="1"/>
    <col min="7" max="7" width="11.109375" bestFit="1" customWidth="1"/>
  </cols>
  <sheetData>
    <row r="1" spans="1:13" ht="32.4" x14ac:dyDescent="0.6">
      <c r="A1" s="1" t="str">
        <f>Historical!A1</f>
        <v>Shree Cement Ltd.</v>
      </c>
      <c r="B1" s="2"/>
      <c r="C1" s="2"/>
      <c r="D1" s="2"/>
      <c r="E1" s="3"/>
      <c r="F1" s="3"/>
      <c r="G1" s="3"/>
      <c r="H1" s="3"/>
      <c r="I1" s="3"/>
      <c r="J1" s="3"/>
      <c r="K1" s="3"/>
      <c r="L1" s="3"/>
      <c r="M1" s="3"/>
    </row>
    <row r="2" spans="1:13" ht="15.6" x14ac:dyDescent="0.3">
      <c r="A2" s="4" t="s">
        <v>328</v>
      </c>
      <c r="B2" s="4"/>
      <c r="C2" s="4"/>
      <c r="D2" s="4"/>
      <c r="E2" s="5"/>
      <c r="F2" s="5"/>
      <c r="G2" s="5"/>
      <c r="H2" s="5"/>
      <c r="I2" s="5"/>
      <c r="J2" s="5"/>
      <c r="K2" s="5"/>
      <c r="L2" s="5"/>
      <c r="M2" s="5"/>
    </row>
    <row r="4" spans="1:13" ht="15.6" x14ac:dyDescent="0.3">
      <c r="D4" s="5"/>
      <c r="E4" s="5"/>
      <c r="F4" s="5"/>
      <c r="G4" s="48" t="s">
        <v>9</v>
      </c>
      <c r="H4" s="48" t="s">
        <v>187</v>
      </c>
      <c r="I4" s="48" t="s">
        <v>330</v>
      </c>
      <c r="J4" s="48" t="s">
        <v>330</v>
      </c>
      <c r="K4" s="48" t="s">
        <v>307</v>
      </c>
      <c r="L4" s="48" t="s">
        <v>333</v>
      </c>
      <c r="M4" s="48" t="s">
        <v>334</v>
      </c>
    </row>
    <row r="5" spans="1:13" x14ac:dyDescent="0.3">
      <c r="D5" s="2" t="s">
        <v>329</v>
      </c>
      <c r="E5" s="2"/>
      <c r="F5" s="2"/>
      <c r="G5" s="84" t="s">
        <v>335</v>
      </c>
      <c r="H5" s="84" t="s">
        <v>159</v>
      </c>
      <c r="I5" s="84" t="s">
        <v>9</v>
      </c>
      <c r="J5" s="84" t="s">
        <v>331</v>
      </c>
      <c r="K5" s="84" t="s">
        <v>206</v>
      </c>
      <c r="L5" s="84" t="s">
        <v>332</v>
      </c>
      <c r="M5" s="84" t="s">
        <v>332</v>
      </c>
    </row>
    <row r="6" spans="1:13" x14ac:dyDescent="0.3">
      <c r="D6" t="str">
        <f>'Comps Valuation'!D7</f>
        <v>UltraTech Cement Limited</v>
      </c>
      <c r="G6" s="73">
        <f>'Comps Valuation'!J7</f>
        <v>337078.46689719998</v>
      </c>
      <c r="H6" s="73">
        <f>'Comps Valuation'!K7</f>
        <v>26113.009985522891</v>
      </c>
      <c r="I6" s="40">
        <f>H6/G6</f>
        <v>7.7468638759077627E-2</v>
      </c>
      <c r="J6" s="40">
        <f>H6/(H6+G6)</f>
        <v>7.1898741153430118E-2</v>
      </c>
      <c r="K6" s="87">
        <f>'Comps Valuation'!Q7</f>
        <v>0.23731000000000002</v>
      </c>
      <c r="L6" s="83">
        <v>0.48</v>
      </c>
      <c r="M6" s="49">
        <f>L6/(1+I6*(1-K6))</f>
        <v>0.45322160278661544</v>
      </c>
    </row>
    <row r="7" spans="1:13" x14ac:dyDescent="0.3">
      <c r="D7" t="str">
        <f>'Comps Valuation'!D8</f>
        <v>Ambuja Cements Limited</v>
      </c>
      <c r="G7" s="73">
        <f>'Comps Valuation'!J8</f>
        <v>109017.97586745</v>
      </c>
      <c r="H7" s="73">
        <f>'Comps Valuation'!K8</f>
        <v>1315.9802733842325</v>
      </c>
      <c r="I7" s="40">
        <f t="shared" ref="I7:I11" si="0">H7/G7</f>
        <v>1.2071222776914085E-2</v>
      </c>
      <c r="J7" s="40">
        <f t="shared" ref="J7:J11" si="1">H7/(H7+G7)</f>
        <v>1.1927246329357282E-2</v>
      </c>
      <c r="K7" s="87">
        <f>'Comps Valuation'!Q8</f>
        <v>-0.13039600000000001</v>
      </c>
      <c r="L7" s="83">
        <v>0.05</v>
      </c>
      <c r="M7" s="49">
        <f t="shared" ref="M7:M11" si="2">L7/(1+I7*(1-K7))</f>
        <v>4.9326921238896322E-2</v>
      </c>
    </row>
    <row r="8" spans="1:13" x14ac:dyDescent="0.3">
      <c r="D8" t="str">
        <f>'Comps Valuation'!D9</f>
        <v>Dalmia Bharat Limited</v>
      </c>
      <c r="G8" s="73">
        <f>'Comps Valuation'!J9</f>
        <v>36484.211107649993</v>
      </c>
      <c r="H8" s="73">
        <f>'Comps Valuation'!K9</f>
        <v>7334.2453578817704</v>
      </c>
      <c r="I8" s="40">
        <f t="shared" si="0"/>
        <v>0.20102518692925578</v>
      </c>
      <c r="J8" s="40">
        <f t="shared" si="1"/>
        <v>0.1673779943310188</v>
      </c>
      <c r="K8" s="87">
        <f>'Comps Valuation'!Q9</f>
        <v>0.18686499999999998</v>
      </c>
      <c r="L8" s="83">
        <v>0.16</v>
      </c>
      <c r="M8" s="49">
        <f t="shared" si="2"/>
        <v>0.13752077026570056</v>
      </c>
    </row>
    <row r="9" spans="1:13" x14ac:dyDescent="0.3">
      <c r="D9" t="str">
        <f>'Comps Valuation'!D10</f>
        <v>ACC Limited</v>
      </c>
      <c r="G9" s="73">
        <f>'Comps Valuation'!J10</f>
        <v>26267.275921380002</v>
      </c>
      <c r="H9" s="73">
        <f>'Comps Valuation'!K10</f>
        <v>502.73030742206248</v>
      </c>
      <c r="I9" s="40">
        <f t="shared" si="0"/>
        <v>1.9139034779501816E-2</v>
      </c>
      <c r="J9" s="40">
        <f t="shared" si="1"/>
        <v>1.8779611148583557E-2</v>
      </c>
      <c r="K9" s="87">
        <f>'Comps Valuation'!Q10</f>
        <v>6.8950000000000001E-3</v>
      </c>
      <c r="L9" s="83">
        <v>0.19</v>
      </c>
      <c r="M9" s="49">
        <f t="shared" si="2"/>
        <v>0.18645601721725921</v>
      </c>
    </row>
    <row r="10" spans="1:13" x14ac:dyDescent="0.3">
      <c r="D10" t="str">
        <f>'Comps Valuation'!D11</f>
        <v>J.K. Cement Limited</v>
      </c>
      <c r="G10" s="73">
        <f>'Comps Valuation'!J11</f>
        <v>42416.374482600004</v>
      </c>
      <c r="H10" s="73">
        <f>'Comps Valuation'!K11</f>
        <v>6741.6959176465125</v>
      </c>
      <c r="I10" s="40">
        <f t="shared" si="0"/>
        <v>0.15894088073020204</v>
      </c>
      <c r="J10" s="40">
        <f t="shared" si="1"/>
        <v>0.13714321702937926</v>
      </c>
      <c r="K10" s="87">
        <f>'Comps Valuation'!Q11</f>
        <v>0.33663699999999996</v>
      </c>
      <c r="L10" s="83">
        <v>0.4</v>
      </c>
      <c r="M10" s="49">
        <f t="shared" si="2"/>
        <v>0.36184833958563178</v>
      </c>
    </row>
    <row r="11" spans="1:13" x14ac:dyDescent="0.3">
      <c r="D11" t="str">
        <f>'Comps Valuation'!D12</f>
        <v>The Ramco Cements Limited</v>
      </c>
      <c r="G11" s="73">
        <f>'Comps Valuation'!J12</f>
        <v>23264.288289</v>
      </c>
      <c r="H11" s="73">
        <f>'Comps Valuation'!K12</f>
        <v>4866.5234486120407</v>
      </c>
      <c r="I11" s="40">
        <f t="shared" si="0"/>
        <v>0.20918428228526845</v>
      </c>
      <c r="J11" s="40">
        <f t="shared" si="1"/>
        <v>0.17299619698159296</v>
      </c>
      <c r="K11" s="87">
        <f>'Comps Valuation'!Q12</f>
        <v>0.23248100000000002</v>
      </c>
      <c r="L11" s="83">
        <v>0.12</v>
      </c>
      <c r="M11" s="49">
        <f t="shared" si="2"/>
        <v>0.10339899098658278</v>
      </c>
    </row>
    <row r="13" spans="1:13" ht="15.6" x14ac:dyDescent="0.3">
      <c r="D13" s="4" t="s">
        <v>313</v>
      </c>
      <c r="E13" s="4"/>
      <c r="F13" s="4"/>
      <c r="G13" s="4"/>
      <c r="H13" s="4"/>
      <c r="I13" s="85">
        <f>AVERAGE(I6:I11)</f>
        <v>0.11297154104336997</v>
      </c>
      <c r="J13" s="85">
        <f>AVERAGE(J6:J11)</f>
        <v>9.668716782889368E-2</v>
      </c>
      <c r="K13" s="85">
        <f t="shared" ref="K13:M13" si="3">AVERAGE(K6:K11)</f>
        <v>0.14496533333333333</v>
      </c>
      <c r="L13" s="86">
        <f t="shared" si="3"/>
        <v>0.23333333333333339</v>
      </c>
      <c r="M13" s="86">
        <f t="shared" si="3"/>
        <v>0.21529544034678105</v>
      </c>
    </row>
    <row r="14" spans="1:13" ht="15.6" x14ac:dyDescent="0.3">
      <c r="D14" s="4" t="s">
        <v>314</v>
      </c>
      <c r="E14" s="4"/>
      <c r="F14" s="4"/>
      <c r="G14" s="4"/>
      <c r="H14" s="4"/>
      <c r="I14" s="85">
        <f>MEDIAN(I6:I11)</f>
        <v>0.11820475974463984</v>
      </c>
      <c r="J14" s="85">
        <f>MEDIAN(J6:J11)</f>
        <v>0.10452097909140469</v>
      </c>
      <c r="K14" s="85">
        <f t="shared" ref="K14:M14" si="4">MEDIAN(K6:K11)</f>
        <v>0.209673</v>
      </c>
      <c r="L14" s="86">
        <f t="shared" si="4"/>
        <v>0.17499999999999999</v>
      </c>
      <c r="M14" s="86">
        <f t="shared" si="4"/>
        <v>0.16198839374147989</v>
      </c>
    </row>
    <row r="16" spans="1:13" x14ac:dyDescent="0.3">
      <c r="D16" t="str">
        <f>'Comps Valuation'!F17</f>
        <v>SHREECEM</v>
      </c>
      <c r="G16" s="73">
        <f>'Comps Valuation'!J17</f>
        <v>89806.656868999999</v>
      </c>
      <c r="H16" s="73">
        <f>'Comps Valuation'!K17</f>
        <v>2218.2519309964255</v>
      </c>
      <c r="I16" s="40"/>
      <c r="J16" s="40"/>
      <c r="K16" s="40"/>
    </row>
    <row r="18" spans="4:13" s="10" customFormat="1" ht="15.6" x14ac:dyDescent="0.3">
      <c r="D18" s="61" t="s">
        <v>338</v>
      </c>
      <c r="E18" s="61" t="s">
        <v>337</v>
      </c>
      <c r="F18" s="61"/>
      <c r="G18" s="61"/>
      <c r="H18" s="61"/>
      <c r="I18" s="61"/>
      <c r="J18" s="61"/>
      <c r="K18" s="61"/>
      <c r="L18" s="61"/>
      <c r="M18" s="61"/>
    </row>
    <row r="20" spans="4:13" ht="15.6" x14ac:dyDescent="0.3">
      <c r="D20" s="88" t="s">
        <v>339</v>
      </c>
      <c r="E20" s="88"/>
    </row>
    <row r="21" spans="4:13" x14ac:dyDescent="0.3">
      <c r="D21" t="s">
        <v>340</v>
      </c>
      <c r="E21" s="40">
        <f>J14</f>
        <v>0.10452097909140469</v>
      </c>
    </row>
    <row r="22" spans="4:13" x14ac:dyDescent="0.3">
      <c r="D22" t="s">
        <v>341</v>
      </c>
      <c r="E22" s="40">
        <f>1-E21</f>
        <v>0.89547902090859532</v>
      </c>
    </row>
    <row r="24" spans="4:13" ht="15.6" x14ac:dyDescent="0.3">
      <c r="D24" s="88" t="s">
        <v>342</v>
      </c>
      <c r="E24" s="88"/>
    </row>
    <row r="25" spans="4:13" x14ac:dyDescent="0.3">
      <c r="D25" t="s">
        <v>273</v>
      </c>
      <c r="E25" s="49">
        <f>G16</f>
        <v>89806.656868999999</v>
      </c>
    </row>
    <row r="26" spans="4:13" x14ac:dyDescent="0.3">
      <c r="D26" t="s">
        <v>274</v>
      </c>
      <c r="E26" s="49">
        <f>H16</f>
        <v>2218.2519309964255</v>
      </c>
    </row>
    <row r="27" spans="4:13" x14ac:dyDescent="0.3">
      <c r="D27" t="s">
        <v>343</v>
      </c>
      <c r="E27" s="49">
        <f>E26/E25</f>
        <v>2.4700306283889018E-2</v>
      </c>
    </row>
    <row r="29" spans="4:13" ht="15.6" x14ac:dyDescent="0.3">
      <c r="D29" s="88" t="s">
        <v>344</v>
      </c>
      <c r="E29" s="88"/>
    </row>
    <row r="30" spans="4:13" x14ac:dyDescent="0.3">
      <c r="D30" t="s">
        <v>345</v>
      </c>
      <c r="E30" s="89">
        <f>'Financial Statements'!M14</f>
        <v>0.10974881973141683</v>
      </c>
    </row>
    <row r="31" spans="4:13" x14ac:dyDescent="0.3">
      <c r="D31" t="s">
        <v>307</v>
      </c>
      <c r="E31" s="87">
        <f>'Comps Valuation'!Q17</f>
        <v>0.24651100000000001</v>
      </c>
    </row>
    <row r="32" spans="4:13" x14ac:dyDescent="0.3">
      <c r="D32" s="13" t="s">
        <v>346</v>
      </c>
      <c r="E32" s="90">
        <f>E30*(1-E31)</f>
        <v>8.2694528430605527E-2</v>
      </c>
    </row>
    <row r="34" spans="4:5" ht="15.6" x14ac:dyDescent="0.3">
      <c r="D34" s="88" t="s">
        <v>347</v>
      </c>
      <c r="E34" s="88"/>
    </row>
    <row r="35" spans="4:5" x14ac:dyDescent="0.3">
      <c r="D35" t="s">
        <v>348</v>
      </c>
      <c r="E35" s="87">
        <f>'Market Returns'!I11</f>
        <v>6.9290000000000004E-2</v>
      </c>
    </row>
    <row r="36" spans="4:5" x14ac:dyDescent="0.3">
      <c r="D36" t="s">
        <v>349</v>
      </c>
      <c r="E36" s="89">
        <f>'Market Returns'!I9</f>
        <v>0.13380018517594605</v>
      </c>
    </row>
    <row r="37" spans="4:5" x14ac:dyDescent="0.3">
      <c r="D37" t="s">
        <v>350</v>
      </c>
      <c r="E37" s="57">
        <f>E36-E35</f>
        <v>6.4510185175946047E-2</v>
      </c>
    </row>
    <row r="38" spans="4:5" x14ac:dyDescent="0.3">
      <c r="D38" t="s">
        <v>351</v>
      </c>
      <c r="E38" s="49">
        <f>M14*(1+E27*(1-E31))</f>
        <v>0.16500322600386436</v>
      </c>
    </row>
    <row r="39" spans="4:5" x14ac:dyDescent="0.3">
      <c r="D39" s="13" t="s">
        <v>347</v>
      </c>
      <c r="E39" s="90">
        <f>E35+(E37*E38)</f>
        <v>7.9934388664137768E-2</v>
      </c>
    </row>
    <row r="41" spans="4:5" ht="15.6" x14ac:dyDescent="0.3">
      <c r="D41" s="88" t="s">
        <v>336</v>
      </c>
      <c r="E41" s="92">
        <f>(E21*E32)+(E22*E39)</f>
        <v>8.0222881174958099E-2</v>
      </c>
    </row>
    <row r="44" spans="4:5" x14ac:dyDescent="0.3">
      <c r="D44" s="134" t="s">
        <v>504</v>
      </c>
    </row>
  </sheetData>
  <hyperlinks>
    <hyperlink ref="D44" location="Cover!A1" display="Back to Cover" xr:uid="{C97F3A21-BC42-40BA-95F2-686410C31AE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46B22-5A63-404D-BA31-B5C684924BF8}">
  <sheetPr>
    <tabColor rgb="FFBBB2F0"/>
  </sheetPr>
  <dimension ref="A1:P64"/>
  <sheetViews>
    <sheetView workbookViewId="0">
      <pane ySplit="2" topLeftCell="A19" activePane="bottomLeft" state="frozen"/>
      <selection pane="bottomLeft"/>
    </sheetView>
  </sheetViews>
  <sheetFormatPr defaultColWidth="11.88671875" defaultRowHeight="14.4" x14ac:dyDescent="0.3"/>
  <cols>
    <col min="1" max="1" width="2.44140625" customWidth="1"/>
    <col min="3" max="3" width="17.21875" customWidth="1"/>
    <col min="8" max="8" width="23.5546875" bestFit="1" customWidth="1"/>
  </cols>
  <sheetData>
    <row r="1" spans="1:16" ht="32.4" x14ac:dyDescent="0.6">
      <c r="A1" s="1" t="str">
        <f>Historical!A1</f>
        <v>Shree Cement Ltd.</v>
      </c>
      <c r="B1" s="2"/>
      <c r="C1" s="2"/>
      <c r="D1" s="2"/>
      <c r="E1" s="3"/>
      <c r="F1" s="3"/>
      <c r="G1" s="3"/>
      <c r="H1" s="3"/>
      <c r="I1" s="3"/>
      <c r="J1" s="3"/>
      <c r="K1" s="3"/>
      <c r="L1" s="3"/>
      <c r="M1" s="3"/>
      <c r="N1" s="3"/>
      <c r="O1" s="3"/>
      <c r="P1" s="3"/>
    </row>
    <row r="2" spans="1:16" ht="15.6" x14ac:dyDescent="0.3">
      <c r="A2" s="4" t="s">
        <v>352</v>
      </c>
      <c r="B2" s="4"/>
      <c r="C2" s="4"/>
      <c r="D2" s="4"/>
      <c r="E2" s="5"/>
      <c r="F2" s="5"/>
      <c r="G2" s="5"/>
      <c r="H2" s="5"/>
      <c r="I2" s="5"/>
      <c r="J2" s="5"/>
      <c r="K2" s="5"/>
      <c r="L2" s="5"/>
      <c r="M2" s="5"/>
      <c r="N2" s="5"/>
      <c r="O2" s="5"/>
      <c r="P2" s="5"/>
    </row>
    <row r="4" spans="1:16" s="78" customFormat="1" ht="30" customHeight="1" x14ac:dyDescent="0.3">
      <c r="B4" s="48" t="s">
        <v>323</v>
      </c>
      <c r="C4" s="66" t="s">
        <v>324</v>
      </c>
      <c r="D4" s="66" t="s">
        <v>353</v>
      </c>
      <c r="E4" s="66" t="s">
        <v>354</v>
      </c>
      <c r="F4" s="66" t="s">
        <v>353</v>
      </c>
    </row>
    <row r="5" spans="1:16" x14ac:dyDescent="0.3">
      <c r="B5" s="79">
        <v>46143</v>
      </c>
      <c r="C5" s="49">
        <v>76671.25</v>
      </c>
      <c r="E5" s="49">
        <v>24904.400000000001</v>
      </c>
      <c r="H5" s="10" t="s">
        <v>325</v>
      </c>
      <c r="I5" t="s">
        <v>359</v>
      </c>
    </row>
    <row r="6" spans="1:16" x14ac:dyDescent="0.3">
      <c r="B6" s="79">
        <v>46113</v>
      </c>
      <c r="C6" s="49">
        <v>76913.5</v>
      </c>
      <c r="D6" s="40">
        <f>C6/C5-1</f>
        <v>3.1595937199406787E-3</v>
      </c>
      <c r="E6" s="49">
        <v>24156.5</v>
      </c>
      <c r="F6" s="40">
        <f>E6/E5-1</f>
        <v>-3.0030837924222231E-2</v>
      </c>
      <c r="H6" s="10"/>
    </row>
    <row r="7" spans="1:16" x14ac:dyDescent="0.3">
      <c r="B7" s="79">
        <v>46082</v>
      </c>
      <c r="C7" s="49">
        <v>71947.55</v>
      </c>
      <c r="D7" s="40">
        <f t="shared" ref="D7:D64" si="0">C7/C6-1</f>
        <v>-6.4565388390854572E-2</v>
      </c>
      <c r="E7" s="49">
        <v>23020.15</v>
      </c>
      <c r="F7" s="40">
        <f t="shared" ref="F7:F64" si="1">E7/E6-1</f>
        <v>-4.7041169043528619E-2</v>
      </c>
      <c r="H7" s="10" t="s">
        <v>357</v>
      </c>
      <c r="I7" s="49">
        <f>MIN(E53:E64)</f>
        <v>22130.1</v>
      </c>
    </row>
    <row r="8" spans="1:16" x14ac:dyDescent="0.3">
      <c r="B8" s="79">
        <v>46054</v>
      </c>
      <c r="C8" s="49">
        <v>81287.19</v>
      </c>
      <c r="D8" s="40">
        <f t="shared" si="0"/>
        <v>0.12981178650280656</v>
      </c>
      <c r="E8" s="49">
        <v>26079.65</v>
      </c>
      <c r="F8" s="40">
        <f t="shared" si="1"/>
        <v>0.13290530252843702</v>
      </c>
      <c r="H8" s="10" t="s">
        <v>358</v>
      </c>
      <c r="I8" s="49">
        <f>MAX(E54:E65)</f>
        <v>28925.599999999999</v>
      </c>
    </row>
    <row r="9" spans="1:16" x14ac:dyDescent="0.3">
      <c r="B9" s="79">
        <v>46023</v>
      </c>
      <c r="C9" s="49">
        <v>82269.78</v>
      </c>
      <c r="D9" s="40">
        <f t="shared" si="0"/>
        <v>1.2087882481852219E-2</v>
      </c>
      <c r="E9" s="49">
        <v>26983.35</v>
      </c>
      <c r="F9" s="40">
        <f t="shared" si="1"/>
        <v>3.4651538651783831E-2</v>
      </c>
      <c r="H9" s="10"/>
    </row>
    <row r="10" spans="1:16" x14ac:dyDescent="0.3">
      <c r="B10" s="79">
        <v>45992</v>
      </c>
      <c r="C10" s="49">
        <v>85220.6</v>
      </c>
      <c r="D10" s="40">
        <f t="shared" si="0"/>
        <v>3.5867605334547026E-2</v>
      </c>
      <c r="E10" s="49">
        <v>26563</v>
      </c>
      <c r="F10" s="40">
        <f t="shared" si="1"/>
        <v>-1.5578125028952949E-2</v>
      </c>
      <c r="H10" s="10" t="s">
        <v>332</v>
      </c>
      <c r="I10" s="11">
        <f>SLOPE(F6:F64,D6:D64)</f>
        <v>0.78750573608441732</v>
      </c>
    </row>
    <row r="11" spans="1:16" x14ac:dyDescent="0.3">
      <c r="B11" s="79">
        <v>45962</v>
      </c>
      <c r="C11" s="49">
        <v>85706.67</v>
      </c>
      <c r="D11" s="40">
        <f t="shared" si="0"/>
        <v>5.7036678925048712E-3</v>
      </c>
      <c r="E11" s="49">
        <v>26400.95</v>
      </c>
      <c r="F11" s="40">
        <f t="shared" si="1"/>
        <v>-6.1005910476978897E-3</v>
      </c>
      <c r="H11" t="s">
        <v>355</v>
      </c>
    </row>
    <row r="12" spans="1:16" x14ac:dyDescent="0.3">
      <c r="B12" s="79">
        <v>45931</v>
      </c>
      <c r="C12" s="49">
        <v>83938.71</v>
      </c>
      <c r="D12" s="40">
        <f t="shared" si="0"/>
        <v>-2.0628032800714236E-2</v>
      </c>
      <c r="E12" s="49">
        <v>28288.35</v>
      </c>
      <c r="F12" s="40">
        <f t="shared" si="1"/>
        <v>7.1489851690942796E-2</v>
      </c>
    </row>
    <row r="13" spans="1:16" ht="15" thickBot="1" x14ac:dyDescent="0.35">
      <c r="B13" s="79">
        <v>45901</v>
      </c>
      <c r="C13" s="49">
        <v>80267.62</v>
      </c>
      <c r="D13" s="40">
        <f t="shared" si="0"/>
        <v>-4.3735363576590691E-2</v>
      </c>
      <c r="E13" s="49">
        <v>29295.3</v>
      </c>
      <c r="F13" s="40">
        <f t="shared" si="1"/>
        <v>3.5595925531181516E-2</v>
      </c>
      <c r="H13" s="10" t="s">
        <v>332</v>
      </c>
      <c r="I13" s="11">
        <f>I33</f>
        <v>0.78750573608441676</v>
      </c>
      <c r="M13" s="26"/>
    </row>
    <row r="14" spans="1:16" ht="15" thickTop="1" x14ac:dyDescent="0.3">
      <c r="B14" s="79">
        <v>45870</v>
      </c>
      <c r="C14" s="49">
        <v>79809.649999999994</v>
      </c>
      <c r="D14" s="40">
        <f t="shared" si="0"/>
        <v>-5.7055385471750375E-3</v>
      </c>
      <c r="E14" s="49">
        <v>29247.15</v>
      </c>
      <c r="F14" s="40">
        <f t="shared" si="1"/>
        <v>-1.6436083603853513E-3</v>
      </c>
      <c r="H14" t="s">
        <v>356</v>
      </c>
    </row>
    <row r="15" spans="1:16" x14ac:dyDescent="0.3">
      <c r="B15" s="79">
        <v>45839</v>
      </c>
      <c r="C15" s="49">
        <v>81185.58</v>
      </c>
      <c r="D15" s="40">
        <f t="shared" si="0"/>
        <v>1.7240145771846072E-2</v>
      </c>
      <c r="E15" s="49">
        <v>30818.35</v>
      </c>
      <c r="F15" s="40">
        <f t="shared" si="1"/>
        <v>5.3721473716242363E-2</v>
      </c>
    </row>
    <row r="16" spans="1:16" x14ac:dyDescent="0.3">
      <c r="B16" s="79">
        <v>45809</v>
      </c>
      <c r="C16" s="49">
        <v>83606.460000000006</v>
      </c>
      <c r="D16" s="40">
        <f t="shared" si="0"/>
        <v>2.9819088562279328E-2</v>
      </c>
      <c r="E16" s="49">
        <v>31029.65</v>
      </c>
      <c r="F16" s="40">
        <f t="shared" si="1"/>
        <v>6.8563047664784715E-3</v>
      </c>
      <c r="H16" t="s">
        <v>360</v>
      </c>
    </row>
    <row r="17" spans="2:16" ht="15" thickBot="1" x14ac:dyDescent="0.35">
      <c r="B17" s="79">
        <v>45778</v>
      </c>
      <c r="C17" s="49">
        <v>81451.009999999995</v>
      </c>
      <c r="D17" s="40">
        <f t="shared" si="0"/>
        <v>-2.5780902576188591E-2</v>
      </c>
      <c r="E17" s="49">
        <v>29608.3</v>
      </c>
      <c r="F17" s="40">
        <f t="shared" si="1"/>
        <v>-4.5806188597035447E-2</v>
      </c>
    </row>
    <row r="18" spans="2:16" x14ac:dyDescent="0.3">
      <c r="B18" s="79">
        <v>45748</v>
      </c>
      <c r="C18" s="49">
        <v>80242.240000000005</v>
      </c>
      <c r="D18" s="40">
        <f t="shared" si="0"/>
        <v>-1.4840454403204917E-2</v>
      </c>
      <c r="E18" s="49">
        <v>29730.7</v>
      </c>
      <c r="F18" s="40">
        <f t="shared" si="1"/>
        <v>4.1339759459342318E-3</v>
      </c>
      <c r="H18" s="143" t="s">
        <v>361</v>
      </c>
      <c r="I18" s="143"/>
    </row>
    <row r="19" spans="2:16" x14ac:dyDescent="0.3">
      <c r="B19" s="79">
        <v>45717</v>
      </c>
      <c r="C19" s="49">
        <v>77414.92</v>
      </c>
      <c r="D19" s="40">
        <f t="shared" si="0"/>
        <v>-3.5234808998353073E-2</v>
      </c>
      <c r="E19" s="49">
        <v>30501.95</v>
      </c>
      <c r="F19" s="40">
        <f t="shared" si="1"/>
        <v>2.5941198828147272E-2</v>
      </c>
      <c r="H19" t="s">
        <v>362</v>
      </c>
      <c r="I19">
        <v>0.48575542916224834</v>
      </c>
    </row>
    <row r="20" spans="2:16" x14ac:dyDescent="0.3">
      <c r="B20" s="79">
        <v>45689</v>
      </c>
      <c r="C20" s="49">
        <v>73198.100000000006</v>
      </c>
      <c r="D20" s="40">
        <f t="shared" si="0"/>
        <v>-5.4470378578186152E-2</v>
      </c>
      <c r="E20" s="49">
        <v>27277.35</v>
      </c>
      <c r="F20" s="40">
        <f t="shared" si="1"/>
        <v>-0.1057178311550574</v>
      </c>
      <c r="H20" t="s">
        <v>363</v>
      </c>
      <c r="I20">
        <v>0.23595833696060006</v>
      </c>
    </row>
    <row r="21" spans="2:16" x14ac:dyDescent="0.3">
      <c r="B21" s="79">
        <v>45658</v>
      </c>
      <c r="C21" s="49">
        <v>77500.570000000007</v>
      </c>
      <c r="D21" s="40">
        <f t="shared" si="0"/>
        <v>5.8778438238151098E-2</v>
      </c>
      <c r="E21" s="49">
        <v>27829.9</v>
      </c>
      <c r="F21" s="40">
        <f t="shared" si="1"/>
        <v>2.0256733150397777E-2</v>
      </c>
      <c r="H21" t="s">
        <v>364</v>
      </c>
      <c r="I21">
        <v>0.22255409725815445</v>
      </c>
    </row>
    <row r="22" spans="2:16" x14ac:dyDescent="0.3">
      <c r="B22" s="79">
        <v>45627</v>
      </c>
      <c r="C22" s="49">
        <v>78139.009999999995</v>
      </c>
      <c r="D22" s="40">
        <f t="shared" si="0"/>
        <v>8.2378748956295489E-3</v>
      </c>
      <c r="E22" s="49">
        <v>25702.25</v>
      </c>
      <c r="F22" s="40">
        <f t="shared" si="1"/>
        <v>-7.6451945569333768E-2</v>
      </c>
      <c r="H22" t="s">
        <v>365</v>
      </c>
      <c r="I22">
        <v>5.5606998220265068E-2</v>
      </c>
    </row>
    <row r="23" spans="2:16" ht="15" thickBot="1" x14ac:dyDescent="0.35">
      <c r="B23" s="79">
        <v>45597</v>
      </c>
      <c r="C23" s="49">
        <v>79802.789999999994</v>
      </c>
      <c r="D23" s="40">
        <f t="shared" si="0"/>
        <v>2.129256564678772E-2</v>
      </c>
      <c r="E23" s="49">
        <v>26060.2</v>
      </c>
      <c r="F23" s="40">
        <f t="shared" si="1"/>
        <v>1.3926796292153432E-2</v>
      </c>
      <c r="H23" s="141" t="s">
        <v>366</v>
      </c>
      <c r="I23" s="141">
        <v>59</v>
      </c>
    </row>
    <row r="24" spans="2:16" x14ac:dyDescent="0.3">
      <c r="B24" s="79">
        <v>45566</v>
      </c>
      <c r="C24" s="49">
        <v>79389.06</v>
      </c>
      <c r="D24" s="40">
        <f t="shared" si="0"/>
        <v>-5.1844052068855673E-3</v>
      </c>
      <c r="E24" s="49">
        <v>25072.7</v>
      </c>
      <c r="F24" s="40">
        <f t="shared" si="1"/>
        <v>-3.7893032286782091E-2</v>
      </c>
    </row>
    <row r="25" spans="2:16" ht="15" thickBot="1" x14ac:dyDescent="0.35">
      <c r="B25" s="79">
        <v>45536</v>
      </c>
      <c r="C25" s="49">
        <v>84299.78</v>
      </c>
      <c r="D25" s="40">
        <f t="shared" si="0"/>
        <v>6.1856381723124132E-2</v>
      </c>
      <c r="E25" s="49">
        <v>26264.2</v>
      </c>
      <c r="F25" s="40">
        <f t="shared" si="1"/>
        <v>4.7521806586446669E-2</v>
      </c>
      <c r="H25" t="s">
        <v>367</v>
      </c>
    </row>
    <row r="26" spans="2:16" x14ac:dyDescent="0.3">
      <c r="B26" s="79">
        <v>45505</v>
      </c>
      <c r="C26" s="49">
        <v>82365.77</v>
      </c>
      <c r="D26" s="40">
        <f t="shared" si="0"/>
        <v>-2.294205275506056E-2</v>
      </c>
      <c r="E26" s="49">
        <v>25474.2</v>
      </c>
      <c r="F26" s="40">
        <f t="shared" si="1"/>
        <v>-3.0078966806527552E-2</v>
      </c>
      <c r="H26" s="142"/>
      <c r="I26" s="142" t="s">
        <v>371</v>
      </c>
      <c r="J26" s="142" t="s">
        <v>372</v>
      </c>
      <c r="K26" s="142" t="s">
        <v>373</v>
      </c>
      <c r="L26" s="142" t="s">
        <v>374</v>
      </c>
      <c r="M26" s="142" t="s">
        <v>375</v>
      </c>
    </row>
    <row r="27" spans="2:16" x14ac:dyDescent="0.3">
      <c r="B27" s="79">
        <v>45474</v>
      </c>
      <c r="C27" s="49">
        <v>81741.34</v>
      </c>
      <c r="D27" s="40">
        <f t="shared" si="0"/>
        <v>-7.581183299810168E-3</v>
      </c>
      <c r="E27" s="49">
        <v>27758.9</v>
      </c>
      <c r="F27" s="40">
        <f t="shared" si="1"/>
        <v>8.968682039082676E-2</v>
      </c>
      <c r="H27" t="s">
        <v>368</v>
      </c>
      <c r="I27">
        <v>1</v>
      </c>
      <c r="J27">
        <v>5.4431718289943559E-2</v>
      </c>
      <c r="K27">
        <v>5.4431718289943559E-2</v>
      </c>
      <c r="L27">
        <v>17.603261520125553</v>
      </c>
      <c r="M27">
        <v>9.6211922172818756E-5</v>
      </c>
    </row>
    <row r="28" spans="2:16" x14ac:dyDescent="0.3">
      <c r="B28" s="79">
        <v>45444</v>
      </c>
      <c r="C28" s="49">
        <v>79032.73</v>
      </c>
      <c r="D28" s="40">
        <f t="shared" si="0"/>
        <v>-3.3136354260891787E-2</v>
      </c>
      <c r="E28" s="49">
        <v>27878.6</v>
      </c>
      <c r="F28" s="40">
        <f t="shared" si="1"/>
        <v>4.3121305239040009E-3</v>
      </c>
      <c r="H28" t="s">
        <v>369</v>
      </c>
      <c r="I28">
        <v>57</v>
      </c>
      <c r="J28">
        <v>0.17625188031090808</v>
      </c>
      <c r="K28">
        <v>3.0921382510685626E-3</v>
      </c>
    </row>
    <row r="29" spans="2:16" ht="15" thickBot="1" x14ac:dyDescent="0.35">
      <c r="B29" s="79">
        <v>45413</v>
      </c>
      <c r="C29" s="49">
        <v>73961.31</v>
      </c>
      <c r="D29" s="40">
        <f t="shared" si="0"/>
        <v>-6.4168604576863242E-2</v>
      </c>
      <c r="E29" s="49">
        <v>24735.4</v>
      </c>
      <c r="F29" s="40">
        <f t="shared" si="1"/>
        <v>-0.11274597720115065</v>
      </c>
      <c r="H29" s="141" t="s">
        <v>187</v>
      </c>
      <c r="I29" s="141">
        <v>58</v>
      </c>
      <c r="J29" s="141">
        <v>0.23068359860085164</v>
      </c>
      <c r="K29" s="141"/>
      <c r="L29" s="141"/>
      <c r="M29" s="141"/>
    </row>
    <row r="30" spans="2:16" ht="15" thickBot="1" x14ac:dyDescent="0.35">
      <c r="B30" s="79">
        <v>45383</v>
      </c>
      <c r="C30" s="49">
        <v>74482.78</v>
      </c>
      <c r="D30" s="40">
        <f t="shared" si="0"/>
        <v>7.0505782009540052E-3</v>
      </c>
      <c r="E30" s="49">
        <v>24484.400000000001</v>
      </c>
      <c r="F30" s="40">
        <f t="shared" si="1"/>
        <v>-1.0147400082472946E-2</v>
      </c>
    </row>
    <row r="31" spans="2:16" x14ac:dyDescent="0.3">
      <c r="B31" s="79">
        <v>45352</v>
      </c>
      <c r="C31" s="49">
        <v>73651.350000000006</v>
      </c>
      <c r="D31" s="40">
        <f t="shared" si="0"/>
        <v>-1.1162714388480044E-2</v>
      </c>
      <c r="E31" s="49">
        <v>25703.8</v>
      </c>
      <c r="F31" s="40">
        <f t="shared" si="1"/>
        <v>4.9803139958504161E-2</v>
      </c>
      <c r="H31" s="142"/>
      <c r="I31" s="142" t="s">
        <v>376</v>
      </c>
      <c r="J31" s="142" t="s">
        <v>365</v>
      </c>
      <c r="K31" s="142" t="s">
        <v>377</v>
      </c>
      <c r="L31" s="142" t="s">
        <v>378</v>
      </c>
      <c r="M31" s="142" t="s">
        <v>379</v>
      </c>
      <c r="N31" s="142" t="s">
        <v>380</v>
      </c>
      <c r="O31" s="142" t="s">
        <v>381</v>
      </c>
      <c r="P31" s="142" t="s">
        <v>382</v>
      </c>
    </row>
    <row r="32" spans="2:16" x14ac:dyDescent="0.3">
      <c r="B32" s="79">
        <v>45323</v>
      </c>
      <c r="C32" s="49">
        <v>72500.3</v>
      </c>
      <c r="D32" s="40">
        <f t="shared" si="0"/>
        <v>-1.5628362548683827E-2</v>
      </c>
      <c r="E32" s="49">
        <v>25487.7</v>
      </c>
      <c r="F32" s="40">
        <f t="shared" si="1"/>
        <v>-8.4073172060161738E-3</v>
      </c>
      <c r="H32" t="s">
        <v>370</v>
      </c>
      <c r="I32">
        <v>8.0669632185209408E-3</v>
      </c>
      <c r="J32">
        <v>7.3170366527605789E-3</v>
      </c>
      <c r="K32">
        <v>1.1024904754956268</v>
      </c>
      <c r="L32">
        <v>0.27488179791242257</v>
      </c>
      <c r="M32">
        <v>-6.5851499429984001E-3</v>
      </c>
      <c r="N32">
        <v>2.2719076380040282E-2</v>
      </c>
      <c r="O32">
        <v>-6.5851499429984001E-3</v>
      </c>
      <c r="P32">
        <v>2.2719076380040282E-2</v>
      </c>
    </row>
    <row r="33" spans="2:16" ht="15" thickBot="1" x14ac:dyDescent="0.35">
      <c r="B33" s="79">
        <v>45292</v>
      </c>
      <c r="C33" s="49">
        <v>71752.11</v>
      </c>
      <c r="D33" s="40">
        <f t="shared" si="0"/>
        <v>-1.0319819366264693E-2</v>
      </c>
      <c r="E33" s="49">
        <v>28539</v>
      </c>
      <c r="F33" s="40">
        <f t="shared" si="1"/>
        <v>0.11971656916865769</v>
      </c>
      <c r="H33" s="141" t="s">
        <v>383</v>
      </c>
      <c r="I33" s="144">
        <v>0.78750573608441676</v>
      </c>
      <c r="J33" s="141">
        <v>0.18769692394841733</v>
      </c>
      <c r="K33" s="141">
        <v>4.195624091851597</v>
      </c>
      <c r="L33" s="141">
        <v>9.6211922172819312E-5</v>
      </c>
      <c r="M33" s="141">
        <v>0.41164912906254014</v>
      </c>
      <c r="N33" s="141">
        <v>1.1633623431062934</v>
      </c>
      <c r="O33" s="141">
        <v>0.41164912906254014</v>
      </c>
      <c r="P33" s="141">
        <v>1.1633623431062934</v>
      </c>
    </row>
    <row r="34" spans="2:16" x14ac:dyDescent="0.3">
      <c r="B34" s="79">
        <v>45261</v>
      </c>
      <c r="C34" s="49">
        <v>72240.259999999995</v>
      </c>
      <c r="D34" s="40">
        <f t="shared" si="0"/>
        <v>6.8032842518497283E-3</v>
      </c>
      <c r="E34" s="49">
        <v>28619.1</v>
      </c>
      <c r="F34" s="40">
        <f t="shared" si="1"/>
        <v>2.8066855881425656E-3</v>
      </c>
    </row>
    <row r="35" spans="2:16" x14ac:dyDescent="0.3">
      <c r="B35" s="79">
        <v>45231</v>
      </c>
      <c r="C35" s="49">
        <v>66988.44</v>
      </c>
      <c r="D35" s="40">
        <f t="shared" si="0"/>
        <v>-7.2699350749844904E-2</v>
      </c>
      <c r="E35" s="49">
        <v>26753.200000000001</v>
      </c>
      <c r="F35" s="40">
        <f t="shared" si="1"/>
        <v>-6.5197717608170724E-2</v>
      </c>
    </row>
    <row r="36" spans="2:16" x14ac:dyDescent="0.3">
      <c r="B36" s="79">
        <v>45200</v>
      </c>
      <c r="C36" s="49">
        <v>63874.93</v>
      </c>
      <c r="D36" s="40">
        <f t="shared" si="0"/>
        <v>-4.6478317751540432E-2</v>
      </c>
      <c r="E36" s="49">
        <v>25661</v>
      </c>
      <c r="F36" s="40">
        <f t="shared" si="1"/>
        <v>-4.0825022801010746E-2</v>
      </c>
      <c r="H36" s="134" t="s">
        <v>504</v>
      </c>
    </row>
    <row r="37" spans="2:16" x14ac:dyDescent="0.3">
      <c r="B37" s="79">
        <v>45170</v>
      </c>
      <c r="C37" s="49">
        <v>65828.41</v>
      </c>
      <c r="D37" s="40">
        <f t="shared" si="0"/>
        <v>3.0582890658353845E-2</v>
      </c>
      <c r="E37" s="49">
        <v>25472</v>
      </c>
      <c r="F37" s="40">
        <f t="shared" si="1"/>
        <v>-7.3652624605432537E-3</v>
      </c>
    </row>
    <row r="38" spans="2:16" x14ac:dyDescent="0.3">
      <c r="B38" s="79">
        <v>45139</v>
      </c>
      <c r="C38" s="49">
        <v>64831.41</v>
      </c>
      <c r="D38" s="40">
        <f t="shared" si="0"/>
        <v>-1.5145436446057259E-2</v>
      </c>
      <c r="E38" s="49">
        <v>23806.9</v>
      </c>
      <c r="F38" s="40">
        <f t="shared" si="1"/>
        <v>-6.5369817839195932E-2</v>
      </c>
    </row>
    <row r="39" spans="2:16" x14ac:dyDescent="0.3">
      <c r="B39" s="79">
        <v>45108</v>
      </c>
      <c r="C39" s="49">
        <v>66527.67</v>
      </c>
      <c r="D39" s="40">
        <f t="shared" si="0"/>
        <v>2.6164169497470358E-2</v>
      </c>
      <c r="E39" s="49">
        <v>24104.2</v>
      </c>
      <c r="F39" s="40">
        <f t="shared" si="1"/>
        <v>1.2487976174974547E-2</v>
      </c>
    </row>
    <row r="40" spans="2:16" x14ac:dyDescent="0.3">
      <c r="B40" s="79">
        <v>45078</v>
      </c>
      <c r="C40" s="49">
        <v>64718.559999999998</v>
      </c>
      <c r="D40" s="40">
        <f t="shared" si="0"/>
        <v>-2.7193346768344617E-2</v>
      </c>
      <c r="E40" s="49">
        <v>23892.3</v>
      </c>
      <c r="F40" s="40">
        <f t="shared" si="1"/>
        <v>-8.790999078998718E-3</v>
      </c>
    </row>
    <row r="41" spans="2:16" x14ac:dyDescent="0.3">
      <c r="B41" s="79">
        <v>45047</v>
      </c>
      <c r="C41" s="49">
        <v>62622.239999999998</v>
      </c>
      <c r="D41" s="40">
        <f t="shared" si="0"/>
        <v>-3.2391326383034436E-2</v>
      </c>
      <c r="E41" s="49">
        <v>25198.6</v>
      </c>
      <c r="F41" s="40">
        <f t="shared" si="1"/>
        <v>5.4674518568743835E-2</v>
      </c>
    </row>
    <row r="42" spans="2:16" x14ac:dyDescent="0.3">
      <c r="B42" s="79">
        <v>45017</v>
      </c>
      <c r="C42" s="49">
        <v>61112.44</v>
      </c>
      <c r="D42" s="40">
        <f t="shared" si="0"/>
        <v>-2.4109645391158119E-2</v>
      </c>
      <c r="E42" s="49">
        <v>24337.4</v>
      </c>
      <c r="F42" s="40">
        <f t="shared" si="1"/>
        <v>-3.4176501869151332E-2</v>
      </c>
    </row>
    <row r="43" spans="2:16" x14ac:dyDescent="0.3">
      <c r="B43" s="79">
        <v>44986</v>
      </c>
      <c r="C43" s="49">
        <v>58991.519999999997</v>
      </c>
      <c r="D43" s="40">
        <f t="shared" si="0"/>
        <v>-3.4705208955819855E-2</v>
      </c>
      <c r="E43" s="49">
        <v>26176.9</v>
      </c>
      <c r="F43" s="40">
        <f t="shared" si="1"/>
        <v>7.5583258688274091E-2</v>
      </c>
    </row>
    <row r="44" spans="2:16" x14ac:dyDescent="0.3">
      <c r="B44" s="79">
        <v>44958</v>
      </c>
      <c r="C44" s="49">
        <v>58962.12</v>
      </c>
      <c r="D44" s="40">
        <f t="shared" si="0"/>
        <v>-4.9837671583974341E-4</v>
      </c>
      <c r="E44" s="49">
        <v>26112.2</v>
      </c>
      <c r="F44" s="40">
        <f t="shared" si="1"/>
        <v>-2.4716448471744368E-3</v>
      </c>
    </row>
    <row r="45" spans="2:16" x14ac:dyDescent="0.3">
      <c r="B45" s="79">
        <v>44927</v>
      </c>
      <c r="C45" s="49">
        <v>59549.9</v>
      </c>
      <c r="D45" s="40">
        <f t="shared" si="0"/>
        <v>9.9687731716566752E-3</v>
      </c>
      <c r="E45" s="49">
        <v>23707.9</v>
      </c>
      <c r="F45" s="40">
        <f t="shared" si="1"/>
        <v>-9.2075734714041735E-2</v>
      </c>
    </row>
    <row r="46" spans="2:16" x14ac:dyDescent="0.3">
      <c r="B46" s="79">
        <v>44896</v>
      </c>
      <c r="C46" s="49">
        <v>60840.74</v>
      </c>
      <c r="D46" s="40">
        <f t="shared" si="0"/>
        <v>2.1676610707994426E-2</v>
      </c>
      <c r="E46" s="49">
        <v>23296.400000000001</v>
      </c>
      <c r="F46" s="40">
        <f t="shared" si="1"/>
        <v>-1.7357083503810933E-2</v>
      </c>
    </row>
    <row r="47" spans="2:16" x14ac:dyDescent="0.3">
      <c r="B47" s="79">
        <v>44866</v>
      </c>
      <c r="C47" s="49">
        <v>63099.65</v>
      </c>
      <c r="D47" s="40">
        <f t="shared" si="0"/>
        <v>3.7128246632108786E-2</v>
      </c>
      <c r="E47" s="49">
        <v>23842.799999999999</v>
      </c>
      <c r="F47" s="40">
        <f t="shared" si="1"/>
        <v>2.3454267612163182E-2</v>
      </c>
    </row>
    <row r="48" spans="2:16" x14ac:dyDescent="0.3">
      <c r="B48" s="79">
        <v>44835</v>
      </c>
      <c r="C48" s="49">
        <v>60746.59</v>
      </c>
      <c r="D48" s="40">
        <f t="shared" si="0"/>
        <v>-3.7291173564354185E-2</v>
      </c>
      <c r="E48" s="49">
        <v>22741.8</v>
      </c>
      <c r="F48" s="40">
        <f t="shared" si="1"/>
        <v>-4.617746237857967E-2</v>
      </c>
    </row>
    <row r="49" spans="2:6" x14ac:dyDescent="0.3">
      <c r="B49" s="79">
        <v>44805</v>
      </c>
      <c r="C49" s="49">
        <v>57426.92</v>
      </c>
      <c r="D49" s="40">
        <f t="shared" si="0"/>
        <v>-5.4647841138078634E-2</v>
      </c>
      <c r="E49" s="49">
        <v>21022.400000000001</v>
      </c>
      <c r="F49" s="40">
        <f t="shared" si="1"/>
        <v>-7.5605273109428328E-2</v>
      </c>
    </row>
    <row r="50" spans="2:6" x14ac:dyDescent="0.3">
      <c r="B50" s="79">
        <v>44774</v>
      </c>
      <c r="C50" s="49">
        <v>59537.07</v>
      </c>
      <c r="D50" s="40">
        <f t="shared" si="0"/>
        <v>3.6744962118811175E-2</v>
      </c>
      <c r="E50" s="49">
        <v>22082.1</v>
      </c>
      <c r="F50" s="40">
        <f t="shared" si="1"/>
        <v>5.0408136083415656E-2</v>
      </c>
    </row>
    <row r="51" spans="2:6" x14ac:dyDescent="0.3">
      <c r="B51" s="79">
        <v>44743</v>
      </c>
      <c r="C51" s="49">
        <v>57570.25</v>
      </c>
      <c r="D51" s="40">
        <f t="shared" si="0"/>
        <v>-3.3035216546598578E-2</v>
      </c>
      <c r="E51" s="49">
        <v>20482.900000000001</v>
      </c>
      <c r="F51" s="40">
        <f t="shared" si="1"/>
        <v>-7.2420648398476506E-2</v>
      </c>
    </row>
    <row r="52" spans="2:6" x14ac:dyDescent="0.3">
      <c r="B52" s="79">
        <v>44713</v>
      </c>
      <c r="C52" s="49">
        <v>53018.94</v>
      </c>
      <c r="D52" s="40">
        <f t="shared" si="0"/>
        <v>-7.9056630811921047E-2</v>
      </c>
      <c r="E52" s="49">
        <v>19119.8</v>
      </c>
      <c r="F52" s="40">
        <f t="shared" si="1"/>
        <v>-6.6548193859268023E-2</v>
      </c>
    </row>
    <row r="53" spans="2:6" x14ac:dyDescent="0.3">
      <c r="B53" s="79">
        <v>44682</v>
      </c>
      <c r="C53" s="49">
        <v>55566.41</v>
      </c>
      <c r="D53" s="40">
        <f t="shared" si="0"/>
        <v>4.8048301229711488E-2</v>
      </c>
      <c r="E53" s="49">
        <v>22130.1</v>
      </c>
      <c r="F53" s="40">
        <f t="shared" si="1"/>
        <v>0.157444115524221</v>
      </c>
    </row>
    <row r="54" spans="2:6" x14ac:dyDescent="0.3">
      <c r="B54" s="79">
        <v>44652</v>
      </c>
      <c r="C54" s="49">
        <v>57060.87</v>
      </c>
      <c r="D54" s="40">
        <f t="shared" si="0"/>
        <v>2.6895025249966675E-2</v>
      </c>
      <c r="E54" s="49">
        <v>26053.200000000001</v>
      </c>
      <c r="F54" s="40">
        <f t="shared" si="1"/>
        <v>0.17727439098784026</v>
      </c>
    </row>
    <row r="55" spans="2:6" x14ac:dyDescent="0.3">
      <c r="B55" s="79">
        <v>44621</v>
      </c>
      <c r="C55" s="49">
        <v>58568.51</v>
      </c>
      <c r="D55" s="40">
        <f t="shared" si="0"/>
        <v>2.6421609064144924E-2</v>
      </c>
      <c r="E55" s="49">
        <v>23993.1</v>
      </c>
      <c r="F55" s="40">
        <f t="shared" si="1"/>
        <v>-7.9072820229376894E-2</v>
      </c>
    </row>
    <row r="56" spans="2:6" x14ac:dyDescent="0.3">
      <c r="B56" s="79">
        <v>44593</v>
      </c>
      <c r="C56" s="49">
        <v>56247.28</v>
      </c>
      <c r="D56" s="40">
        <f t="shared" si="0"/>
        <v>-3.9632730967545604E-2</v>
      </c>
      <c r="E56" s="49">
        <v>24408.1</v>
      </c>
      <c r="F56" s="40">
        <f t="shared" si="1"/>
        <v>1.7296639450508744E-2</v>
      </c>
    </row>
    <row r="57" spans="2:6" x14ac:dyDescent="0.3">
      <c r="B57" s="79">
        <v>44562</v>
      </c>
      <c r="C57" s="49">
        <v>58014.17</v>
      </c>
      <c r="D57" s="40">
        <f t="shared" si="0"/>
        <v>3.141289676585246E-2</v>
      </c>
      <c r="E57" s="49">
        <v>24279.200000000001</v>
      </c>
      <c r="F57" s="40">
        <f t="shared" si="1"/>
        <v>-5.2810337551877362E-3</v>
      </c>
    </row>
    <row r="58" spans="2:6" x14ac:dyDescent="0.3">
      <c r="B58" s="79">
        <v>44531</v>
      </c>
      <c r="C58" s="49">
        <v>58253.82</v>
      </c>
      <c r="D58" s="40">
        <f t="shared" si="0"/>
        <v>4.1308873332153162E-3</v>
      </c>
      <c r="E58" s="49">
        <v>27009.7</v>
      </c>
      <c r="F58" s="40">
        <f t="shared" si="1"/>
        <v>0.11246251935813367</v>
      </c>
    </row>
    <row r="59" spans="2:6" x14ac:dyDescent="0.3">
      <c r="B59" s="79">
        <v>44501</v>
      </c>
      <c r="C59" s="49">
        <v>57064.87</v>
      </c>
      <c r="D59" s="40">
        <f t="shared" si="0"/>
        <v>-2.0409820334529094E-2</v>
      </c>
      <c r="E59" s="49">
        <v>26106</v>
      </c>
      <c r="F59" s="40">
        <f t="shared" si="1"/>
        <v>-3.3458350148280136E-2</v>
      </c>
    </row>
    <row r="60" spans="2:6" x14ac:dyDescent="0.3">
      <c r="B60" s="79">
        <v>44470</v>
      </c>
      <c r="C60" s="49">
        <v>59306.93</v>
      </c>
      <c r="D60" s="40">
        <f t="shared" si="0"/>
        <v>3.9289671561505202E-2</v>
      </c>
      <c r="E60" s="49">
        <v>28659.4</v>
      </c>
      <c r="F60" s="40">
        <f t="shared" si="1"/>
        <v>9.7808932812380345E-2</v>
      </c>
    </row>
    <row r="61" spans="2:6" x14ac:dyDescent="0.3">
      <c r="B61" s="79">
        <v>44440</v>
      </c>
      <c r="C61" s="49">
        <v>59126.36</v>
      </c>
      <c r="D61" s="40">
        <f t="shared" si="0"/>
        <v>-3.0446694846621991E-3</v>
      </c>
      <c r="E61" s="49">
        <v>28925.599999999999</v>
      </c>
      <c r="F61" s="40">
        <f t="shared" si="1"/>
        <v>9.2884010132801009E-3</v>
      </c>
    </row>
    <row r="62" spans="2:6" x14ac:dyDescent="0.3">
      <c r="B62" s="79">
        <v>44409</v>
      </c>
      <c r="C62" s="49">
        <v>57552.39</v>
      </c>
      <c r="D62" s="40">
        <f t="shared" si="0"/>
        <v>-2.6620444755943051E-2</v>
      </c>
      <c r="E62" s="49">
        <v>28295.8</v>
      </c>
      <c r="F62" s="40">
        <f t="shared" si="1"/>
        <v>-2.1773100644411847E-2</v>
      </c>
    </row>
    <row r="63" spans="2:6" x14ac:dyDescent="0.3">
      <c r="B63" s="79">
        <v>44378</v>
      </c>
      <c r="C63" s="49">
        <v>52586.84</v>
      </c>
      <c r="D63" s="40">
        <f t="shared" si="0"/>
        <v>-8.6278780081939344E-2</v>
      </c>
      <c r="E63" s="49">
        <v>28257</v>
      </c>
      <c r="F63" s="40">
        <f t="shared" si="1"/>
        <v>-1.3712282388198549E-3</v>
      </c>
    </row>
    <row r="64" spans="2:6" x14ac:dyDescent="0.3">
      <c r="B64" s="79">
        <v>44348</v>
      </c>
      <c r="C64" s="49">
        <v>52482.71</v>
      </c>
      <c r="D64" s="40">
        <f t="shared" si="0"/>
        <v>-1.9801532094341212E-3</v>
      </c>
      <c r="E64" s="49">
        <v>27530.6</v>
      </c>
      <c r="F64" s="40">
        <f t="shared" si="1"/>
        <v>-2.5706904483844717E-2</v>
      </c>
    </row>
  </sheetData>
  <hyperlinks>
    <hyperlink ref="H36" location="Cover!A1" display="Back to Cover" xr:uid="{AB808A0D-6C22-4B62-B678-0F1BCBC2F33E}"/>
  </hyperlinks>
  <pageMargins left="0.7" right="0.7" top="0.75" bottom="0.75" header="0.3" footer="0.3"/>
  <ignoredErrors>
    <ignoredError sqref="I7:I8"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F6DE1-FE09-4F1D-BEE3-E26C95176707}">
  <dimension ref="A1:V24"/>
  <sheetViews>
    <sheetView zoomScale="88" workbookViewId="0">
      <pane ySplit="2" topLeftCell="A3" activePane="bottomLeft" state="frozen"/>
      <selection activeCell="Q14" sqref="Q14"/>
      <selection pane="bottomLeft"/>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0.6640625" bestFit="1" customWidth="1"/>
  </cols>
  <sheetData>
    <row r="1" spans="1:22" ht="32.4" x14ac:dyDescent="0.6">
      <c r="A1" s="1" t="str">
        <f>'Financial Statements'!A1</f>
        <v>Shree Cement Ltd.</v>
      </c>
      <c r="B1" s="2"/>
      <c r="C1" s="2"/>
      <c r="D1" s="2"/>
      <c r="E1" s="3"/>
      <c r="F1" s="3"/>
      <c r="G1" s="3"/>
      <c r="H1" s="160" t="s">
        <v>0</v>
      </c>
      <c r="I1" s="160"/>
      <c r="J1" s="160"/>
      <c r="K1" s="160"/>
      <c r="L1" s="161"/>
      <c r="M1" s="160" t="s">
        <v>149</v>
      </c>
      <c r="N1" s="160"/>
      <c r="O1" s="160"/>
      <c r="P1" s="160"/>
      <c r="Q1" s="160"/>
      <c r="R1" s="160"/>
      <c r="S1" s="160"/>
      <c r="T1" s="160"/>
      <c r="U1" s="160"/>
      <c r="V1" s="160"/>
    </row>
    <row r="2" spans="1:22" ht="15.6" x14ac:dyDescent="0.3">
      <c r="A2" s="4" t="s">
        <v>184</v>
      </c>
      <c r="B2" s="4"/>
      <c r="C2" s="4"/>
      <c r="D2" s="4"/>
      <c r="E2" s="5"/>
      <c r="F2" s="5"/>
      <c r="G2" s="5"/>
      <c r="H2" s="6">
        <f>'Financial Statements'!H2</f>
        <v>2021</v>
      </c>
      <c r="I2" s="6">
        <f>'Financial Statements'!I2</f>
        <v>2022</v>
      </c>
      <c r="J2" s="6">
        <f>'Financial Statements'!J2</f>
        <v>2023</v>
      </c>
      <c r="K2" s="6">
        <f>'Financial Statements'!K2</f>
        <v>2024</v>
      </c>
      <c r="L2" s="27">
        <f>'Financial Statements'!L2</f>
        <v>2025</v>
      </c>
      <c r="M2" s="7">
        <f>'Financial Statements'!M2</f>
        <v>2026</v>
      </c>
      <c r="N2" s="7">
        <f>'Financial Statements'!N2</f>
        <v>2027</v>
      </c>
      <c r="O2" s="7">
        <f>'Financial Statements'!O2</f>
        <v>2028</v>
      </c>
      <c r="P2" s="7">
        <f>'Financial Statements'!P2</f>
        <v>2029</v>
      </c>
      <c r="Q2" s="7">
        <f>'Financial Statements'!Q2</f>
        <v>2030</v>
      </c>
      <c r="R2" s="7">
        <f>'Financial Statements'!R2</f>
        <v>2031</v>
      </c>
      <c r="S2" s="7">
        <f>'Financial Statements'!S2</f>
        <v>2032</v>
      </c>
      <c r="T2" s="7">
        <f>'Financial Statements'!T2</f>
        <v>2033</v>
      </c>
      <c r="U2" s="7">
        <f>'Financial Statements'!U2</f>
        <v>2034</v>
      </c>
      <c r="V2" s="7">
        <f>'Financial Statements'!V2</f>
        <v>2035</v>
      </c>
    </row>
    <row r="4" spans="1:22" s="10" customFormat="1" x14ac:dyDescent="0.3">
      <c r="A4" s="8" t="s">
        <v>185</v>
      </c>
      <c r="B4" s="8"/>
      <c r="C4" s="8"/>
      <c r="D4" s="8"/>
      <c r="E4" s="8"/>
      <c r="F4" s="8"/>
      <c r="G4" s="8"/>
      <c r="H4" s="8"/>
      <c r="I4" s="8"/>
      <c r="J4" s="8"/>
      <c r="K4" s="8"/>
      <c r="L4" s="8"/>
      <c r="M4" s="8"/>
      <c r="N4" s="8"/>
      <c r="O4" s="8"/>
      <c r="P4" s="8"/>
      <c r="Q4" s="8"/>
      <c r="R4" s="8"/>
      <c r="S4" s="8"/>
      <c r="T4" s="8"/>
      <c r="U4" s="8"/>
      <c r="V4" s="8"/>
    </row>
    <row r="5" spans="1:22" x14ac:dyDescent="0.3">
      <c r="D5" t="s">
        <v>153</v>
      </c>
      <c r="H5" s="35">
        <f>Historical!H113</f>
        <v>416.99</v>
      </c>
      <c r="I5" s="35">
        <f>Historical!I113</f>
        <v>-99.57</v>
      </c>
      <c r="J5" s="35">
        <f>Historical!J113</f>
        <v>-606.22</v>
      </c>
      <c r="K5" s="35">
        <f>Historical!K113</f>
        <v>-456.42</v>
      </c>
      <c r="L5" s="35">
        <f>Historical!L113</f>
        <v>-43.03</v>
      </c>
      <c r="M5" s="19">
        <f>'Financial Statements'!L47-'Financial Statements'!M47</f>
        <v>131.91258697810076</v>
      </c>
      <c r="N5" s="19">
        <f>'Financial Statements'!M47-'Financial Statements'!N47</f>
        <v>-89.02701233816083</v>
      </c>
      <c r="O5" s="19">
        <f>'Financial Statements'!N47-'Financial Statements'!O47</f>
        <v>-89.077479525779836</v>
      </c>
      <c r="P5" s="19">
        <f>'Financial Statements'!O47-'Financial Statements'!P47</f>
        <v>-88.74834074423643</v>
      </c>
      <c r="Q5" s="19">
        <f>'Financial Statements'!P47-'Financial Statements'!Q47</f>
        <v>-88.066771352084288</v>
      </c>
      <c r="R5" s="19">
        <f>'Financial Statements'!Q47-'Financial Statements'!R47</f>
        <v>-87.062315946670651</v>
      </c>
      <c r="S5" s="19">
        <f>'Financial Statements'!R47-'Financial Statements'!S47</f>
        <v>-85.766023618299414</v>
      </c>
      <c r="T5" s="19">
        <f>'Financial Statements'!S47-'Financial Statements'!T47</f>
        <v>-84.209675105089445</v>
      </c>
      <c r="U5" s="19">
        <f>'Financial Statements'!T47-'Financial Statements'!U47</f>
        <v>-82.425109819493173</v>
      </c>
      <c r="V5" s="19">
        <f>'Financial Statements'!U47-'Financial Statements'!V47</f>
        <v>-80.443655371172781</v>
      </c>
    </row>
    <row r="6" spans="1:22" x14ac:dyDescent="0.3">
      <c r="D6" t="s">
        <v>154</v>
      </c>
      <c r="H6" s="35">
        <f>Historical!H114</f>
        <v>-8.9700000000000006</v>
      </c>
      <c r="I6" s="35">
        <f>Historical!I114</f>
        <v>-772.32</v>
      </c>
      <c r="J6" s="35">
        <f>Historical!J114</f>
        <v>-235.02</v>
      </c>
      <c r="K6" s="35">
        <f>Historical!K114</f>
        <v>-790.49</v>
      </c>
      <c r="L6" s="35">
        <f>Historical!L114</f>
        <v>1120.5</v>
      </c>
      <c r="M6" s="19">
        <f>'Financial Statements'!L48-'Financial Statements'!M48</f>
        <v>-696.96638733212649</v>
      </c>
      <c r="N6" s="19">
        <f>'Financial Statements'!M48-'Financial Statements'!N48</f>
        <v>-220.23502291166506</v>
      </c>
      <c r="O6" s="19">
        <f>'Financial Statements'!N48-'Financial Statements'!O48</f>
        <v>-220.35986864027882</v>
      </c>
      <c r="P6" s="19">
        <f>'Financial Statements'!O48-'Financial Statements'!P48</f>
        <v>-219.54564512327443</v>
      </c>
      <c r="Q6" s="19">
        <f>'Financial Statements'!P48-'Financial Statements'!Q48</f>
        <v>-217.85957876257908</v>
      </c>
      <c r="R6" s="19">
        <f>'Financial Statements'!Q48-'Financial Statements'!R48</f>
        <v>-215.37475698304161</v>
      </c>
      <c r="S6" s="19">
        <f>'Financial Statements'!R48-'Financial Statements'!S48</f>
        <v>-212.16798902418304</v>
      </c>
      <c r="T6" s="19">
        <f>'Financial Statements'!S48-'Financial Statements'!T48</f>
        <v>-208.31789407588258</v>
      </c>
      <c r="U6" s="19">
        <f>'Financial Statements'!T48-'Financial Statements'!U48</f>
        <v>-203.90323647659352</v>
      </c>
      <c r="V6" s="19">
        <f>'Financial Statements'!U48-'Financial Statements'!V48</f>
        <v>-199.0015144670233</v>
      </c>
    </row>
    <row r="7" spans="1:22" x14ac:dyDescent="0.3">
      <c r="D7" t="s">
        <v>157</v>
      </c>
      <c r="H7" s="35">
        <f>Historical!H115</f>
        <v>484.68</v>
      </c>
      <c r="I7" s="35">
        <f>Historical!I115</f>
        <v>24.23</v>
      </c>
      <c r="J7" s="35">
        <f>Historical!J115</f>
        <v>789.65</v>
      </c>
      <c r="K7" s="35">
        <f>Historical!K115</f>
        <v>521.63</v>
      </c>
      <c r="L7" s="35">
        <f>Historical!L115</f>
        <v>328.37</v>
      </c>
      <c r="M7" s="19">
        <f>'Financial Statements'!M61-'Financial Statements'!L61</f>
        <v>-0.73765436021085407</v>
      </c>
      <c r="N7" s="19">
        <f>'Financial Statements'!N61-'Financial Statements'!M61</f>
        <v>95.390500737990124</v>
      </c>
      <c r="O7" s="19">
        <f>'Financial Statements'!O61-'Financial Statements'!N61</f>
        <v>95.444575228096483</v>
      </c>
      <c r="P7" s="19">
        <f>'Financial Statements'!P61-'Financial Statements'!O61</f>
        <v>95.091910207006777</v>
      </c>
      <c r="Q7" s="19">
        <f>'Financial Statements'!Q61-'Financial Statements'!P61</f>
        <v>94.36162347832169</v>
      </c>
      <c r="R7" s="19">
        <f>'Financial Statements'!R61-'Financial Statements'!Q61</f>
        <v>93.285371433296632</v>
      </c>
      <c r="S7" s="19">
        <f>'Financial Statements'!S61-'Financial Statements'!R61</f>
        <v>91.896422494558465</v>
      </c>
      <c r="T7" s="19">
        <f>'Financial Statements'!T61-'Financial Statements'!S61</f>
        <v>90.228829029397502</v>
      </c>
      <c r="U7" s="19">
        <f>'Financial Statements'!U61-'Financial Statements'!T61</f>
        <v>88.316706273372802</v>
      </c>
      <c r="V7" s="19">
        <f>'Financial Statements'!V61-'Financial Statements'!U61</f>
        <v>86.193621076524323</v>
      </c>
    </row>
    <row r="8" spans="1:22" x14ac:dyDescent="0.3">
      <c r="D8" t="s">
        <v>186</v>
      </c>
      <c r="H8" s="36">
        <v>0</v>
      </c>
      <c r="I8" s="36">
        <v>0</v>
      </c>
      <c r="J8" s="36">
        <v>0</v>
      </c>
      <c r="K8" s="36">
        <v>0</v>
      </c>
      <c r="L8" s="36">
        <v>0</v>
      </c>
      <c r="M8" s="19">
        <f>L8</f>
        <v>0</v>
      </c>
      <c r="N8" s="19">
        <f t="shared" ref="N8:V8" si="0">M8</f>
        <v>0</v>
      </c>
      <c r="O8" s="19">
        <f t="shared" si="0"/>
        <v>0</v>
      </c>
      <c r="P8" s="19">
        <f t="shared" si="0"/>
        <v>0</v>
      </c>
      <c r="Q8" s="19">
        <f t="shared" si="0"/>
        <v>0</v>
      </c>
      <c r="R8" s="19">
        <f t="shared" si="0"/>
        <v>0</v>
      </c>
      <c r="S8" s="19">
        <f t="shared" si="0"/>
        <v>0</v>
      </c>
      <c r="T8" s="19">
        <f t="shared" si="0"/>
        <v>0</v>
      </c>
      <c r="U8" s="19">
        <f t="shared" si="0"/>
        <v>0</v>
      </c>
      <c r="V8" s="19">
        <f t="shared" si="0"/>
        <v>0</v>
      </c>
    </row>
    <row r="9" spans="1:22" s="10" customFormat="1" x14ac:dyDescent="0.3">
      <c r="D9" s="28" t="s">
        <v>187</v>
      </c>
      <c r="E9" s="13"/>
      <c r="F9" s="13"/>
      <c r="G9" s="13"/>
      <c r="H9" s="20">
        <f>SUM(H5:H8)</f>
        <v>892.7</v>
      </c>
      <c r="I9" s="20">
        <f t="shared" ref="I9:M9" si="1">SUM(I5:I8)</f>
        <v>-847.66000000000008</v>
      </c>
      <c r="J9" s="20">
        <f t="shared" si="1"/>
        <v>-51.590000000000032</v>
      </c>
      <c r="K9" s="20">
        <f t="shared" si="1"/>
        <v>-725.28000000000009</v>
      </c>
      <c r="L9" s="20">
        <f t="shared" si="1"/>
        <v>1405.8400000000001</v>
      </c>
      <c r="M9" s="20">
        <f t="shared" si="1"/>
        <v>-565.79145471423658</v>
      </c>
      <c r="N9" s="20">
        <f t="shared" ref="N9:V9" si="2">SUM(N5:N8)</f>
        <v>-213.87153451183576</v>
      </c>
      <c r="O9" s="20">
        <f t="shared" si="2"/>
        <v>-213.99277293796217</v>
      </c>
      <c r="P9" s="20">
        <f t="shared" si="2"/>
        <v>-213.20207566050408</v>
      </c>
      <c r="Q9" s="20">
        <f t="shared" si="2"/>
        <v>-211.56472663634167</v>
      </c>
      <c r="R9" s="20">
        <f t="shared" si="2"/>
        <v>-209.15170149641563</v>
      </c>
      <c r="S9" s="20">
        <f t="shared" si="2"/>
        <v>-206.03759014792399</v>
      </c>
      <c r="T9" s="20">
        <f t="shared" si="2"/>
        <v>-202.29874015157452</v>
      </c>
      <c r="U9" s="20">
        <f t="shared" si="2"/>
        <v>-198.01164002271389</v>
      </c>
      <c r="V9" s="20">
        <f t="shared" si="2"/>
        <v>-193.25154876167176</v>
      </c>
    </row>
    <row r="10" spans="1:22" x14ac:dyDescent="0.3">
      <c r="H10" s="19"/>
      <c r="I10" s="19"/>
      <c r="J10" s="19"/>
      <c r="K10" s="19"/>
      <c r="L10" s="19"/>
      <c r="M10" s="19"/>
      <c r="N10" s="19"/>
      <c r="O10" s="19"/>
      <c r="P10" s="19"/>
      <c r="Q10" s="19"/>
      <c r="R10" s="19"/>
      <c r="S10" s="19"/>
      <c r="T10" s="19"/>
      <c r="U10" s="19"/>
      <c r="V10" s="19"/>
    </row>
    <row r="11" spans="1:22" s="10" customFormat="1" x14ac:dyDescent="0.3">
      <c r="A11" s="8" t="s">
        <v>188</v>
      </c>
      <c r="B11" s="8"/>
      <c r="C11" s="8"/>
      <c r="D11" s="8"/>
      <c r="E11" s="8"/>
      <c r="F11" s="8"/>
      <c r="G11" s="8"/>
      <c r="H11" s="23"/>
      <c r="I11" s="23"/>
      <c r="J11" s="23"/>
      <c r="K11" s="23"/>
      <c r="L11" s="23"/>
      <c r="M11" s="23"/>
      <c r="N11" s="23"/>
      <c r="O11" s="23"/>
      <c r="P11" s="23"/>
      <c r="Q11" s="23"/>
      <c r="R11" s="23"/>
      <c r="S11" s="23"/>
      <c r="T11" s="23"/>
      <c r="U11" s="23"/>
      <c r="V11" s="23"/>
    </row>
    <row r="12" spans="1:22" x14ac:dyDescent="0.3">
      <c r="D12" t="s">
        <v>189</v>
      </c>
      <c r="H12" s="35"/>
      <c r="I12" s="35">
        <f>H15</f>
        <v>6711.04</v>
      </c>
      <c r="J12" s="35">
        <f t="shared" ref="J12:L12" si="3">I15</f>
        <v>7777.7099999999991</v>
      </c>
      <c r="K12" s="35">
        <f t="shared" si="3"/>
        <v>9590.35</v>
      </c>
      <c r="L12" s="35">
        <f t="shared" si="3"/>
        <v>10764.62</v>
      </c>
      <c r="M12" s="19">
        <f>L15</f>
        <v>12344.39</v>
      </c>
      <c r="N12" s="19">
        <f t="shared" ref="N12:V12" si="4">M15</f>
        <v>12125.583812933666</v>
      </c>
      <c r="O12" s="19">
        <f t="shared" si="4"/>
        <v>11986.846160811388</v>
      </c>
      <c r="P12" s="19">
        <f t="shared" si="4"/>
        <v>11905.095384933571</v>
      </c>
      <c r="Q12" s="19">
        <f t="shared" si="4"/>
        <v>11744.877290929004</v>
      </c>
      <c r="R12" s="19">
        <f t="shared" si="4"/>
        <v>11649.631881559204</v>
      </c>
      <c r="S12" s="19">
        <f t="shared" si="4"/>
        <v>11599.996575134655</v>
      </c>
      <c r="T12" s="19">
        <f t="shared" si="4"/>
        <v>11466.404868975351</v>
      </c>
      <c r="U12" s="19">
        <f t="shared" si="4"/>
        <v>11391.408458407102</v>
      </c>
      <c r="V12" s="19">
        <f t="shared" si="4"/>
        <v>11356.968975230018</v>
      </c>
    </row>
    <row r="13" spans="1:22" x14ac:dyDescent="0.3">
      <c r="D13" s="9" t="s">
        <v>190</v>
      </c>
      <c r="H13" s="35"/>
      <c r="I13" s="35">
        <f>I15-I12-I14</f>
        <v>2212.5499999999993</v>
      </c>
      <c r="J13" s="35">
        <f t="shared" ref="J13:L13" si="5">J15-J12-J14</f>
        <v>3473.3100000000013</v>
      </c>
      <c r="K13" s="35">
        <f>K15-K12-K14</f>
        <v>3071.59</v>
      </c>
      <c r="L13" s="35">
        <f t="shared" si="5"/>
        <v>4586.5499999999993</v>
      </c>
      <c r="M13" s="19">
        <f>AVERAGE(I13:L13)*(1+0.5%)</f>
        <v>3352.68</v>
      </c>
      <c r="N13" s="19">
        <f>M13*(1+0.5%)</f>
        <v>3369.4433999999997</v>
      </c>
      <c r="O13" s="19">
        <f t="shared" ref="O13:V13" si="6">N13*(1+0.5%)</f>
        <v>3386.2906169999992</v>
      </c>
      <c r="P13" s="19">
        <f t="shared" si="6"/>
        <v>3403.2220700849989</v>
      </c>
      <c r="Q13" s="19">
        <f>P13*(1+0.5%)</f>
        <v>3420.2381804354236</v>
      </c>
      <c r="R13" s="19">
        <f t="shared" si="6"/>
        <v>3437.3393713376004</v>
      </c>
      <c r="S13" s="19">
        <f t="shared" si="6"/>
        <v>3454.5260681942882</v>
      </c>
      <c r="T13" s="19">
        <f t="shared" si="6"/>
        <v>3471.7986985352591</v>
      </c>
      <c r="U13" s="19">
        <f t="shared" si="6"/>
        <v>3489.1576920279349</v>
      </c>
      <c r="V13" s="19">
        <f t="shared" si="6"/>
        <v>3506.6034804880742</v>
      </c>
    </row>
    <row r="14" spans="1:22" x14ac:dyDescent="0.3">
      <c r="D14" t="s">
        <v>191</v>
      </c>
      <c r="H14" s="35">
        <f>'Financial Statements'!H33</f>
        <v>-1262.3399999999999</v>
      </c>
      <c r="I14" s="35">
        <f>'Financial Statements'!I33</f>
        <v>-1145.8800000000001</v>
      </c>
      <c r="J14" s="35">
        <f>'Financial Statements'!J33</f>
        <v>-1660.67</v>
      </c>
      <c r="K14" s="35">
        <f>'Financial Statements'!K33</f>
        <v>-1897.32</v>
      </c>
      <c r="L14" s="35">
        <f>'Financial Statements'!L33</f>
        <v>-3006.78</v>
      </c>
      <c r="M14" s="19">
        <f>-M12*'Financial Statements'!M13</f>
        <v>-3571.486187066334</v>
      </c>
      <c r="N14" s="19">
        <f>-N12*'Financial Statements'!N13</f>
        <v>-3508.1810521222774</v>
      </c>
      <c r="O14" s="19">
        <f>-O12*'Financial Statements'!O13</f>
        <v>-3468.0413928778166</v>
      </c>
      <c r="P14" s="19">
        <f>-P12*'Financial Statements'!P13</f>
        <v>-3563.4401640895671</v>
      </c>
      <c r="Q14" s="19">
        <f>-Q12*'Financial Statements'!Q13</f>
        <v>-3515.4835898052247</v>
      </c>
      <c r="R14" s="19">
        <f>-R12*'Financial Statements'!R13</f>
        <v>-3486.974677762149</v>
      </c>
      <c r="S14" s="19">
        <f>-S12*'Financial Statements'!S13</f>
        <v>-3588.1177743535918</v>
      </c>
      <c r="T14" s="19">
        <f>-T12*'Financial Statements'!T13</f>
        <v>-3546.795109103507</v>
      </c>
      <c r="U14" s="19">
        <f>-U12*'Financial Statements'!U13</f>
        <v>-3523.5971752050195</v>
      </c>
      <c r="V14" s="19">
        <f>-V12*'Financial Statements'!V13</f>
        <v>-3626.5140237321652</v>
      </c>
    </row>
    <row r="15" spans="1:22" x14ac:dyDescent="0.3">
      <c r="D15" s="28" t="s">
        <v>192</v>
      </c>
      <c r="E15" s="28"/>
      <c r="F15" s="28"/>
      <c r="G15" s="28"/>
      <c r="H15" s="29">
        <f>'Financial Statements'!H53</f>
        <v>6711.04</v>
      </c>
      <c r="I15" s="29">
        <f>'Financial Statements'!I53</f>
        <v>7777.7099999999991</v>
      </c>
      <c r="J15" s="29">
        <f>'Financial Statements'!J53</f>
        <v>9590.35</v>
      </c>
      <c r="K15" s="29">
        <f>'Financial Statements'!K53</f>
        <v>10764.62</v>
      </c>
      <c r="L15" s="29">
        <f>'Financial Statements'!L53</f>
        <v>12344.39</v>
      </c>
      <c r="M15" s="29">
        <f>SUM(M12:M14)</f>
        <v>12125.583812933666</v>
      </c>
      <c r="N15" s="29">
        <f t="shared" ref="N15:V15" si="7">SUM(N12:N14)</f>
        <v>11986.846160811388</v>
      </c>
      <c r="O15" s="29">
        <f t="shared" si="7"/>
        <v>11905.095384933571</v>
      </c>
      <c r="P15" s="29">
        <f t="shared" si="7"/>
        <v>11744.877290929004</v>
      </c>
      <c r="Q15" s="29">
        <f t="shared" si="7"/>
        <v>11649.631881559204</v>
      </c>
      <c r="R15" s="29">
        <f t="shared" si="7"/>
        <v>11599.996575134655</v>
      </c>
      <c r="S15" s="29">
        <f t="shared" si="7"/>
        <v>11466.404868975351</v>
      </c>
      <c r="T15" s="29">
        <f t="shared" si="7"/>
        <v>11391.408458407102</v>
      </c>
      <c r="U15" s="29">
        <f t="shared" si="7"/>
        <v>11356.968975230018</v>
      </c>
      <c r="V15" s="29">
        <f t="shared" si="7"/>
        <v>11237.058431985928</v>
      </c>
    </row>
    <row r="16" spans="1:22" x14ac:dyDescent="0.3">
      <c r="H16" s="19"/>
      <c r="I16" s="19"/>
      <c r="J16" s="19"/>
      <c r="K16" s="19"/>
      <c r="L16" s="19"/>
      <c r="M16" s="19"/>
      <c r="N16" s="19"/>
      <c r="O16" s="19"/>
      <c r="P16" s="19"/>
      <c r="Q16" s="19"/>
      <c r="R16" s="19"/>
      <c r="S16" s="19"/>
      <c r="T16" s="19"/>
      <c r="U16" s="19"/>
      <c r="V16" s="19"/>
    </row>
    <row r="17" spans="1:22" s="10" customFormat="1" x14ac:dyDescent="0.3">
      <c r="A17" s="8" t="s">
        <v>193</v>
      </c>
      <c r="B17" s="8"/>
      <c r="C17" s="8"/>
      <c r="D17" s="8"/>
      <c r="E17" s="8"/>
      <c r="F17" s="8"/>
      <c r="G17" s="8"/>
      <c r="H17" s="23"/>
      <c r="I17" s="23"/>
      <c r="J17" s="23"/>
      <c r="K17" s="23"/>
      <c r="L17" s="23"/>
      <c r="M17" s="23"/>
      <c r="N17" s="23"/>
      <c r="O17" s="23"/>
      <c r="P17" s="23"/>
      <c r="Q17" s="23"/>
      <c r="R17" s="23"/>
      <c r="S17" s="23"/>
      <c r="T17" s="23"/>
      <c r="U17" s="23"/>
      <c r="V17" s="23"/>
    </row>
    <row r="18" spans="1:22" x14ac:dyDescent="0.3">
      <c r="D18" t="s">
        <v>194</v>
      </c>
      <c r="H18" s="35"/>
      <c r="I18" s="35">
        <f>H20</f>
        <v>2229.8799999999997</v>
      </c>
      <c r="J18" s="35">
        <f t="shared" ref="J18:L18" si="8">I20</f>
        <v>2129.2199999999998</v>
      </c>
      <c r="K18" s="35">
        <f t="shared" si="8"/>
        <v>2724.67</v>
      </c>
      <c r="L18" s="35">
        <f t="shared" si="8"/>
        <v>1655.5500000000002</v>
      </c>
      <c r="M18" s="19">
        <f>L20</f>
        <v>1046.1300000000001</v>
      </c>
      <c r="N18" s="19">
        <f t="shared" ref="N18:V18" si="9">M20</f>
        <v>1046.1300000000001</v>
      </c>
      <c r="O18" s="19">
        <f t="shared" si="9"/>
        <v>1046.1300000000001</v>
      </c>
      <c r="P18" s="19">
        <f t="shared" si="9"/>
        <v>1046.1300000000001</v>
      </c>
      <c r="Q18" s="19">
        <f t="shared" si="9"/>
        <v>1046.1300000000001</v>
      </c>
      <c r="R18" s="19">
        <f t="shared" si="9"/>
        <v>1046.1300000000001</v>
      </c>
      <c r="S18" s="19">
        <f t="shared" si="9"/>
        <v>1046.1300000000001</v>
      </c>
      <c r="T18" s="19">
        <f t="shared" si="9"/>
        <v>1046.1300000000001</v>
      </c>
      <c r="U18" s="19">
        <f t="shared" si="9"/>
        <v>1046.1300000000001</v>
      </c>
      <c r="V18" s="19">
        <f t="shared" si="9"/>
        <v>1046.1300000000001</v>
      </c>
    </row>
    <row r="19" spans="1:22" x14ac:dyDescent="0.3">
      <c r="D19" s="9" t="s">
        <v>180</v>
      </c>
      <c r="H19" s="35"/>
      <c r="I19" s="35">
        <f>I20-I18</f>
        <v>-100.65999999999985</v>
      </c>
      <c r="J19" s="35">
        <f t="shared" ref="J19:L19" si="10">J20-J18</f>
        <v>595.45000000000027</v>
      </c>
      <c r="K19" s="35">
        <f t="shared" si="10"/>
        <v>-1069.1199999999999</v>
      </c>
      <c r="L19" s="35">
        <f t="shared" si="10"/>
        <v>-609.42000000000007</v>
      </c>
      <c r="M19" s="19">
        <v>0</v>
      </c>
      <c r="N19" s="19">
        <v>0</v>
      </c>
      <c r="O19" s="19">
        <v>0</v>
      </c>
      <c r="P19" s="19">
        <v>0</v>
      </c>
      <c r="Q19" s="19">
        <v>0</v>
      </c>
      <c r="R19" s="19">
        <v>0</v>
      </c>
      <c r="S19" s="19">
        <v>0</v>
      </c>
      <c r="T19" s="19">
        <v>0</v>
      </c>
      <c r="U19" s="19">
        <v>0</v>
      </c>
      <c r="V19" s="19">
        <v>0</v>
      </c>
    </row>
    <row r="20" spans="1:22" x14ac:dyDescent="0.3">
      <c r="D20" s="28" t="s">
        <v>195</v>
      </c>
      <c r="E20" s="28"/>
      <c r="F20" s="28"/>
      <c r="G20" s="28"/>
      <c r="H20" s="29">
        <f>'Financial Statements'!H65</f>
        <v>2229.8799999999997</v>
      </c>
      <c r="I20" s="29">
        <f>'Financial Statements'!I65</f>
        <v>2129.2199999999998</v>
      </c>
      <c r="J20" s="29">
        <f>'Financial Statements'!J65</f>
        <v>2724.67</v>
      </c>
      <c r="K20" s="29">
        <f>'Financial Statements'!K65</f>
        <v>1655.5500000000002</v>
      </c>
      <c r="L20" s="29">
        <f>'Financial Statements'!L65</f>
        <v>1046.1300000000001</v>
      </c>
      <c r="M20" s="29">
        <f>SUM(M18:M19)</f>
        <v>1046.1300000000001</v>
      </c>
      <c r="N20" s="29">
        <f t="shared" ref="N20:V20" si="11">SUM(N18:N19)</f>
        <v>1046.1300000000001</v>
      </c>
      <c r="O20" s="29">
        <f t="shared" si="11"/>
        <v>1046.1300000000001</v>
      </c>
      <c r="P20" s="29">
        <f t="shared" si="11"/>
        <v>1046.1300000000001</v>
      </c>
      <c r="Q20" s="29">
        <f t="shared" si="11"/>
        <v>1046.1300000000001</v>
      </c>
      <c r="R20" s="29">
        <f t="shared" si="11"/>
        <v>1046.1300000000001</v>
      </c>
      <c r="S20" s="29">
        <f t="shared" si="11"/>
        <v>1046.1300000000001</v>
      </c>
      <c r="T20" s="29">
        <f t="shared" si="11"/>
        <v>1046.1300000000001</v>
      </c>
      <c r="U20" s="29">
        <f t="shared" si="11"/>
        <v>1046.1300000000001</v>
      </c>
      <c r="V20" s="29">
        <f t="shared" si="11"/>
        <v>1046.1300000000001</v>
      </c>
    </row>
    <row r="21" spans="1:22" x14ac:dyDescent="0.3">
      <c r="D21" s="9" t="s">
        <v>142</v>
      </c>
      <c r="H21" s="19">
        <f>'Financial Statements'!H35</f>
        <v>-251.29</v>
      </c>
      <c r="I21" s="19">
        <f>'Financial Statements'!I35</f>
        <v>-216.12</v>
      </c>
      <c r="J21" s="19">
        <f>'Financial Statements'!J35</f>
        <v>-262.87</v>
      </c>
      <c r="K21" s="19">
        <f>'Financial Statements'!K35</f>
        <v>-258.33999999999997</v>
      </c>
      <c r="L21" s="19">
        <f>'Financial Statements'!L35</f>
        <v>-204.96</v>
      </c>
      <c r="M21" s="19">
        <f>-M18*'Financial Statements'!M14</f>
        <v>-114.81153278562709</v>
      </c>
      <c r="N21" s="19">
        <f>-N18*'Financial Statements'!N14</f>
        <v>-114.81153278562709</v>
      </c>
      <c r="O21" s="19">
        <f>-O18*'Financial Statements'!O14</f>
        <v>-114.81153278562709</v>
      </c>
      <c r="P21" s="19">
        <f>-P18*'Financial Statements'!P14</f>
        <v>-114.81153278562709</v>
      </c>
      <c r="Q21" s="19">
        <f>-Q18*'Financial Statements'!Q14</f>
        <v>-114.81153278562709</v>
      </c>
      <c r="R21" s="19">
        <f>-R18*'Financial Statements'!R14</f>
        <v>-114.81153278562709</v>
      </c>
      <c r="S21" s="19">
        <f>-S18*'Financial Statements'!S14</f>
        <v>-114.81153278562709</v>
      </c>
      <c r="T21" s="19">
        <f>-T18*'Financial Statements'!T14</f>
        <v>-114.81153278562709</v>
      </c>
      <c r="U21" s="19">
        <f>-U18*'Financial Statements'!U14</f>
        <v>-114.81153278562709</v>
      </c>
      <c r="V21" s="19">
        <f>-V18*'Financial Statements'!V14</f>
        <v>-114.81153278562709</v>
      </c>
    </row>
    <row r="24" spans="1:22" x14ac:dyDescent="0.3">
      <c r="D24" s="134" t="s">
        <v>504</v>
      </c>
    </row>
  </sheetData>
  <mergeCells count="2">
    <mergeCell ref="H1:L1"/>
    <mergeCell ref="M1:V1"/>
  </mergeCells>
  <hyperlinks>
    <hyperlink ref="D24" location="Cover!A1" display="Back to Cover" xr:uid="{C6CC1A96-09E9-4E8C-B431-A08905A9FA2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4B383-A7A8-42E7-988E-25E6FE09E1FB}">
  <dimension ref="A1:W111"/>
  <sheetViews>
    <sheetView zoomScale="86" workbookViewId="0">
      <pane ySplit="5" topLeftCell="A6" activePane="bottomLeft" state="frozen"/>
      <selection activeCell="Q14" sqref="Q14"/>
      <selection pane="bottomLeft"/>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1.77734375" customWidth="1"/>
    <col min="11" max="11" width="11.77734375" customWidth="1"/>
    <col min="17" max="17" width="11.77734375" customWidth="1"/>
  </cols>
  <sheetData>
    <row r="1" spans="1:22" ht="32.4" x14ac:dyDescent="0.6">
      <c r="A1" s="1" t="str">
        <f>Historical!A1</f>
        <v>Shree Cement Ltd.</v>
      </c>
      <c r="B1" s="2"/>
      <c r="C1" s="2"/>
      <c r="D1" s="2"/>
      <c r="E1" s="3"/>
      <c r="F1" s="3"/>
      <c r="G1" s="3"/>
      <c r="H1" s="160" t="s">
        <v>0</v>
      </c>
      <c r="I1" s="160"/>
      <c r="J1" s="160"/>
      <c r="K1" s="160"/>
      <c r="L1" s="161"/>
      <c r="M1" s="160" t="s">
        <v>149</v>
      </c>
      <c r="N1" s="160"/>
      <c r="O1" s="160"/>
      <c r="P1" s="160"/>
      <c r="Q1" s="160"/>
      <c r="R1" s="160"/>
      <c r="S1" s="160"/>
      <c r="T1" s="160"/>
      <c r="U1" s="160"/>
      <c r="V1" s="160"/>
    </row>
    <row r="2" spans="1:22" ht="16.2" x14ac:dyDescent="0.35">
      <c r="A2" s="4" t="s">
        <v>210</v>
      </c>
      <c r="B2" s="4"/>
      <c r="C2" s="4"/>
      <c r="D2" s="4"/>
      <c r="E2" s="5"/>
      <c r="F2" s="5"/>
      <c r="G2" s="5"/>
      <c r="H2" s="6">
        <v>2021</v>
      </c>
      <c r="I2" s="6">
        <f t="shared" ref="I2:L2" si="0">H2+1</f>
        <v>2022</v>
      </c>
      <c r="J2" s="6">
        <f t="shared" si="0"/>
        <v>2023</v>
      </c>
      <c r="K2" s="6">
        <f t="shared" si="0"/>
        <v>2024</v>
      </c>
      <c r="L2" s="27">
        <f t="shared" si="0"/>
        <v>2025</v>
      </c>
      <c r="M2" s="7">
        <f>L2+1</f>
        <v>2026</v>
      </c>
      <c r="N2" s="7">
        <f t="shared" ref="N2:V2" si="1">M2+1</f>
        <v>2027</v>
      </c>
      <c r="O2" s="7">
        <f t="shared" si="1"/>
        <v>2028</v>
      </c>
      <c r="P2" s="7">
        <f t="shared" si="1"/>
        <v>2029</v>
      </c>
      <c r="Q2" s="7">
        <f t="shared" si="1"/>
        <v>2030</v>
      </c>
      <c r="R2" s="7">
        <f t="shared" si="1"/>
        <v>2031</v>
      </c>
      <c r="S2" s="7">
        <f t="shared" si="1"/>
        <v>2032</v>
      </c>
      <c r="T2" s="7">
        <f t="shared" si="1"/>
        <v>2033</v>
      </c>
      <c r="U2" s="7">
        <f t="shared" si="1"/>
        <v>2034</v>
      </c>
      <c r="V2" s="7">
        <f t="shared" si="1"/>
        <v>2035</v>
      </c>
    </row>
    <row r="3" spans="1:22" s="18" customFormat="1" x14ac:dyDescent="0.3">
      <c r="D3" s="18" t="s">
        <v>265</v>
      </c>
      <c r="H3" s="18" t="str">
        <f>IF(H77=0,"Perfect","Error")</f>
        <v>Perfect</v>
      </c>
      <c r="I3" s="18" t="str">
        <f t="shared" ref="I3:V3" si="2">IF(I77=0,"Perfect","Error")</f>
        <v>Perfect</v>
      </c>
      <c r="J3" s="18" t="str">
        <f t="shared" si="2"/>
        <v>Perfect</v>
      </c>
      <c r="K3" s="18" t="str">
        <f t="shared" si="2"/>
        <v>Perfect</v>
      </c>
      <c r="L3" s="18" t="str">
        <f t="shared" si="2"/>
        <v>Perfect</v>
      </c>
      <c r="M3" s="18" t="str">
        <f t="shared" si="2"/>
        <v>Perfect</v>
      </c>
      <c r="N3" s="18" t="str">
        <f t="shared" si="2"/>
        <v>Perfect</v>
      </c>
      <c r="O3" s="18" t="str">
        <f t="shared" si="2"/>
        <v>Perfect</v>
      </c>
      <c r="P3" s="18" t="str">
        <f t="shared" si="2"/>
        <v>Perfect</v>
      </c>
      <c r="Q3" s="18" t="str">
        <f t="shared" si="2"/>
        <v>Perfect</v>
      </c>
      <c r="R3" s="18" t="str">
        <f t="shared" si="2"/>
        <v>Perfect</v>
      </c>
      <c r="S3" s="18" t="str">
        <f t="shared" si="2"/>
        <v>Perfect</v>
      </c>
      <c r="T3" s="18" t="str">
        <f t="shared" si="2"/>
        <v>Perfect</v>
      </c>
      <c r="U3" s="18" t="str">
        <f t="shared" si="2"/>
        <v>Perfect</v>
      </c>
      <c r="V3" s="18" t="str">
        <f t="shared" si="2"/>
        <v>Perfect</v>
      </c>
    </row>
    <row r="4" spans="1:22" ht="15" thickBot="1" x14ac:dyDescent="0.35"/>
    <row r="5" spans="1:22" x14ac:dyDescent="0.3">
      <c r="D5" s="8" t="s">
        <v>266</v>
      </c>
      <c r="E5" s="63" t="s">
        <v>243</v>
      </c>
      <c r="G5">
        <f>IF($E$5='Revenue Scenarios'!D5,1,IF('Financial Statements'!$E$5='Revenue Scenarios'!D6,2,3))</f>
        <v>1</v>
      </c>
    </row>
    <row r="7" spans="1:22" s="10" customFormat="1" x14ac:dyDescent="0.3">
      <c r="A7" s="8" t="s">
        <v>498</v>
      </c>
      <c r="B7" s="8"/>
      <c r="C7" s="8"/>
      <c r="D7" s="8"/>
      <c r="E7" s="8"/>
      <c r="F7" s="8"/>
      <c r="G7" s="8"/>
      <c r="H7" s="8"/>
      <c r="I7" s="8"/>
      <c r="J7" s="8"/>
      <c r="K7" s="8"/>
      <c r="L7" s="8"/>
      <c r="M7" s="8"/>
      <c r="N7" s="8"/>
      <c r="O7" s="8"/>
      <c r="P7" s="8"/>
      <c r="Q7" s="8"/>
      <c r="R7" s="8"/>
      <c r="S7" s="8"/>
      <c r="T7" s="8"/>
      <c r="U7" s="8"/>
      <c r="V7" s="8"/>
    </row>
    <row r="8" spans="1:22" x14ac:dyDescent="0.3">
      <c r="D8" t="s">
        <v>198</v>
      </c>
      <c r="F8" t="s">
        <v>206</v>
      </c>
      <c r="H8" s="40"/>
      <c r="I8" s="40">
        <f>'Financial Statements'!I25/'Financial Statements'!H25-1</f>
        <v>0.10691848018071104</v>
      </c>
      <c r="J8" s="40">
        <f>'Financial Statements'!J25/'Financial Statements'!I25-1</f>
        <v>0.18939729079333456</v>
      </c>
      <c r="K8" s="40">
        <f>'Financial Statements'!K25/'Financial Statements'!J25-1</f>
        <v>0.14292084002480343</v>
      </c>
      <c r="L8" s="40">
        <f>'Financial Statements'!L25/'Financial Statements'!K25-1</f>
        <v>-5.493927601721238E-2</v>
      </c>
      <c r="M8" s="57">
        <f t="array" ref="M8:V8">CHOOSE('Financial Statements'!$G$5,'Revenue Scenarios'!H5:Q5,'Revenue Scenarios'!H6:Q6,'Revenue Scenarios'!H7:Q7)</f>
        <v>7.4999999999999997E-2</v>
      </c>
      <c r="N8" s="57">
        <v>7.0125000000000007E-2</v>
      </c>
      <c r="O8" s="57">
        <v>6.5566875000000011E-2</v>
      </c>
      <c r="P8" s="57">
        <v>6.1305028125000015E-2</v>
      </c>
      <c r="Q8" s="57">
        <v>5.7320201296875019E-2</v>
      </c>
      <c r="R8" s="57">
        <v>5.3594388212578142E-2</v>
      </c>
      <c r="S8" s="57">
        <v>5.0110752978760567E-2</v>
      </c>
      <c r="T8" s="57">
        <v>4.6853554035141132E-2</v>
      </c>
      <c r="U8" s="57">
        <v>4.3808073022856962E-2</v>
      </c>
      <c r="V8" s="57">
        <v>4.0960548276371266E-2</v>
      </c>
    </row>
    <row r="9" spans="1:22" x14ac:dyDescent="0.3">
      <c r="D9" t="s">
        <v>138</v>
      </c>
      <c r="F9" t="s">
        <v>206</v>
      </c>
      <c r="H9" s="40">
        <f>-'Financial Statements'!H26/'Financial Statements'!H25</f>
        <v>0.31589105124939432</v>
      </c>
      <c r="I9" s="40">
        <f>-'Financial Statements'!I26/'Financial Statements'!I25</f>
        <v>0.36565095845581086</v>
      </c>
      <c r="J9" s="40">
        <f>-'Financial Statements'!J26/'Financial Statements'!J25</f>
        <v>0.47692766154333915</v>
      </c>
      <c r="K9" s="40">
        <f>-'Financial Statements'!K26/'Financial Statements'!K25</f>
        <v>0.44620756917829035</v>
      </c>
      <c r="L9" s="40">
        <f>-'Financial Statements'!L26/'Financial Statements'!L25</f>
        <v>0.41447183841790858</v>
      </c>
      <c r="M9" s="57">
        <f>AVERAGE(H9:L9)</f>
        <v>0.40382981576894866</v>
      </c>
      <c r="N9" s="57">
        <f t="shared" ref="N9:V9" si="3">M9</f>
        <v>0.40382981576894866</v>
      </c>
      <c r="O9" s="57">
        <f t="shared" si="3"/>
        <v>0.40382981576894866</v>
      </c>
      <c r="P9" s="57">
        <f t="shared" si="3"/>
        <v>0.40382981576894866</v>
      </c>
      <c r="Q9" s="57">
        <f t="shared" si="3"/>
        <v>0.40382981576894866</v>
      </c>
      <c r="R9" s="57">
        <f t="shared" si="3"/>
        <v>0.40382981576894866</v>
      </c>
      <c r="S9" s="57">
        <f t="shared" si="3"/>
        <v>0.40382981576894866</v>
      </c>
      <c r="T9" s="57">
        <f t="shared" si="3"/>
        <v>0.40382981576894866</v>
      </c>
      <c r="U9" s="57">
        <f t="shared" si="3"/>
        <v>0.40382981576894866</v>
      </c>
      <c r="V9" s="57">
        <f t="shared" si="3"/>
        <v>0.40382981576894866</v>
      </c>
    </row>
    <row r="10" spans="1:22" x14ac:dyDescent="0.3">
      <c r="D10" t="s">
        <v>199</v>
      </c>
      <c r="F10" t="s">
        <v>206</v>
      </c>
      <c r="H10" s="40">
        <f>-'Financial Statements'!H29/'Financial Statements'!H25</f>
        <v>6.4102857201855198E-2</v>
      </c>
      <c r="I10" s="40">
        <f>-'Financial Statements'!I29/'Financial Statements'!I25</f>
        <v>6.0858546153251668E-2</v>
      </c>
      <c r="J10" s="40">
        <f>-'Financial Statements'!J29/'Financial Statements'!J25</f>
        <v>5.4769881578483025E-2</v>
      </c>
      <c r="K10" s="40">
        <f>-'Financial Statements'!K29/'Financial Statements'!K25</f>
        <v>5.2168223566198456E-2</v>
      </c>
      <c r="L10" s="40">
        <f>-'Financial Statements'!L29/'Financial Statements'!L25</f>
        <v>5.952601355713865E-2</v>
      </c>
      <c r="M10" s="57">
        <f>AVERAGE(H10:L10)</f>
        <v>5.8285104411385402E-2</v>
      </c>
      <c r="N10" s="57">
        <f t="shared" ref="N10:V10" si="4">M10</f>
        <v>5.8285104411385402E-2</v>
      </c>
      <c r="O10" s="57">
        <f t="shared" si="4"/>
        <v>5.8285104411385402E-2</v>
      </c>
      <c r="P10" s="57">
        <f t="shared" si="4"/>
        <v>5.8285104411385402E-2</v>
      </c>
      <c r="Q10" s="57">
        <f t="shared" si="4"/>
        <v>5.8285104411385402E-2</v>
      </c>
      <c r="R10" s="57">
        <f t="shared" si="4"/>
        <v>5.8285104411385402E-2</v>
      </c>
      <c r="S10" s="57">
        <f t="shared" si="4"/>
        <v>5.8285104411385402E-2</v>
      </c>
      <c r="T10" s="57">
        <f t="shared" si="4"/>
        <v>5.8285104411385402E-2</v>
      </c>
      <c r="U10" s="57">
        <f t="shared" si="4"/>
        <v>5.8285104411385402E-2</v>
      </c>
      <c r="V10" s="57">
        <f t="shared" si="4"/>
        <v>5.8285104411385402E-2</v>
      </c>
    </row>
    <row r="11" spans="1:22" x14ac:dyDescent="0.3">
      <c r="D11" t="s">
        <v>496</v>
      </c>
      <c r="F11" t="s">
        <v>206</v>
      </c>
      <c r="H11" s="40">
        <f>-H30/H25</f>
        <v>0.16919977256251395</v>
      </c>
      <c r="I11" s="40">
        <f t="shared" ref="I11:L11" si="5">-I30/I25</f>
        <v>0.16449982544458333</v>
      </c>
      <c r="J11" s="40">
        <f t="shared" si="5"/>
        <v>0.15585976732448928</v>
      </c>
      <c r="K11" s="40">
        <f t="shared" si="5"/>
        <v>0.15870083023750478</v>
      </c>
      <c r="L11" s="40">
        <f t="shared" si="5"/>
        <v>0.17696416967841336</v>
      </c>
      <c r="M11" s="57">
        <f>AVERAGE(H11:L11)</f>
        <v>0.16504487304950094</v>
      </c>
      <c r="N11" s="57">
        <f t="shared" ref="N11:N20" si="6">M11</f>
        <v>0.16504487304950094</v>
      </c>
      <c r="O11" s="57">
        <f t="shared" ref="O11:V11" si="7">N11</f>
        <v>0.16504487304950094</v>
      </c>
      <c r="P11" s="57">
        <f t="shared" si="7"/>
        <v>0.16504487304950094</v>
      </c>
      <c r="Q11" s="57">
        <f t="shared" si="7"/>
        <v>0.16504487304950094</v>
      </c>
      <c r="R11" s="57">
        <f t="shared" si="7"/>
        <v>0.16504487304950094</v>
      </c>
      <c r="S11" s="57">
        <f t="shared" si="7"/>
        <v>0.16504487304950094</v>
      </c>
      <c r="T11" s="57">
        <f t="shared" si="7"/>
        <v>0.16504487304950094</v>
      </c>
      <c r="U11" s="57">
        <f t="shared" si="7"/>
        <v>0.16504487304950094</v>
      </c>
      <c r="V11" s="57">
        <f t="shared" si="7"/>
        <v>0.16504487304950094</v>
      </c>
    </row>
    <row r="12" spans="1:22" x14ac:dyDescent="0.3">
      <c r="D12" t="s">
        <v>200</v>
      </c>
      <c r="F12" t="s">
        <v>206</v>
      </c>
      <c r="H12" s="40">
        <f>-'Financial Statements'!H31/'Financial Statements'!H25</f>
        <v>0.14995682080153278</v>
      </c>
      <c r="I12" s="40">
        <f>-'Financial Statements'!I31/'Financial Statements'!I25</f>
        <v>0.16195278209354569</v>
      </c>
      <c r="J12" s="40">
        <f>-'Financial Statements'!J31/'Financial Statements'!J25</f>
        <v>0.14666600942285962</v>
      </c>
      <c r="K12" s="40">
        <f>-'Financial Statements'!K31/'Financial Statements'!K25</f>
        <v>0.12155578862760857</v>
      </c>
      <c r="L12" s="40">
        <f>-'Financial Statements'!L31/'Financial Statements'!L25</f>
        <v>0.14502072569223498</v>
      </c>
      <c r="M12" s="57">
        <f>AVERAGE(H12:L12)</f>
        <v>0.14503042532755633</v>
      </c>
      <c r="N12" s="57">
        <f t="shared" si="6"/>
        <v>0.14503042532755633</v>
      </c>
      <c r="O12" s="57">
        <f t="shared" ref="O12:V12" si="8">N12</f>
        <v>0.14503042532755633</v>
      </c>
      <c r="P12" s="57">
        <f t="shared" si="8"/>
        <v>0.14503042532755633</v>
      </c>
      <c r="Q12" s="57">
        <f t="shared" si="8"/>
        <v>0.14503042532755633</v>
      </c>
      <c r="R12" s="57">
        <f t="shared" si="8"/>
        <v>0.14503042532755633</v>
      </c>
      <c r="S12" s="57">
        <f t="shared" si="8"/>
        <v>0.14503042532755633</v>
      </c>
      <c r="T12" s="57">
        <f t="shared" si="8"/>
        <v>0.14503042532755633</v>
      </c>
      <c r="U12" s="57">
        <f t="shared" si="8"/>
        <v>0.14503042532755633</v>
      </c>
      <c r="V12" s="57">
        <f t="shared" si="8"/>
        <v>0.14503042532755633</v>
      </c>
    </row>
    <row r="13" spans="1:22" x14ac:dyDescent="0.3">
      <c r="D13" t="s">
        <v>201</v>
      </c>
      <c r="F13" t="s">
        <v>206</v>
      </c>
      <c r="H13" s="40"/>
      <c r="I13" s="40">
        <f>-'Financial Statements'!I33/Schedules!I12</f>
        <v>0.17074551783330155</v>
      </c>
      <c r="J13" s="40">
        <f>-'Financial Statements'!J33/Schedules!J12</f>
        <v>0.213516574930153</v>
      </c>
      <c r="K13" s="40">
        <f>-'Financial Statements'!K33/Schedules!K12</f>
        <v>0.19783636676450805</v>
      </c>
      <c r="L13" s="40">
        <f>-'Financial Statements'!L33/Schedules!L12</f>
        <v>0.27932058911508256</v>
      </c>
      <c r="M13" s="57">
        <f>L13+1%</f>
        <v>0.28932058911508257</v>
      </c>
      <c r="N13" s="57">
        <f t="shared" si="6"/>
        <v>0.28932058911508257</v>
      </c>
      <c r="O13" s="57">
        <f>N13</f>
        <v>0.28932058911508257</v>
      </c>
      <c r="P13" s="40">
        <f>O13+1%</f>
        <v>0.29932058911508258</v>
      </c>
      <c r="Q13" s="40">
        <f t="shared" ref="Q13:R15" si="9">P13</f>
        <v>0.29932058911508258</v>
      </c>
      <c r="R13" s="40">
        <f t="shared" si="9"/>
        <v>0.29932058911508258</v>
      </c>
      <c r="S13" s="57">
        <f>R13+1%</f>
        <v>0.30932058911508259</v>
      </c>
      <c r="T13" s="57">
        <f t="shared" ref="T13:U15" si="10">S13</f>
        <v>0.30932058911508259</v>
      </c>
      <c r="U13" s="57">
        <f t="shared" si="10"/>
        <v>0.30932058911508259</v>
      </c>
      <c r="V13" s="57">
        <f>U13+1%</f>
        <v>0.3193205891150826</v>
      </c>
    </row>
    <row r="14" spans="1:22" x14ac:dyDescent="0.3">
      <c r="D14" t="s">
        <v>202</v>
      </c>
      <c r="F14" t="s">
        <v>206</v>
      </c>
      <c r="H14" s="40"/>
      <c r="I14" s="40">
        <f>-'Financial Statements'!I35/Schedules!I18</f>
        <v>9.6920013633020621E-2</v>
      </c>
      <c r="J14" s="40">
        <f>-'Financial Statements'!J35/Schedules!J18</f>
        <v>0.12345835564197219</v>
      </c>
      <c r="K14" s="40">
        <f>-'Financial Statements'!K35/Schedules!K18</f>
        <v>9.4815151926655322E-2</v>
      </c>
      <c r="L14" s="40">
        <f>-'Financial Statements'!L35/Schedules!L18</f>
        <v>0.1238017577240192</v>
      </c>
      <c r="M14" s="57">
        <f>AVERAGE(I14:L14)</f>
        <v>0.10974881973141683</v>
      </c>
      <c r="N14" s="57">
        <f t="shared" si="6"/>
        <v>0.10974881973141683</v>
      </c>
      <c r="O14" s="57">
        <f>N14</f>
        <v>0.10974881973141683</v>
      </c>
      <c r="P14" s="57">
        <f t="shared" ref="P14:P20" si="11">O14</f>
        <v>0.10974881973141683</v>
      </c>
      <c r="Q14" s="57">
        <f t="shared" si="9"/>
        <v>0.10974881973141683</v>
      </c>
      <c r="R14" s="57">
        <f t="shared" si="9"/>
        <v>0.10974881973141683</v>
      </c>
      <c r="S14" s="57">
        <f>R14</f>
        <v>0.10974881973141683</v>
      </c>
      <c r="T14" s="57">
        <f t="shared" si="10"/>
        <v>0.10974881973141683</v>
      </c>
      <c r="U14" s="57">
        <f t="shared" si="10"/>
        <v>0.10974881973141683</v>
      </c>
      <c r="V14" s="57">
        <f t="shared" ref="V14:V20" si="12">U14</f>
        <v>0.10974881973141683</v>
      </c>
    </row>
    <row r="15" spans="1:22" x14ac:dyDescent="0.3">
      <c r="D15" t="s">
        <v>150</v>
      </c>
      <c r="F15" t="s">
        <v>206</v>
      </c>
      <c r="H15" s="40">
        <f>'Financial Statements'!H36/'Financial Statements'!H25</f>
        <v>3.2320607207939368E-2</v>
      </c>
      <c r="I15" s="40">
        <f>'Financial Statements'!I36/'Financial Statements'!I25</f>
        <v>3.6369487180170502E-2</v>
      </c>
      <c r="J15" s="40">
        <f>'Financial Statements'!J36/'Financial Statements'!J25</f>
        <v>2.5715410817523536E-2</v>
      </c>
      <c r="K15" s="40">
        <f>'Financial Statements'!K36/'Financial Statements'!K25</f>
        <v>2.9314147364706576E-2</v>
      </c>
      <c r="L15" s="40">
        <f>'Financial Statements'!L36/'Financial Statements'!L25</f>
        <v>3.0556718075095822E-2</v>
      </c>
      <c r="M15" s="40">
        <f>AVERAGE(H15:L15)</f>
        <v>3.0855274129087163E-2</v>
      </c>
      <c r="N15" s="40">
        <f t="shared" si="6"/>
        <v>3.0855274129087163E-2</v>
      </c>
      <c r="O15" s="40">
        <f>N15</f>
        <v>3.0855274129087163E-2</v>
      </c>
      <c r="P15" s="40">
        <f t="shared" si="11"/>
        <v>3.0855274129087163E-2</v>
      </c>
      <c r="Q15" s="40">
        <f t="shared" si="9"/>
        <v>3.0855274129087163E-2</v>
      </c>
      <c r="R15" s="40">
        <f t="shared" si="9"/>
        <v>3.0855274129087163E-2</v>
      </c>
      <c r="S15" s="40">
        <f>R15</f>
        <v>3.0855274129087163E-2</v>
      </c>
      <c r="T15" s="40">
        <f t="shared" si="10"/>
        <v>3.0855274129087163E-2</v>
      </c>
      <c r="U15" s="40">
        <f t="shared" si="10"/>
        <v>3.0855274129087163E-2</v>
      </c>
      <c r="V15" s="40">
        <f t="shared" si="12"/>
        <v>3.0855274129087163E-2</v>
      </c>
    </row>
    <row r="16" spans="1:22" x14ac:dyDescent="0.3">
      <c r="D16" t="s">
        <v>203</v>
      </c>
      <c r="F16" t="s">
        <v>206</v>
      </c>
      <c r="H16" s="40">
        <f>-'Financial Statements'!H38/'Financial Statements'!H37</f>
        <v>0.23783987110862548</v>
      </c>
      <c r="I16" s="40">
        <f>-'Financial Statements'!I38/'Financial Statements'!I37</f>
        <v>0.19199327758989146</v>
      </c>
      <c r="J16" s="40">
        <f>-'Financial Statements'!J38/'Financial Statements'!J37</f>
        <v>0.15109963613013688</v>
      </c>
      <c r="K16" s="40">
        <f>-'Financial Statements'!K38/'Financial Statements'!K37</f>
        <v>0.19026763990267645</v>
      </c>
      <c r="L16" s="40">
        <f>-'Financial Statements'!L38/'Financial Statements'!L37</f>
        <v>0.14312510007548535</v>
      </c>
      <c r="M16" s="57">
        <f>L16+0.5%</f>
        <v>0.14812510007548535</v>
      </c>
      <c r="N16" s="57">
        <f t="shared" si="6"/>
        <v>0.14812510007548535</v>
      </c>
      <c r="O16" s="57">
        <f>N16+0.5%</f>
        <v>0.15312510007548535</v>
      </c>
      <c r="P16" s="57">
        <f t="shared" si="11"/>
        <v>0.15312510007548535</v>
      </c>
      <c r="Q16" s="57">
        <f>P16+0.5%</f>
        <v>0.15812510007548536</v>
      </c>
      <c r="R16" s="57">
        <f>Q16</f>
        <v>0.15812510007548536</v>
      </c>
      <c r="S16" s="57">
        <f>R16+0.5%</f>
        <v>0.16312510007548536</v>
      </c>
      <c r="T16" s="57">
        <f>S16</f>
        <v>0.16312510007548536</v>
      </c>
      <c r="U16" s="57">
        <f>T16+0.5%</f>
        <v>0.16812510007548537</v>
      </c>
      <c r="V16" s="57">
        <f t="shared" si="12"/>
        <v>0.16812510007548537</v>
      </c>
    </row>
    <row r="17" spans="1:22" x14ac:dyDescent="0.3">
      <c r="D17" t="s">
        <v>204</v>
      </c>
      <c r="F17" t="s">
        <v>206</v>
      </c>
      <c r="H17" s="40">
        <f>-'Financial Statements'!H100/'Financial Statements'!H39</f>
        <v>4.861132342471792E-3</v>
      </c>
      <c r="I17" s="40">
        <f>-'Financial Statements'!I100/'Financial Statements'!I39</f>
        <v>0.16448187759189589</v>
      </c>
      <c r="J17" s="40">
        <f>-'Financial Statements'!J100/'Financial Statements'!J39</f>
        <v>0.25570071071749356</v>
      </c>
      <c r="K17" s="40">
        <f>-'Financial Statements'!K100/'Financial Statements'!K39</f>
        <v>0.15818225827991458</v>
      </c>
      <c r="L17" s="40">
        <f>-'Financial Statements'!L100/'Financial Statements'!L39</f>
        <v>0.33802277985406615</v>
      </c>
      <c r="M17" s="57">
        <f>AVERAGE(H17:L17)</f>
        <v>0.1842497517571684</v>
      </c>
      <c r="N17" s="57">
        <f t="shared" si="6"/>
        <v>0.1842497517571684</v>
      </c>
      <c r="O17" s="57">
        <f>N17</f>
        <v>0.1842497517571684</v>
      </c>
      <c r="P17" s="57">
        <f t="shared" si="11"/>
        <v>0.1842497517571684</v>
      </c>
      <c r="Q17" s="57">
        <f>P17</f>
        <v>0.1842497517571684</v>
      </c>
      <c r="R17" s="57">
        <f>Q17</f>
        <v>0.1842497517571684</v>
      </c>
      <c r="S17" s="57">
        <f>R17</f>
        <v>0.1842497517571684</v>
      </c>
      <c r="T17" s="57">
        <f>S17</f>
        <v>0.1842497517571684</v>
      </c>
      <c r="U17" s="57">
        <f>T17</f>
        <v>0.1842497517571684</v>
      </c>
      <c r="V17" s="57">
        <f t="shared" si="12"/>
        <v>0.1842497517571684</v>
      </c>
    </row>
    <row r="18" spans="1:22" ht="15" thickBot="1" x14ac:dyDescent="0.35">
      <c r="D18" t="s">
        <v>153</v>
      </c>
      <c r="F18" t="s">
        <v>207</v>
      </c>
      <c r="H18" s="38">
        <f>'Financial Statements'!H47/'Financial Statements'!H25*365</f>
        <v>18.288802096200744</v>
      </c>
      <c r="I18" s="38">
        <f>'Financial Statements'!I47/'Financial Statements'!I25*365</f>
        <v>19.169505968196269</v>
      </c>
      <c r="J18" s="38">
        <f>'Financial Statements'!J47/'Financial Statements'!J25*365</f>
        <v>24.771167124963515</v>
      </c>
      <c r="K18" s="38">
        <f>'Financial Statements'!K47/'Financial Statements'!K25*365</f>
        <v>23.014509552142247</v>
      </c>
      <c r="L18" s="38">
        <f>'Financial Statements'!L47/'Financial Statements'!L25*365</f>
        <v>26.527895542303696</v>
      </c>
      <c r="M18" s="64">
        <f>AVERAGE(H18:L18)</f>
        <v>22.354376056761293</v>
      </c>
      <c r="N18" s="38">
        <f t="shared" si="6"/>
        <v>22.354376056761293</v>
      </c>
      <c r="O18" s="38">
        <f>N18</f>
        <v>22.354376056761293</v>
      </c>
      <c r="P18" s="38">
        <f t="shared" si="11"/>
        <v>22.354376056761293</v>
      </c>
      <c r="Q18" s="38">
        <f>P18</f>
        <v>22.354376056761293</v>
      </c>
      <c r="R18" s="38">
        <f>Q18</f>
        <v>22.354376056761293</v>
      </c>
      <c r="S18" s="38">
        <f>R18</f>
        <v>22.354376056761293</v>
      </c>
      <c r="T18" s="38">
        <f>S18</f>
        <v>22.354376056761293</v>
      </c>
      <c r="U18" s="38">
        <f>T18</f>
        <v>22.354376056761293</v>
      </c>
      <c r="V18" s="38">
        <f t="shared" si="12"/>
        <v>22.354376056761293</v>
      </c>
    </row>
    <row r="19" spans="1:22" ht="15.6" thickTop="1" thickBot="1" x14ac:dyDescent="0.35">
      <c r="D19" t="s">
        <v>205</v>
      </c>
      <c r="F19" t="s">
        <v>207</v>
      </c>
      <c r="H19" s="38">
        <f>-'Financial Statements'!H48/'Financial Statements'!H26*365</f>
        <v>146.20076060895408</v>
      </c>
      <c r="I19" s="38">
        <f>-'Financial Statements'!I48/'Financial Statements'!I26*365</f>
        <v>166.06580227613122</v>
      </c>
      <c r="J19" s="38">
        <f>-'Financial Statements'!J48/'Financial Statements'!J26*365</f>
        <v>118.30529217419695</v>
      </c>
      <c r="K19" s="38">
        <f>-'Financial Statements'!K48/'Financial Statements'!K26*365</f>
        <v>142.52564988307762</v>
      </c>
      <c r="L19" s="38">
        <f>-'Financial Statements'!L48/'Financial Statements'!L26*365</f>
        <v>111.60002452394149</v>
      </c>
      <c r="M19" s="64">
        <f>AVERAGE(H19:L19)</f>
        <v>136.93950589326025</v>
      </c>
      <c r="N19" s="38">
        <f t="shared" si="6"/>
        <v>136.93950589326025</v>
      </c>
      <c r="O19" s="38">
        <f>N19</f>
        <v>136.93950589326025</v>
      </c>
      <c r="P19" s="38">
        <f t="shared" si="11"/>
        <v>136.93950589326025</v>
      </c>
      <c r="Q19" s="38">
        <f>P19</f>
        <v>136.93950589326025</v>
      </c>
      <c r="R19" s="38">
        <f>Q19</f>
        <v>136.93950589326025</v>
      </c>
      <c r="S19" s="38">
        <f>R19</f>
        <v>136.93950589326025</v>
      </c>
      <c r="T19" s="38">
        <f>S19</f>
        <v>136.93950589326025</v>
      </c>
      <c r="U19" s="38">
        <f>T19</f>
        <v>136.93950589326025</v>
      </c>
      <c r="V19" s="38">
        <f t="shared" si="12"/>
        <v>136.93950589326025</v>
      </c>
    </row>
    <row r="20" spans="1:22" ht="15.6" thickTop="1" thickBot="1" x14ac:dyDescent="0.35">
      <c r="D20" t="s">
        <v>157</v>
      </c>
      <c r="F20" t="s">
        <v>207</v>
      </c>
      <c r="H20" s="38">
        <f>-'Financial Statements'!H61/'Financial Statements'!H26*365</f>
        <v>75.240065742013968</v>
      </c>
      <c r="I20" s="38">
        <f>-'Financial Statements'!I61/'Financial Statements'!I26*365</f>
        <v>59.214587136906779</v>
      </c>
      <c r="J20" s="38">
        <f>-'Financial Statements'!J61/'Financial Statements'!J26*365</f>
        <v>51.271571138805783</v>
      </c>
      <c r="K20" s="38">
        <f>-'Financial Statements'!K61/'Financial Statements'!K26*365</f>
        <v>48.679468999915429</v>
      </c>
      <c r="L20" s="38">
        <f>-'Financial Statements'!L61/'Financial Statements'!L26*365</f>
        <v>62.157675180394861</v>
      </c>
      <c r="M20" s="64">
        <f>AVERAGE(H20:L20)</f>
        <v>59.312673639607361</v>
      </c>
      <c r="N20" s="38">
        <f t="shared" si="6"/>
        <v>59.312673639607361</v>
      </c>
      <c r="O20" s="38">
        <f>N20</f>
        <v>59.312673639607361</v>
      </c>
      <c r="P20" s="38">
        <f t="shared" si="11"/>
        <v>59.312673639607361</v>
      </c>
      <c r="Q20" s="38">
        <f>P20</f>
        <v>59.312673639607361</v>
      </c>
      <c r="R20" s="38">
        <f>Q20</f>
        <v>59.312673639607361</v>
      </c>
      <c r="S20" s="38">
        <f>R20</f>
        <v>59.312673639607361</v>
      </c>
      <c r="T20" s="38">
        <f>S20</f>
        <v>59.312673639607361</v>
      </c>
      <c r="U20" s="38">
        <f>T20</f>
        <v>59.312673639607361</v>
      </c>
      <c r="V20" s="38">
        <f t="shared" si="12"/>
        <v>59.312673639607361</v>
      </c>
    </row>
    <row r="21" spans="1:22" ht="15" thickTop="1" x14ac:dyDescent="0.3"/>
    <row r="23" spans="1:22" s="10" customFormat="1" ht="15.6" x14ac:dyDescent="0.3">
      <c r="A23" s="61" t="str">
        <f>Historical!A4</f>
        <v>PROFIT &amp; LOSS STATEMENT</v>
      </c>
      <c r="B23" s="62"/>
      <c r="C23" s="62"/>
      <c r="D23" s="62"/>
      <c r="E23" s="62"/>
      <c r="F23" s="62"/>
      <c r="G23" s="62"/>
      <c r="H23" s="62"/>
      <c r="I23" s="62"/>
      <c r="J23" s="62"/>
      <c r="K23" s="62"/>
      <c r="L23" s="62"/>
      <c r="M23" s="62"/>
      <c r="N23" s="62"/>
      <c r="O23" s="62"/>
      <c r="P23" s="62"/>
      <c r="Q23" s="62"/>
      <c r="R23" s="62"/>
      <c r="S23" s="62"/>
      <c r="T23" s="62"/>
      <c r="U23" s="62"/>
      <c r="V23" s="62"/>
    </row>
    <row r="24" spans="1:22" x14ac:dyDescent="0.3">
      <c r="A24" s="10"/>
      <c r="B24" s="10"/>
      <c r="C24" s="10" t="s">
        <v>165</v>
      </c>
      <c r="D24" s="10"/>
      <c r="E24" s="10"/>
      <c r="F24" s="10"/>
      <c r="G24" s="10"/>
      <c r="H24" s="10"/>
      <c r="I24" s="10"/>
      <c r="J24" s="10"/>
      <c r="K24" s="10"/>
      <c r="L24" s="10"/>
      <c r="M24" s="10"/>
      <c r="N24" s="10"/>
      <c r="O24" s="10"/>
      <c r="P24" s="10"/>
      <c r="Q24" s="10"/>
      <c r="R24" s="10"/>
      <c r="S24" s="10"/>
      <c r="T24" s="10"/>
      <c r="U24" s="10"/>
      <c r="V24" s="10"/>
    </row>
    <row r="25" spans="1:22" x14ac:dyDescent="0.3">
      <c r="D25" s="9" t="s">
        <v>137</v>
      </c>
      <c r="F25" s="10" t="str">
        <f>Historical!F7</f>
        <v>₹ in Cr</v>
      </c>
      <c r="H25" s="35">
        <f>Historical!H9</f>
        <v>13559.77</v>
      </c>
      <c r="I25" s="35">
        <f>Historical!I9</f>
        <v>15009.56</v>
      </c>
      <c r="J25" s="35">
        <f>Historical!J9</f>
        <v>17852.330000000002</v>
      </c>
      <c r="K25" s="35">
        <f>Historical!K9</f>
        <v>20403.8</v>
      </c>
      <c r="L25" s="35">
        <f>Historical!L9</f>
        <v>19282.830000000002</v>
      </c>
      <c r="M25" s="19">
        <f>L25*(1+'Financial Statements'!M8)</f>
        <v>20729.042250000002</v>
      </c>
      <c r="N25" s="19">
        <f>M25*(1+'Financial Statements'!N8)</f>
        <v>22182.666337781251</v>
      </c>
      <c r="O25" s="19">
        <f>N25*(1+'Financial Statements'!O8)</f>
        <v>23637.114448717264</v>
      </c>
      <c r="P25" s="19">
        <f>O25*(1+'Financial Statements'!P8)</f>
        <v>25086.188414789722</v>
      </c>
      <c r="Q25" s="19">
        <f>P25*(1+'Financial Statements'!Q8)</f>
        <v>26524.1337844968</v>
      </c>
      <c r="R25" s="19">
        <f>Q25*(1+'Financial Statements'!R8)</f>
        <v>27945.678507545483</v>
      </c>
      <c r="S25" s="19">
        <f>R25*(1+'Financial Statements'!S8)</f>
        <v>29346.057500060953</v>
      </c>
      <c r="T25" s="19">
        <f>S25*(1+'Financial Statements'!T8)</f>
        <v>30721.024590858418</v>
      </c>
      <c r="U25" s="19">
        <f>T25*(1+'Financial Statements'!U8)</f>
        <v>32066.853479471727</v>
      </c>
      <c r="V25" s="19">
        <f>U25*(1+'Financial Statements'!V8)</f>
        <v>33380.329379488954</v>
      </c>
    </row>
    <row r="26" spans="1:22" x14ac:dyDescent="0.3">
      <c r="D26" t="s">
        <v>138</v>
      </c>
      <c r="H26" s="35">
        <f>-SUM(Historical!H13:H15,Historical!H17,Historical!H19)</f>
        <v>-4283.41</v>
      </c>
      <c r="I26" s="35">
        <f>-SUM(Historical!I13:I15,Historical!I17,Historical!I19)</f>
        <v>-5488.26</v>
      </c>
      <c r="J26" s="35">
        <f>-SUM(Historical!J13:J15,Historical!J17,Historical!J19)</f>
        <v>-8514.27</v>
      </c>
      <c r="K26" s="35">
        <f>-SUM(Historical!K13:K15,Historical!K17,Historical!K19)</f>
        <v>-9104.33</v>
      </c>
      <c r="L26" s="35">
        <f>-SUM(Historical!L13:L15,Historical!L17,Historical!L19)</f>
        <v>-7992.1900000000005</v>
      </c>
      <c r="M26" s="19">
        <f>-M25*'Financial Statements'!M9</f>
        <v>-8371.0053128842537</v>
      </c>
      <c r="N26" s="19">
        <f>-N25*'Financial Statements'!N9</f>
        <v>-8958.0220604502611</v>
      </c>
      <c r="O26" s="19">
        <f>-O25*'Financial Statements'!O9</f>
        <v>-9545.3715731350476</v>
      </c>
      <c r="P26" s="19">
        <f>-P25*'Financial Statements'!P9</f>
        <v>-10130.550845889667</v>
      </c>
      <c r="Q26" s="19">
        <f>-Q25*'Financial Statements'!Q9</f>
        <v>-10711.236059624291</v>
      </c>
      <c r="R26" s="19">
        <f>-R25*'Financial Statements'!R9</f>
        <v>-11285.29820324036</v>
      </c>
      <c r="S26" s="19">
        <f>-S25*'Financial Statements'!S9</f>
        <v>-11850.812993794589</v>
      </c>
      <c r="T26" s="19">
        <f>-T25*'Financial Statements'!T9</f>
        <v>-12406.065700759696</v>
      </c>
      <c r="U26" s="19">
        <f>-U25*'Financial Statements'!U9</f>
        <v>-12949.551532904938</v>
      </c>
      <c r="V26" s="19">
        <f>-V25*'Financial Statements'!V9</f>
        <v>-13479.972263625848</v>
      </c>
    </row>
    <row r="27" spans="1:22" s="10" customFormat="1" x14ac:dyDescent="0.3">
      <c r="D27" s="13" t="s">
        <v>139</v>
      </c>
      <c r="E27" s="13"/>
      <c r="F27" s="13"/>
      <c r="G27" s="13"/>
      <c r="H27" s="20">
        <f>SUM(H25:H26)</f>
        <v>9276.36</v>
      </c>
      <c r="I27" s="20">
        <f t="shared" ref="I27:V27" si="13">SUM(I25:I26)</f>
        <v>9521.2999999999993</v>
      </c>
      <c r="J27" s="20">
        <f t="shared" si="13"/>
        <v>9338.0600000000013</v>
      </c>
      <c r="K27" s="20">
        <f t="shared" si="13"/>
        <v>11299.47</v>
      </c>
      <c r="L27" s="20">
        <f t="shared" si="13"/>
        <v>11290.640000000001</v>
      </c>
      <c r="M27" s="20">
        <f t="shared" si="13"/>
        <v>12358.036937115749</v>
      </c>
      <c r="N27" s="20">
        <f t="shared" si="13"/>
        <v>13224.64427733099</v>
      </c>
      <c r="O27" s="20">
        <f t="shared" si="13"/>
        <v>14091.742875582217</v>
      </c>
      <c r="P27" s="20">
        <f t="shared" si="13"/>
        <v>14955.637568900054</v>
      </c>
      <c r="Q27" s="20">
        <f t="shared" si="13"/>
        <v>15812.89772487251</v>
      </c>
      <c r="R27" s="20">
        <f t="shared" si="13"/>
        <v>16660.380304305123</v>
      </c>
      <c r="S27" s="20">
        <f t="shared" si="13"/>
        <v>17495.244506266365</v>
      </c>
      <c r="T27" s="20">
        <f t="shared" si="13"/>
        <v>18314.958890098722</v>
      </c>
      <c r="U27" s="20">
        <f t="shared" si="13"/>
        <v>19117.301946566789</v>
      </c>
      <c r="V27" s="20">
        <f t="shared" si="13"/>
        <v>19900.357115863106</v>
      </c>
    </row>
    <row r="28" spans="1:22" s="10" customFormat="1" x14ac:dyDescent="0.3">
      <c r="C28" s="10" t="s">
        <v>25</v>
      </c>
      <c r="H28" s="21"/>
      <c r="I28" s="21"/>
      <c r="J28" s="21"/>
      <c r="K28" s="21"/>
      <c r="L28" s="21"/>
      <c r="M28" s="21"/>
      <c r="N28" s="21"/>
      <c r="O28" s="21"/>
      <c r="P28" s="21"/>
      <c r="Q28" s="21"/>
      <c r="R28" s="21"/>
      <c r="S28" s="21"/>
      <c r="T28" s="21"/>
      <c r="U28" s="21"/>
      <c r="V28" s="21"/>
    </row>
    <row r="29" spans="1:22" x14ac:dyDescent="0.3">
      <c r="D29" t="s">
        <v>147</v>
      </c>
      <c r="H29" s="35">
        <f>-Historical!H16</f>
        <v>-869.22</v>
      </c>
      <c r="I29" s="35">
        <f>-Historical!I16</f>
        <v>-913.46</v>
      </c>
      <c r="J29" s="35">
        <f>-Historical!J16</f>
        <v>-977.77</v>
      </c>
      <c r="K29" s="35">
        <f>-Historical!K16</f>
        <v>-1064.43</v>
      </c>
      <c r="L29" s="35">
        <f>-Historical!L16</f>
        <v>-1147.83</v>
      </c>
      <c r="M29" s="19">
        <f>-M25*'Financial Statements'!M10</f>
        <v>-1208.1943918892696</v>
      </c>
      <c r="N29" s="19">
        <f>-N25*'Financial Statements'!N10</f>
        <v>-1292.9190236205045</v>
      </c>
      <c r="O29" s="19">
        <f>-O25*'Financial Statements'!O10</f>
        <v>-1377.6916836273522</v>
      </c>
      <c r="P29" s="19">
        <f>-P25*'Financial Statements'!P10</f>
        <v>-1462.1511110397057</v>
      </c>
      <c r="Q29" s="19">
        <f>-Q25*'Financial Statements'!Q10</f>
        <v>-1545.9619070509511</v>
      </c>
      <c r="R29" s="19">
        <f>-R25*'Financial Statements'!R10</f>
        <v>-1628.8167896592975</v>
      </c>
      <c r="S29" s="19">
        <f>-S25*'Financial Statements'!S10</f>
        <v>-1710.4380254535724</v>
      </c>
      <c r="T29" s="19">
        <f>-T25*'Financial Statements'!T10</f>
        <v>-1790.5781259029213</v>
      </c>
      <c r="U29" s="19">
        <f>-U25*'Financial Statements'!U10</f>
        <v>-1869.019903195607</v>
      </c>
      <c r="V29" s="19">
        <f>-V25*'Financial Statements'!V10</f>
        <v>-1945.5759831699495</v>
      </c>
    </row>
    <row r="30" spans="1:22" x14ac:dyDescent="0.3">
      <c r="D30" t="s">
        <v>496</v>
      </c>
      <c r="H30" s="35">
        <f>-Historical!H18</f>
        <v>-2294.31</v>
      </c>
      <c r="I30" s="35">
        <f>-Historical!I18</f>
        <v>-2469.0700000000002</v>
      </c>
      <c r="J30" s="35">
        <f>-Historical!J18</f>
        <v>-2782.46</v>
      </c>
      <c r="K30" s="35">
        <f>-Historical!K18</f>
        <v>-3238.1</v>
      </c>
      <c r="L30" s="35">
        <f>-Historical!L18</f>
        <v>-3412.37</v>
      </c>
      <c r="M30" s="19">
        <f>-M25*M11</f>
        <v>-3421.2221465889916</v>
      </c>
      <c r="N30" s="19">
        <f t="shared" ref="N30:V30" si="14">-N25*N11</f>
        <v>-3661.1353496185443</v>
      </c>
      <c r="O30" s="19">
        <f t="shared" si="14"/>
        <v>-3901.1845534450654</v>
      </c>
      <c r="P30" s="19">
        <f t="shared" si="14"/>
        <v>-4140.3467822148305</v>
      </c>
      <c r="Q30" s="19">
        <f t="shared" si="14"/>
        <v>-4377.672293210253</v>
      </c>
      <c r="R30" s="19">
        <f t="shared" si="14"/>
        <v>-4612.2909615600111</v>
      </c>
      <c r="S30" s="19">
        <f t="shared" si="14"/>
        <v>-4843.4163346009145</v>
      </c>
      <c r="T30" s="19">
        <f t="shared" si="14"/>
        <v>-5070.3476035488238</v>
      </c>
      <c r="U30" s="19">
        <f t="shared" si="14"/>
        <v>-5292.4697616163585</v>
      </c>
      <c r="V30" s="19">
        <f t="shared" si="14"/>
        <v>-5509.2522247882807</v>
      </c>
    </row>
    <row r="31" spans="1:22" x14ac:dyDescent="0.3">
      <c r="D31" t="s">
        <v>140</v>
      </c>
      <c r="H31" s="35">
        <f>-SUM(Historical!H22:H23)</f>
        <v>-2033.38</v>
      </c>
      <c r="I31" s="35">
        <f>-SUM(Historical!I22:I23)</f>
        <v>-2430.8399999999997</v>
      </c>
      <c r="J31" s="35">
        <f>-SUM(Historical!J22:J23)</f>
        <v>-2618.33</v>
      </c>
      <c r="K31" s="35">
        <f>-SUM(Historical!K22:K23)</f>
        <v>-2480.1999999999998</v>
      </c>
      <c r="L31" s="35">
        <f>-SUM(Historical!L22:L23)</f>
        <v>-2796.41</v>
      </c>
      <c r="M31" s="19">
        <f>-M25*'Financial Statements'!M12</f>
        <v>-3006.3418141503857</v>
      </c>
      <c r="N31" s="19">
        <f>-N25*'Financial Statements'!N12</f>
        <v>-3217.1615338676811</v>
      </c>
      <c r="O31" s="19">
        <f>-O25*'Financial Statements'!O12</f>
        <v>-3428.100762013592</v>
      </c>
      <c r="P31" s="19">
        <f>-P25*'Financial Statements'!P12</f>
        <v>-3638.2605756441694</v>
      </c>
      <c r="Q31" s="19">
        <f>-Q25*'Financial Statements'!Q12</f>
        <v>-3846.8064042105775</v>
      </c>
      <c r="R31" s="19">
        <f>-R25*'Financial Statements'!R12</f>
        <v>-4052.9736400164711</v>
      </c>
      <c r="S31" s="19">
        <f>-S25*'Financial Statements'!S12</f>
        <v>-4256.0712009207646</v>
      </c>
      <c r="T31" s="19">
        <f>-T25*'Financial Statements'!T12</f>
        <v>-4455.483262910514</v>
      </c>
      <c r="U31" s="19">
        <f>-U25*'Financial Statements'!U12</f>
        <v>-4650.6693990442145</v>
      </c>
      <c r="V31" s="19">
        <f>-V25*'Financial Statements'!V12</f>
        <v>-4841.1633674812074</v>
      </c>
    </row>
    <row r="32" spans="1:22" s="10" customFormat="1" x14ac:dyDescent="0.3">
      <c r="D32" s="13" t="s">
        <v>146</v>
      </c>
      <c r="E32" s="13"/>
      <c r="F32" s="13"/>
      <c r="G32" s="13"/>
      <c r="H32" s="20">
        <f t="shared" ref="H32:V32" si="15">SUM(H27:H31)</f>
        <v>4079.4500000000016</v>
      </c>
      <c r="I32" s="20">
        <f t="shared" si="15"/>
        <v>3707.9300000000007</v>
      </c>
      <c r="J32" s="20">
        <f t="shared" si="15"/>
        <v>2959.5000000000009</v>
      </c>
      <c r="K32" s="20">
        <f t="shared" si="15"/>
        <v>4516.7399999999989</v>
      </c>
      <c r="L32" s="20">
        <f t="shared" si="15"/>
        <v>3934.0300000000016</v>
      </c>
      <c r="M32" s="20">
        <f t="shared" si="15"/>
        <v>4722.2785844871014</v>
      </c>
      <c r="N32" s="20">
        <f t="shared" si="15"/>
        <v>5053.4283702242601</v>
      </c>
      <c r="O32" s="20">
        <f t="shared" si="15"/>
        <v>5384.7658764962071</v>
      </c>
      <c r="P32" s="20">
        <f t="shared" si="15"/>
        <v>5714.879100001348</v>
      </c>
      <c r="Q32" s="20">
        <f t="shared" si="15"/>
        <v>6042.4571204007279</v>
      </c>
      <c r="R32" s="20">
        <f t="shared" si="15"/>
        <v>6366.2989130693441</v>
      </c>
      <c r="S32" s="20">
        <f t="shared" si="15"/>
        <v>6685.3189452911129</v>
      </c>
      <c r="T32" s="20">
        <f t="shared" si="15"/>
        <v>6998.5498977364632</v>
      </c>
      <c r="U32" s="20">
        <f t="shared" si="15"/>
        <v>7305.1428827106101</v>
      </c>
      <c r="V32" s="20">
        <f t="shared" si="15"/>
        <v>7604.365540423667</v>
      </c>
    </row>
    <row r="33" spans="1:22" x14ac:dyDescent="0.3">
      <c r="D33" s="9" t="s">
        <v>148</v>
      </c>
      <c r="H33" s="35">
        <f>-Historical!H21</f>
        <v>-1262.3399999999999</v>
      </c>
      <c r="I33" s="35">
        <f>-Historical!I21</f>
        <v>-1145.8800000000001</v>
      </c>
      <c r="J33" s="35">
        <f>-Historical!J21</f>
        <v>-1660.67</v>
      </c>
      <c r="K33" s="35">
        <f>-Historical!K21</f>
        <v>-1897.32</v>
      </c>
      <c r="L33" s="35">
        <f>-Historical!L21</f>
        <v>-3006.78</v>
      </c>
      <c r="M33" s="19">
        <f>Schedules!M14</f>
        <v>-3571.486187066334</v>
      </c>
      <c r="N33" s="19">
        <f>Schedules!N14</f>
        <v>-3508.1810521222774</v>
      </c>
      <c r="O33" s="19">
        <f>Schedules!O14</f>
        <v>-3468.0413928778166</v>
      </c>
      <c r="P33" s="19">
        <f>Schedules!P14</f>
        <v>-3563.4401640895671</v>
      </c>
      <c r="Q33" s="19">
        <f>Schedules!Q14</f>
        <v>-3515.4835898052247</v>
      </c>
      <c r="R33" s="19">
        <f>Schedules!R14</f>
        <v>-3486.974677762149</v>
      </c>
      <c r="S33" s="19">
        <f>Schedules!S14</f>
        <v>-3588.1177743535918</v>
      </c>
      <c r="T33" s="19">
        <f>Schedules!T14</f>
        <v>-3546.795109103507</v>
      </c>
      <c r="U33" s="19">
        <f>Schedules!U14</f>
        <v>-3523.5971752050195</v>
      </c>
      <c r="V33" s="19">
        <f>Schedules!V14</f>
        <v>-3626.5140237321652</v>
      </c>
    </row>
    <row r="34" spans="1:22" s="10" customFormat="1" x14ac:dyDescent="0.3">
      <c r="D34" s="13" t="s">
        <v>141</v>
      </c>
      <c r="E34" s="13"/>
      <c r="F34" s="13"/>
      <c r="G34" s="13"/>
      <c r="H34" s="20">
        <f>SUM(H32:H33)</f>
        <v>2817.1100000000015</v>
      </c>
      <c r="I34" s="20">
        <f t="shared" ref="I34:V34" si="16">SUM(I32:I33)</f>
        <v>2562.0500000000006</v>
      </c>
      <c r="J34" s="20">
        <f t="shared" si="16"/>
        <v>1298.8300000000008</v>
      </c>
      <c r="K34" s="20">
        <f t="shared" si="16"/>
        <v>2619.4199999999992</v>
      </c>
      <c r="L34" s="20">
        <f t="shared" si="16"/>
        <v>927.25000000000136</v>
      </c>
      <c r="M34" s="20">
        <f t="shared" si="16"/>
        <v>1150.7923974207674</v>
      </c>
      <c r="N34" s="20">
        <f t="shared" si="16"/>
        <v>1545.2473181019827</v>
      </c>
      <c r="O34" s="20">
        <f t="shared" si="16"/>
        <v>1916.7244836183904</v>
      </c>
      <c r="P34" s="20">
        <f t="shared" si="16"/>
        <v>2151.4389359117808</v>
      </c>
      <c r="Q34" s="20">
        <f t="shared" si="16"/>
        <v>2526.9735305955032</v>
      </c>
      <c r="R34" s="20">
        <f t="shared" si="16"/>
        <v>2879.3242353071951</v>
      </c>
      <c r="S34" s="20">
        <f t="shared" si="16"/>
        <v>3097.2011709375211</v>
      </c>
      <c r="T34" s="20">
        <f t="shared" si="16"/>
        <v>3451.7547886329562</v>
      </c>
      <c r="U34" s="20">
        <f t="shared" si="16"/>
        <v>3781.5457075055906</v>
      </c>
      <c r="V34" s="20">
        <f t="shared" si="16"/>
        <v>3977.8515166915017</v>
      </c>
    </row>
    <row r="35" spans="1:22" x14ac:dyDescent="0.3">
      <c r="D35" t="s">
        <v>142</v>
      </c>
      <c r="H35" s="35">
        <f>-Historical!H20</f>
        <v>-251.29</v>
      </c>
      <c r="I35" s="35">
        <f>-Historical!I20</f>
        <v>-216.12</v>
      </c>
      <c r="J35" s="35">
        <f>-Historical!J20</f>
        <v>-262.87</v>
      </c>
      <c r="K35" s="35">
        <f>-Historical!K20</f>
        <v>-258.33999999999997</v>
      </c>
      <c r="L35" s="35">
        <f>-Historical!L20</f>
        <v>-204.96</v>
      </c>
      <c r="M35" s="19">
        <f>Schedules!M21</f>
        <v>-114.81153278562709</v>
      </c>
      <c r="N35" s="19">
        <f>Schedules!N21</f>
        <v>-114.81153278562709</v>
      </c>
      <c r="O35" s="19">
        <f>Schedules!O21</f>
        <v>-114.81153278562709</v>
      </c>
      <c r="P35" s="19">
        <f>Schedules!P21</f>
        <v>-114.81153278562709</v>
      </c>
      <c r="Q35" s="19">
        <f>Schedules!Q21</f>
        <v>-114.81153278562709</v>
      </c>
      <c r="R35" s="19">
        <f>Schedules!R21</f>
        <v>-114.81153278562709</v>
      </c>
      <c r="S35" s="19">
        <f>Schedules!S21</f>
        <v>-114.81153278562709</v>
      </c>
      <c r="T35" s="19">
        <f>Schedules!T21</f>
        <v>-114.81153278562709</v>
      </c>
      <c r="U35" s="19">
        <f>Schedules!U21</f>
        <v>-114.81153278562709</v>
      </c>
      <c r="V35" s="19">
        <f>Schedules!V21</f>
        <v>-114.81153278562709</v>
      </c>
    </row>
    <row r="36" spans="1:22" x14ac:dyDescent="0.3">
      <c r="D36" s="9" t="s">
        <v>150</v>
      </c>
      <c r="H36" s="35">
        <f>Historical!H10</f>
        <v>438.26</v>
      </c>
      <c r="I36" s="35">
        <f>Historical!I10</f>
        <v>545.89</v>
      </c>
      <c r="J36" s="35">
        <f>Historical!J10</f>
        <v>459.08</v>
      </c>
      <c r="K36" s="35">
        <f>Historical!K10</f>
        <v>598.12</v>
      </c>
      <c r="L36" s="35">
        <f>Historical!L10</f>
        <v>589.22</v>
      </c>
      <c r="M36" s="19">
        <f>M25*'Financial Statements'!M15</f>
        <v>639.60028105717981</v>
      </c>
      <c r="N36" s="19">
        <f>N25*'Financial Statements'!N15</f>
        <v>684.45225076631448</v>
      </c>
      <c r="O36" s="19">
        <f>O25*'Financial Statements'!O15</f>
        <v>729.32964593577822</v>
      </c>
      <c r="P36" s="19">
        <f>P25*'Financial Statements'!P15</f>
        <v>774.04122039226741</v>
      </c>
      <c r="Q36" s="19">
        <f>Q25*'Financial Statements'!Q15</f>
        <v>818.40941895723086</v>
      </c>
      <c r="R36" s="19">
        <f>R25*'Financial Statements'!R15</f>
        <v>862.27157107365531</v>
      </c>
      <c r="S36" s="19">
        <f>S25*'Financial Statements'!S15</f>
        <v>905.48064877233503</v>
      </c>
      <c r="T36" s="19">
        <f>T25*'Financial Statements'!T15</f>
        <v>947.90563527736435</v>
      </c>
      <c r="U36" s="19">
        <f>U25*'Financial Statements'!U15</f>
        <v>989.43155456637271</v>
      </c>
      <c r="V36" s="19">
        <f>V25*'Financial Statements'!V15</f>
        <v>1029.9592135233536</v>
      </c>
    </row>
    <row r="37" spans="1:22" s="10" customFormat="1" x14ac:dyDescent="0.3">
      <c r="D37" s="13" t="s">
        <v>143</v>
      </c>
      <c r="E37" s="13"/>
      <c r="F37" s="13"/>
      <c r="G37" s="13"/>
      <c r="H37" s="20">
        <f>SUM(H34:H36)</f>
        <v>3004.0800000000017</v>
      </c>
      <c r="I37" s="20">
        <f t="shared" ref="I37:L37" si="17">SUM(I34:I36)</f>
        <v>2891.8200000000006</v>
      </c>
      <c r="J37" s="20">
        <f t="shared" si="17"/>
        <v>1495.0400000000009</v>
      </c>
      <c r="K37" s="20">
        <f t="shared" si="17"/>
        <v>2959.1999999999989</v>
      </c>
      <c r="L37" s="20">
        <f t="shared" si="17"/>
        <v>1311.5100000000014</v>
      </c>
      <c r="M37" s="20">
        <f>SUM(M34:M36)</f>
        <v>1675.5811456923202</v>
      </c>
      <c r="N37" s="20">
        <f t="shared" ref="N37:V37" si="18">SUM(N34:N36)</f>
        <v>2114.8880360826702</v>
      </c>
      <c r="O37" s="20">
        <f t="shared" si="18"/>
        <v>2531.2425967685413</v>
      </c>
      <c r="P37" s="20">
        <f t="shared" si="18"/>
        <v>2810.6686235184211</v>
      </c>
      <c r="Q37" s="20">
        <f t="shared" si="18"/>
        <v>3230.5714167671067</v>
      </c>
      <c r="R37" s="20">
        <f t="shared" si="18"/>
        <v>3626.7842735952231</v>
      </c>
      <c r="S37" s="20">
        <f t="shared" si="18"/>
        <v>3887.8702869242288</v>
      </c>
      <c r="T37" s="20">
        <f t="shared" si="18"/>
        <v>4284.8488911246932</v>
      </c>
      <c r="U37" s="20">
        <f t="shared" si="18"/>
        <v>4656.1657292863365</v>
      </c>
      <c r="V37" s="20">
        <f t="shared" si="18"/>
        <v>4892.9991974292279</v>
      </c>
    </row>
    <row r="38" spans="1:22" x14ac:dyDescent="0.3">
      <c r="D38" t="s">
        <v>144</v>
      </c>
      <c r="H38" s="35">
        <f>-Historical!H30</f>
        <v>-714.49</v>
      </c>
      <c r="I38" s="35">
        <f>-Historical!I30</f>
        <v>-555.21</v>
      </c>
      <c r="J38" s="35">
        <f>-Historical!J30</f>
        <v>-225.89999999999998</v>
      </c>
      <c r="K38" s="35">
        <f>-Historical!K30</f>
        <v>-563.04</v>
      </c>
      <c r="L38" s="35">
        <f>-Historical!L30</f>
        <v>-187.70999999999998</v>
      </c>
      <c r="M38" s="19">
        <f>-M37*'Financial Statements'!M16</f>
        <v>-248.19562489027132</v>
      </c>
      <c r="N38" s="19">
        <f>-N37*'Financial Statements'!N16</f>
        <v>-313.26800199319217</v>
      </c>
      <c r="O38" s="19">
        <f>-O37*'Financial Statements'!O16</f>
        <v>-387.59677594551431</v>
      </c>
      <c r="P38" s="19">
        <f>-P37*'Financial Statements'!P16</f>
        <v>-430.38391425528488</v>
      </c>
      <c r="Q38" s="19">
        <f>-Q37*'Financial Statements'!Q16</f>
        <v>-510.83442857730125</v>
      </c>
      <c r="R38" s="19">
        <f>-R37*'Financial Statements'!R16</f>
        <v>-573.48562621444114</v>
      </c>
      <c r="S38" s="19">
        <f>-S37*'Financial Statements'!S16</f>
        <v>-634.20922963502085</v>
      </c>
      <c r="T38" s="19">
        <f>-T37*'Financial Statements'!T16</f>
        <v>-698.96640417304809</v>
      </c>
      <c r="U38" s="19">
        <f>-U37*'Financial Statements'!U16</f>
        <v>-782.81832920431066</v>
      </c>
      <c r="V38" s="19">
        <f>-V37*'Financial Statements'!V16</f>
        <v>-822.63597973705851</v>
      </c>
    </row>
    <row r="39" spans="1:22" s="10" customFormat="1" ht="15" thickBot="1" x14ac:dyDescent="0.35">
      <c r="D39" s="15" t="s">
        <v>145</v>
      </c>
      <c r="E39" s="15"/>
      <c r="F39" s="15"/>
      <c r="G39" s="15"/>
      <c r="H39" s="22">
        <f>SUM(H37:H38)</f>
        <v>2289.590000000002</v>
      </c>
      <c r="I39" s="22">
        <f t="shared" ref="I39:M39" si="19">SUM(I37:I38)</f>
        <v>2336.6100000000006</v>
      </c>
      <c r="J39" s="22">
        <f t="shared" si="19"/>
        <v>1269.1400000000008</v>
      </c>
      <c r="K39" s="22">
        <f t="shared" si="19"/>
        <v>2396.1599999999989</v>
      </c>
      <c r="L39" s="22">
        <f t="shared" si="19"/>
        <v>1123.8000000000013</v>
      </c>
      <c r="M39" s="22">
        <f t="shared" si="19"/>
        <v>1427.3855208020489</v>
      </c>
      <c r="N39" s="22">
        <f t="shared" ref="N39:V39" si="20">SUM(N37:N38)</f>
        <v>1801.6200340894779</v>
      </c>
      <c r="O39" s="22">
        <f t="shared" si="20"/>
        <v>2143.645820823027</v>
      </c>
      <c r="P39" s="22">
        <f t="shared" si="20"/>
        <v>2380.2847092631364</v>
      </c>
      <c r="Q39" s="22">
        <f t="shared" si="20"/>
        <v>2719.7369881898053</v>
      </c>
      <c r="R39" s="22">
        <f t="shared" si="20"/>
        <v>3053.2986473807819</v>
      </c>
      <c r="S39" s="22">
        <f t="shared" si="20"/>
        <v>3253.6610572892077</v>
      </c>
      <c r="T39" s="22">
        <f t="shared" si="20"/>
        <v>3585.8824869516452</v>
      </c>
      <c r="U39" s="22">
        <f t="shared" si="20"/>
        <v>3873.3474000820261</v>
      </c>
      <c r="V39" s="22">
        <f t="shared" si="20"/>
        <v>4070.3632176921692</v>
      </c>
    </row>
    <row r="40" spans="1:22" ht="15" thickTop="1" x14ac:dyDescent="0.3">
      <c r="H40" s="19"/>
      <c r="I40" s="19"/>
      <c r="J40" s="19"/>
      <c r="K40" s="19"/>
      <c r="L40" s="19"/>
      <c r="M40" s="19"/>
      <c r="N40" s="19"/>
      <c r="O40" s="19"/>
      <c r="P40" s="19"/>
      <c r="Q40" s="19"/>
      <c r="R40" s="19"/>
      <c r="S40" s="19"/>
      <c r="T40" s="19"/>
      <c r="U40" s="19"/>
      <c r="V40" s="19"/>
    </row>
    <row r="41" spans="1:22" x14ac:dyDescent="0.3">
      <c r="H41" s="19"/>
      <c r="I41" s="19"/>
      <c r="J41" s="19"/>
      <c r="K41" s="19"/>
      <c r="L41" s="19"/>
      <c r="M41" s="19"/>
      <c r="N41" s="19"/>
      <c r="O41" s="19"/>
      <c r="P41" s="19"/>
      <c r="Q41" s="19"/>
      <c r="R41" s="19"/>
      <c r="S41" s="19"/>
      <c r="T41" s="19"/>
      <c r="U41" s="19"/>
      <c r="V41" s="19"/>
    </row>
    <row r="42" spans="1:22" s="10" customFormat="1" ht="15.6" x14ac:dyDescent="0.3">
      <c r="A42" s="61" t="str">
        <f>Historical!A34</f>
        <v>BALANCE SHEET</v>
      </c>
      <c r="B42" s="62"/>
      <c r="C42" s="62"/>
      <c r="D42" s="62"/>
      <c r="E42" s="62"/>
      <c r="F42" s="62"/>
      <c r="G42" s="62"/>
      <c r="H42" s="62"/>
      <c r="I42" s="62"/>
      <c r="J42" s="62"/>
      <c r="K42" s="62"/>
      <c r="L42" s="62"/>
      <c r="M42" s="62"/>
      <c r="N42" s="62"/>
      <c r="O42" s="62"/>
      <c r="P42" s="62"/>
      <c r="Q42" s="62"/>
      <c r="R42" s="62"/>
      <c r="S42" s="62"/>
      <c r="T42" s="62"/>
      <c r="U42" s="62"/>
      <c r="V42" s="62"/>
    </row>
    <row r="43" spans="1:22" x14ac:dyDescent="0.3">
      <c r="A43" s="10"/>
      <c r="B43" s="10" t="s">
        <v>161</v>
      </c>
      <c r="C43" s="10"/>
      <c r="D43" s="10"/>
      <c r="E43" s="10"/>
      <c r="F43" s="10"/>
      <c r="G43" s="10"/>
      <c r="H43" s="21"/>
      <c r="I43" s="21"/>
      <c r="J43" s="21"/>
      <c r="K43" s="21"/>
      <c r="L43" s="21"/>
      <c r="M43" s="21"/>
      <c r="N43" s="21"/>
      <c r="O43" s="21"/>
      <c r="P43" s="21"/>
      <c r="Q43" s="21"/>
      <c r="R43" s="21"/>
      <c r="S43" s="21"/>
      <c r="T43" s="21"/>
      <c r="U43" s="21"/>
      <c r="V43" s="21"/>
    </row>
    <row r="44" spans="1:22" x14ac:dyDescent="0.3">
      <c r="C44" s="10" t="s">
        <v>5</v>
      </c>
      <c r="M44" s="19"/>
      <c r="N44" s="19"/>
      <c r="O44" s="19"/>
      <c r="P44" s="19"/>
      <c r="Q44" s="19"/>
      <c r="R44" s="19"/>
      <c r="S44" s="19"/>
      <c r="T44" s="19"/>
      <c r="U44" s="19"/>
      <c r="V44" s="19"/>
    </row>
    <row r="45" spans="1:22" x14ac:dyDescent="0.3">
      <c r="D45" t="s">
        <v>151</v>
      </c>
      <c r="F45" s="10" t="str">
        <f>Historical!F7</f>
        <v>₹ in Cr</v>
      </c>
      <c r="H45" s="35">
        <f>Historical!H54-17.46</f>
        <v>454.68</v>
      </c>
      <c r="I45" s="35">
        <f>Historical!I54-28.03</f>
        <v>120.53</v>
      </c>
      <c r="J45" s="35">
        <f>Historical!J54-36.14</f>
        <v>10.030000000000001</v>
      </c>
      <c r="K45" s="35">
        <f>Historical!K54-67.07</f>
        <v>195.29000000000002</v>
      </c>
      <c r="L45" s="35">
        <f>Historical!L54-23.69</f>
        <v>117.46000000000001</v>
      </c>
      <c r="M45" s="19">
        <f>M106</f>
        <v>934.86482528459226</v>
      </c>
      <c r="N45" s="19">
        <f t="shared" ref="N45:V45" si="21">N106</f>
        <v>2329.4029329427849</v>
      </c>
      <c r="O45" s="19">
        <f t="shared" si="21"/>
        <v>3945.8405463637323</v>
      </c>
      <c r="P45" s="19">
        <f t="shared" si="21"/>
        <v>5834.5744071778154</v>
      </c>
      <c r="Q45" s="19">
        <f t="shared" si="21"/>
        <v>7936.8812131823197</v>
      </c>
      <c r="R45" s="19">
        <f t="shared" si="21"/>
        <v>10268.093947670826</v>
      </c>
      <c r="S45" s="19">
        <f t="shared" si="21"/>
        <v>12849.822878863912</v>
      </c>
      <c r="T45" s="19">
        <f t="shared" si="21"/>
        <v>15647.70507818101</v>
      </c>
      <c r="U45" s="19">
        <f t="shared" si="21"/>
        <v>18643.817024483018</v>
      </c>
      <c r="V45" s="19">
        <f t="shared" si="21"/>
        <v>21890.875824236315</v>
      </c>
    </row>
    <row r="46" spans="1:22" x14ac:dyDescent="0.3">
      <c r="D46" t="s">
        <v>152</v>
      </c>
      <c r="H46" s="35">
        <f>Historical!H55+17.46</f>
        <v>253.67000000000002</v>
      </c>
      <c r="I46" s="35">
        <f>Historical!I55+28.03</f>
        <v>169.12</v>
      </c>
      <c r="J46" s="35">
        <f>Historical!J55+36.14</f>
        <v>150.9</v>
      </c>
      <c r="K46" s="35">
        <f>Historical!K55+67.07</f>
        <v>226.51999999999998</v>
      </c>
      <c r="L46" s="35">
        <f>Historical!L55+23.69-7.27595761418343E-12</f>
        <v>176.11999999999273</v>
      </c>
      <c r="M46" s="19">
        <f>L46</f>
        <v>176.11999999999273</v>
      </c>
      <c r="N46" s="19">
        <f t="shared" ref="N46:V46" si="22">M46</f>
        <v>176.11999999999273</v>
      </c>
      <c r="O46" s="19">
        <f t="shared" si="22"/>
        <v>176.11999999999273</v>
      </c>
      <c r="P46" s="19">
        <f t="shared" si="22"/>
        <v>176.11999999999273</v>
      </c>
      <c r="Q46" s="19">
        <f t="shared" si="22"/>
        <v>176.11999999999273</v>
      </c>
      <c r="R46" s="19">
        <f t="shared" si="22"/>
        <v>176.11999999999273</v>
      </c>
      <c r="S46" s="19">
        <f t="shared" si="22"/>
        <v>176.11999999999273</v>
      </c>
      <c r="T46" s="19">
        <f t="shared" si="22"/>
        <v>176.11999999999273</v>
      </c>
      <c r="U46" s="19">
        <f t="shared" si="22"/>
        <v>176.11999999999273</v>
      </c>
      <c r="V46" s="19">
        <f t="shared" si="22"/>
        <v>176.11999999999273</v>
      </c>
    </row>
    <row r="47" spans="1:22" x14ac:dyDescent="0.3">
      <c r="D47" t="s">
        <v>153</v>
      </c>
      <c r="H47" s="35">
        <f>Historical!H53</f>
        <v>679.43</v>
      </c>
      <c r="I47" s="35">
        <f>Historical!I53</f>
        <v>788.29</v>
      </c>
      <c r="J47" s="35">
        <f>Historical!J53</f>
        <v>1211.57</v>
      </c>
      <c r="K47" s="35">
        <f>Historical!K53</f>
        <v>1286.53</v>
      </c>
      <c r="L47" s="35">
        <f>Historical!L53</f>
        <v>1401.46</v>
      </c>
      <c r="M47" s="19">
        <f>(M25*'Financial Statements'!M18)/365</f>
        <v>1269.5474130218993</v>
      </c>
      <c r="N47" s="19">
        <f>(N25*'Financial Statements'!N18)/365</f>
        <v>1358.5744253600601</v>
      </c>
      <c r="O47" s="19">
        <f>(O25*'Financial Statements'!O18)/365</f>
        <v>1447.6519048858399</v>
      </c>
      <c r="P47" s="19">
        <f>(P25*'Financial Statements'!P18)/365</f>
        <v>1536.4002456300764</v>
      </c>
      <c r="Q47" s="19">
        <f>(Q25*'Financial Statements'!Q18)/365</f>
        <v>1624.4670169821607</v>
      </c>
      <c r="R47" s="19">
        <f>(R25*'Financial Statements'!R18)/365</f>
        <v>1711.5293329288313</v>
      </c>
      <c r="S47" s="19">
        <f>(S25*'Financial Statements'!S18)/365</f>
        <v>1797.2953565471307</v>
      </c>
      <c r="T47" s="19">
        <f>(T25*'Financial Statements'!T18)/365</f>
        <v>1881.5050316522202</v>
      </c>
      <c r="U47" s="19">
        <f>(U25*'Financial Statements'!U18)/365</f>
        <v>1963.9301414717133</v>
      </c>
      <c r="V47" s="19">
        <f>(V25*'Financial Statements'!V18)/365</f>
        <v>2044.3737968428861</v>
      </c>
    </row>
    <row r="48" spans="1:22" x14ac:dyDescent="0.3">
      <c r="D48" t="s">
        <v>154</v>
      </c>
      <c r="H48" s="35">
        <f>Historical!H50</f>
        <v>1715.72</v>
      </c>
      <c r="I48" s="35">
        <f>Historical!I50</f>
        <v>2497.02</v>
      </c>
      <c r="J48" s="35">
        <f>Historical!J50</f>
        <v>2759.68</v>
      </c>
      <c r="K48" s="35">
        <f>Historical!K50</f>
        <v>3555.07</v>
      </c>
      <c r="L48" s="35">
        <f>Historical!L50</f>
        <v>2443.64</v>
      </c>
      <c r="M48" s="19">
        <f>(-M26*'Financial Statements'!M19)/365</f>
        <v>3140.6063873321264</v>
      </c>
      <c r="N48" s="19">
        <f>(-N26*'Financial Statements'!N19)/365</f>
        <v>3360.8414102437914</v>
      </c>
      <c r="O48" s="19">
        <f>(-O26*'Financial Statements'!O19)/365</f>
        <v>3581.2012788840702</v>
      </c>
      <c r="P48" s="19">
        <f>(-P26*'Financial Statements'!P19)/365</f>
        <v>3800.7469240073447</v>
      </c>
      <c r="Q48" s="19">
        <f>(-Q26*'Financial Statements'!Q19)/365</f>
        <v>4018.6065027699237</v>
      </c>
      <c r="R48" s="19">
        <f>(-R26*'Financial Statements'!R19)/365</f>
        <v>4233.9812597529653</v>
      </c>
      <c r="S48" s="19">
        <f>(-S26*'Financial Statements'!S19)/365</f>
        <v>4446.1492487771484</v>
      </c>
      <c r="T48" s="19">
        <f>(-T26*'Financial Statements'!T19)/365</f>
        <v>4654.467142853031</v>
      </c>
      <c r="U48" s="19">
        <f>(-U26*'Financial Statements'!U19)/365</f>
        <v>4858.3703793296245</v>
      </c>
      <c r="V48" s="19">
        <f>(-V26*'Financial Statements'!V19)/365</f>
        <v>5057.3718937966478</v>
      </c>
    </row>
    <row r="49" spans="2:22" x14ac:dyDescent="0.3">
      <c r="D49" t="s">
        <v>155</v>
      </c>
      <c r="H49" s="35">
        <f>Historical!H52</f>
        <v>3801.47</v>
      </c>
      <c r="I49" s="35">
        <f>Historical!I52</f>
        <v>3526.3</v>
      </c>
      <c r="J49" s="35">
        <f>Historical!J52</f>
        <v>3397.89</v>
      </c>
      <c r="K49" s="35">
        <f>Historical!K52</f>
        <v>5264.04</v>
      </c>
      <c r="L49" s="35">
        <f>Historical!L52</f>
        <v>6452.56</v>
      </c>
      <c r="M49" s="19">
        <f t="shared" ref="M49:V49" si="23">L49</f>
        <v>6452.56</v>
      </c>
      <c r="N49" s="19">
        <f t="shared" si="23"/>
        <v>6452.56</v>
      </c>
      <c r="O49" s="19">
        <f t="shared" si="23"/>
        <v>6452.56</v>
      </c>
      <c r="P49" s="19">
        <f t="shared" si="23"/>
        <v>6452.56</v>
      </c>
      <c r="Q49" s="19">
        <f t="shared" si="23"/>
        <v>6452.56</v>
      </c>
      <c r="R49" s="19">
        <f t="shared" si="23"/>
        <v>6452.56</v>
      </c>
      <c r="S49" s="19">
        <f t="shared" si="23"/>
        <v>6452.56</v>
      </c>
      <c r="T49" s="19">
        <f t="shared" si="23"/>
        <v>6452.56</v>
      </c>
      <c r="U49" s="19">
        <f t="shared" si="23"/>
        <v>6452.56</v>
      </c>
      <c r="V49" s="19">
        <f t="shared" si="23"/>
        <v>6452.56</v>
      </c>
    </row>
    <row r="50" spans="2:22" x14ac:dyDescent="0.3">
      <c r="D50" t="s">
        <v>52</v>
      </c>
      <c r="H50" s="35">
        <f>SUM(Historical!H56,Historical!H57,Historical!H58)</f>
        <v>1282.3599999999999</v>
      </c>
      <c r="I50" s="35">
        <f>SUM(Historical!I56,Historical!I57,Historical!I58)</f>
        <v>1369.0700000000002</v>
      </c>
      <c r="J50" s="35">
        <f>SUM(Historical!J56,Historical!J57,Historical!J58)</f>
        <v>1437.86</v>
      </c>
      <c r="K50" s="35">
        <f>SUM(Historical!K56,Historical!K57,Historical!K58)</f>
        <v>1684.76</v>
      </c>
      <c r="L50" s="35">
        <f>SUM(Historical!L56,Historical!L57,Historical!L58)</f>
        <v>1511.11</v>
      </c>
      <c r="M50" s="19">
        <f>L50</f>
        <v>1511.11</v>
      </c>
      <c r="N50" s="19">
        <f t="shared" ref="N50:V50" si="24">M50</f>
        <v>1511.11</v>
      </c>
      <c r="O50" s="19">
        <f t="shared" si="24"/>
        <v>1511.11</v>
      </c>
      <c r="P50" s="19">
        <f t="shared" si="24"/>
        <v>1511.11</v>
      </c>
      <c r="Q50" s="19">
        <f t="shared" si="24"/>
        <v>1511.11</v>
      </c>
      <c r="R50" s="19">
        <f t="shared" si="24"/>
        <v>1511.11</v>
      </c>
      <c r="S50" s="19">
        <f t="shared" si="24"/>
        <v>1511.11</v>
      </c>
      <c r="T50" s="19">
        <f t="shared" si="24"/>
        <v>1511.11</v>
      </c>
      <c r="U50" s="19">
        <f t="shared" si="24"/>
        <v>1511.11</v>
      </c>
      <c r="V50" s="19">
        <f t="shared" si="24"/>
        <v>1511.11</v>
      </c>
    </row>
    <row r="51" spans="2:22" s="10" customFormat="1" x14ac:dyDescent="0.3">
      <c r="D51" s="13" t="s">
        <v>61</v>
      </c>
      <c r="E51" s="13"/>
      <c r="F51" s="13"/>
      <c r="G51" s="13"/>
      <c r="H51" s="20">
        <f>SUM(H45:H50)</f>
        <v>8187.329999999999</v>
      </c>
      <c r="I51" s="20">
        <f t="shared" ref="I51:V51" si="25">SUM(I45:I50)</f>
        <v>8470.33</v>
      </c>
      <c r="J51" s="20">
        <f t="shared" si="25"/>
        <v>8967.93</v>
      </c>
      <c r="K51" s="20">
        <f t="shared" si="25"/>
        <v>12212.210000000001</v>
      </c>
      <c r="L51" s="20">
        <f t="shared" si="25"/>
        <v>12102.349999999995</v>
      </c>
      <c r="M51" s="20">
        <f>SUM(M45:M50)</f>
        <v>13484.808625638612</v>
      </c>
      <c r="N51" s="20">
        <f t="shared" si="25"/>
        <v>15188.60876854663</v>
      </c>
      <c r="O51" s="20">
        <f t="shared" si="25"/>
        <v>17114.483730133637</v>
      </c>
      <c r="P51" s="20">
        <f t="shared" si="25"/>
        <v>19311.511576815228</v>
      </c>
      <c r="Q51" s="20">
        <f t="shared" si="25"/>
        <v>21719.7447329344</v>
      </c>
      <c r="R51" s="20">
        <f t="shared" si="25"/>
        <v>24353.39454035262</v>
      </c>
      <c r="S51" s="20">
        <f t="shared" si="25"/>
        <v>27233.057484188186</v>
      </c>
      <c r="T51" s="20">
        <f t="shared" si="25"/>
        <v>30323.467252686256</v>
      </c>
      <c r="U51" s="20">
        <f t="shared" si="25"/>
        <v>33605.907545284346</v>
      </c>
      <c r="V51" s="20">
        <f t="shared" si="25"/>
        <v>37132.411514875843</v>
      </c>
    </row>
    <row r="52" spans="2:22" x14ac:dyDescent="0.3">
      <c r="C52" s="10" t="s">
        <v>44</v>
      </c>
      <c r="H52" s="19"/>
      <c r="I52" s="19"/>
      <c r="J52" s="19"/>
      <c r="K52" s="19"/>
      <c r="L52" s="19"/>
      <c r="M52" s="19"/>
      <c r="N52" s="19"/>
      <c r="O52" s="19"/>
      <c r="P52" s="19"/>
      <c r="Q52" s="19"/>
      <c r="R52" s="19"/>
      <c r="S52" s="19"/>
      <c r="T52" s="19"/>
      <c r="U52" s="19"/>
      <c r="V52" s="19"/>
    </row>
    <row r="53" spans="2:22" x14ac:dyDescent="0.3">
      <c r="D53" t="s">
        <v>196</v>
      </c>
      <c r="H53" s="35">
        <f>Historical!H37+Historical!H38</f>
        <v>6711.04</v>
      </c>
      <c r="I53" s="35">
        <f>Historical!I37+Historical!I38</f>
        <v>7777.7099999999991</v>
      </c>
      <c r="J53" s="35">
        <f>Historical!J37+Historical!J38</f>
        <v>9590.35</v>
      </c>
      <c r="K53" s="35">
        <f>Historical!K37+Historical!K38</f>
        <v>10764.62</v>
      </c>
      <c r="L53" s="35">
        <f>Historical!L37+Historical!L38</f>
        <v>12344.39</v>
      </c>
      <c r="M53" s="19">
        <f>Schedules!M15</f>
        <v>12125.583812933666</v>
      </c>
      <c r="N53" s="19">
        <f>Schedules!N15</f>
        <v>11986.846160811388</v>
      </c>
      <c r="O53" s="19">
        <f>Schedules!O15</f>
        <v>11905.095384933571</v>
      </c>
      <c r="P53" s="19">
        <f>Schedules!P15</f>
        <v>11744.877290929004</v>
      </c>
      <c r="Q53" s="19">
        <f>Schedules!Q15</f>
        <v>11649.631881559204</v>
      </c>
      <c r="R53" s="19">
        <f>Schedules!R15</f>
        <v>11599.996575134655</v>
      </c>
      <c r="S53" s="19">
        <f>Schedules!S15</f>
        <v>11466.404868975351</v>
      </c>
      <c r="T53" s="19">
        <f>Schedules!T15</f>
        <v>11391.408458407102</v>
      </c>
      <c r="U53" s="19">
        <f>Schedules!U15</f>
        <v>11356.968975230018</v>
      </c>
      <c r="V53" s="19">
        <f>Schedules!V15</f>
        <v>11237.058431985928</v>
      </c>
    </row>
    <row r="54" spans="2:22" x14ac:dyDescent="0.3">
      <c r="D54" t="s">
        <v>156</v>
      </c>
      <c r="H54" s="35">
        <f>Historical!H39</f>
        <v>60.25</v>
      </c>
      <c r="I54" s="35">
        <f>Historical!I39</f>
        <v>57.25</v>
      </c>
      <c r="J54" s="35">
        <f>Historical!J39</f>
        <v>74.67</v>
      </c>
      <c r="K54" s="35">
        <f>Historical!K39</f>
        <v>123.45</v>
      </c>
      <c r="L54" s="35">
        <f>Historical!L39</f>
        <v>93.24</v>
      </c>
      <c r="M54" s="19">
        <f>L54</f>
        <v>93.24</v>
      </c>
      <c r="N54" s="19">
        <f t="shared" ref="N54:V54" si="26">M54</f>
        <v>93.24</v>
      </c>
      <c r="O54" s="19">
        <f t="shared" si="26"/>
        <v>93.24</v>
      </c>
      <c r="P54" s="19">
        <f t="shared" si="26"/>
        <v>93.24</v>
      </c>
      <c r="Q54" s="19">
        <f t="shared" si="26"/>
        <v>93.24</v>
      </c>
      <c r="R54" s="19">
        <f t="shared" si="26"/>
        <v>93.24</v>
      </c>
      <c r="S54" s="19">
        <f t="shared" si="26"/>
        <v>93.24</v>
      </c>
      <c r="T54" s="19">
        <f>S54</f>
        <v>93.24</v>
      </c>
      <c r="U54" s="19">
        <f t="shared" si="26"/>
        <v>93.24</v>
      </c>
      <c r="V54" s="19">
        <f t="shared" si="26"/>
        <v>93.24</v>
      </c>
    </row>
    <row r="55" spans="2:22" x14ac:dyDescent="0.3">
      <c r="D55" t="s">
        <v>48</v>
      </c>
      <c r="H55" s="35">
        <f>SUM(Historical!H42:H44)</f>
        <v>4833.5599999999995</v>
      </c>
      <c r="I55" s="35">
        <f>SUM(Historical!I42:I44)</f>
        <v>5648.22</v>
      </c>
      <c r="J55" s="35">
        <f>SUM(Historical!J42:J44)</f>
        <v>5432.22</v>
      </c>
      <c r="K55" s="35">
        <f>SUM(Historical!K42:K44)</f>
        <v>2409.0099999999998</v>
      </c>
      <c r="L55" s="35">
        <f>SUM(Historical!L42:L44)</f>
        <v>1543.6599999999999</v>
      </c>
      <c r="M55" s="19">
        <f>L55</f>
        <v>1543.6599999999999</v>
      </c>
      <c r="N55" s="19">
        <f t="shared" ref="N55:V55" si="27">M55</f>
        <v>1543.6599999999999</v>
      </c>
      <c r="O55" s="19">
        <f t="shared" si="27"/>
        <v>1543.6599999999999</v>
      </c>
      <c r="P55" s="19">
        <f t="shared" si="27"/>
        <v>1543.6599999999999</v>
      </c>
      <c r="Q55" s="19">
        <f t="shared" si="27"/>
        <v>1543.6599999999999</v>
      </c>
      <c r="R55" s="19">
        <f t="shared" si="27"/>
        <v>1543.6599999999999</v>
      </c>
      <c r="S55" s="19">
        <f t="shared" si="27"/>
        <v>1543.6599999999999</v>
      </c>
      <c r="T55" s="19">
        <f t="shared" si="27"/>
        <v>1543.6599999999999</v>
      </c>
      <c r="U55" s="19">
        <f t="shared" si="27"/>
        <v>1543.6599999999999</v>
      </c>
      <c r="V55" s="19">
        <f t="shared" si="27"/>
        <v>1543.6599999999999</v>
      </c>
    </row>
    <row r="56" spans="2:22" x14ac:dyDescent="0.3">
      <c r="D56" t="s">
        <v>51</v>
      </c>
      <c r="H56" s="35">
        <f>SUM(Historical!H40,Historical!H45:H47)</f>
        <v>1720.9899999999998</v>
      </c>
      <c r="I56" s="35">
        <f>SUM(Historical!I40,Historical!I45:I47)</f>
        <v>1795.37</v>
      </c>
      <c r="J56" s="35">
        <f>SUM(Historical!J40,Historical!J45:J47)</f>
        <v>2268.77</v>
      </c>
      <c r="K56" s="35">
        <f>SUM(Historical!K40,Historical!K45:K47)</f>
        <v>2444.1799999999998</v>
      </c>
      <c r="L56" s="35">
        <f>SUM(Historical!L40,Historical!L45:L47)</f>
        <v>2408.1200000000003</v>
      </c>
      <c r="M56" s="19">
        <f>L56</f>
        <v>2408.1200000000003</v>
      </c>
      <c r="N56" s="19">
        <f t="shared" ref="N56:V56" si="28">M56</f>
        <v>2408.1200000000003</v>
      </c>
      <c r="O56" s="19">
        <f t="shared" si="28"/>
        <v>2408.1200000000003</v>
      </c>
      <c r="P56" s="19">
        <f t="shared" si="28"/>
        <v>2408.1200000000003</v>
      </c>
      <c r="Q56" s="19">
        <f t="shared" si="28"/>
        <v>2408.1200000000003</v>
      </c>
      <c r="R56" s="19">
        <f t="shared" si="28"/>
        <v>2408.1200000000003</v>
      </c>
      <c r="S56" s="19">
        <f t="shared" si="28"/>
        <v>2408.1200000000003</v>
      </c>
      <c r="T56" s="19">
        <f t="shared" si="28"/>
        <v>2408.1200000000003</v>
      </c>
      <c r="U56" s="19">
        <f t="shared" si="28"/>
        <v>2408.1200000000003</v>
      </c>
      <c r="V56" s="19">
        <f t="shared" si="28"/>
        <v>2408.1200000000003</v>
      </c>
    </row>
    <row r="57" spans="2:22" s="10" customFormat="1" x14ac:dyDescent="0.3">
      <c r="D57" s="13" t="s">
        <v>60</v>
      </c>
      <c r="E57" s="13"/>
      <c r="F57" s="13"/>
      <c r="G57" s="13"/>
      <c r="H57" s="20">
        <f>SUM(H53:H56)</f>
        <v>13325.839999999998</v>
      </c>
      <c r="I57" s="20">
        <f t="shared" ref="I57:L57" si="29">SUM(I53:I56)</f>
        <v>15278.55</v>
      </c>
      <c r="J57" s="20">
        <f t="shared" si="29"/>
        <v>17366.010000000002</v>
      </c>
      <c r="K57" s="20">
        <f t="shared" si="29"/>
        <v>15741.260000000002</v>
      </c>
      <c r="L57" s="20">
        <f t="shared" si="29"/>
        <v>16389.41</v>
      </c>
      <c r="M57" s="20">
        <f>SUM(M53:M56)</f>
        <v>16170.603812933667</v>
      </c>
      <c r="N57" s="20">
        <f t="shared" ref="N57:V57" si="30">SUM(N53:N56)</f>
        <v>16031.866160811389</v>
      </c>
      <c r="O57" s="20">
        <f t="shared" si="30"/>
        <v>15950.115384933571</v>
      </c>
      <c r="P57" s="20">
        <f t="shared" si="30"/>
        <v>15789.897290929004</v>
      </c>
      <c r="Q57" s="20">
        <f t="shared" si="30"/>
        <v>15694.651881559204</v>
      </c>
      <c r="R57" s="20">
        <f t="shared" si="30"/>
        <v>15645.016575134656</v>
      </c>
      <c r="S57" s="20">
        <f t="shared" si="30"/>
        <v>15511.424868975351</v>
      </c>
      <c r="T57" s="20">
        <f t="shared" si="30"/>
        <v>15436.428458407103</v>
      </c>
      <c r="U57" s="20">
        <f t="shared" si="30"/>
        <v>15401.988975230019</v>
      </c>
      <c r="V57" s="20">
        <f t="shared" si="30"/>
        <v>15282.078431985929</v>
      </c>
    </row>
    <row r="58" spans="2:22" s="10" customFormat="1" x14ac:dyDescent="0.3">
      <c r="D58" s="8" t="s">
        <v>75</v>
      </c>
      <c r="E58" s="8"/>
      <c r="F58" s="8"/>
      <c r="G58" s="8"/>
      <c r="H58" s="23">
        <f>H51+H57</f>
        <v>21513.17</v>
      </c>
      <c r="I58" s="23">
        <f t="shared" ref="I58:L58" si="31">I51+I57</f>
        <v>23748.879999999997</v>
      </c>
      <c r="J58" s="23">
        <f t="shared" si="31"/>
        <v>26333.940000000002</v>
      </c>
      <c r="K58" s="23">
        <f t="shared" si="31"/>
        <v>27953.47</v>
      </c>
      <c r="L58" s="23">
        <f t="shared" si="31"/>
        <v>28491.759999999995</v>
      </c>
      <c r="M58" s="23">
        <f>M51+M57</f>
        <v>29655.412438572279</v>
      </c>
      <c r="N58" s="23">
        <f t="shared" ref="N58:V58" si="32">N51+N57</f>
        <v>31220.474929358017</v>
      </c>
      <c r="O58" s="23">
        <f t="shared" si="32"/>
        <v>33064.599115067205</v>
      </c>
      <c r="P58" s="23">
        <f t="shared" si="32"/>
        <v>35101.408867744234</v>
      </c>
      <c r="Q58" s="23">
        <f t="shared" si="32"/>
        <v>37414.396614493606</v>
      </c>
      <c r="R58" s="23">
        <f t="shared" si="32"/>
        <v>39998.411115487273</v>
      </c>
      <c r="S58" s="23">
        <f t="shared" si="32"/>
        <v>42744.482353163534</v>
      </c>
      <c r="T58" s="23">
        <f t="shared" si="32"/>
        <v>45759.895711093355</v>
      </c>
      <c r="U58" s="23">
        <f t="shared" si="32"/>
        <v>49007.896520514361</v>
      </c>
      <c r="V58" s="23">
        <f t="shared" si="32"/>
        <v>52414.489946861773</v>
      </c>
    </row>
    <row r="59" spans="2:22" x14ac:dyDescent="0.3">
      <c r="B59" s="10" t="s">
        <v>160</v>
      </c>
      <c r="H59" s="19"/>
      <c r="I59" s="19"/>
      <c r="J59" s="19"/>
      <c r="K59" s="19"/>
      <c r="L59" s="19"/>
      <c r="M59" s="19"/>
      <c r="N59" s="19"/>
      <c r="O59" s="19"/>
      <c r="P59" s="19"/>
      <c r="Q59" s="19"/>
      <c r="R59" s="19"/>
      <c r="S59" s="19"/>
      <c r="T59" s="19"/>
      <c r="U59" s="19"/>
      <c r="V59" s="19"/>
    </row>
    <row r="60" spans="2:22" x14ac:dyDescent="0.3">
      <c r="C60" s="10" t="s">
        <v>12</v>
      </c>
      <c r="H60" s="19"/>
      <c r="I60" s="19"/>
      <c r="J60" s="19"/>
      <c r="K60" s="19"/>
      <c r="L60" s="19"/>
      <c r="M60" s="19"/>
      <c r="N60" s="19"/>
      <c r="O60" s="19"/>
      <c r="P60" s="19"/>
      <c r="Q60" s="19"/>
      <c r="R60" s="19"/>
      <c r="S60" s="19"/>
      <c r="T60" s="19"/>
      <c r="U60" s="19"/>
      <c r="V60" s="19"/>
    </row>
    <row r="61" spans="2:22" x14ac:dyDescent="0.3">
      <c r="D61" t="s">
        <v>157</v>
      </c>
      <c r="H61" s="35">
        <f>Historical!H83+Historical!H84</f>
        <v>882.97</v>
      </c>
      <c r="I61" s="35">
        <f>Historical!I83+Historical!I84</f>
        <v>890.37</v>
      </c>
      <c r="J61" s="35">
        <f>Historical!J83+Historical!J84</f>
        <v>1196</v>
      </c>
      <c r="K61" s="35">
        <f>Historical!K83+Historical!K84</f>
        <v>1214.23</v>
      </c>
      <c r="L61" s="35">
        <f>Historical!L83+Historical!L84</f>
        <v>1361.03</v>
      </c>
      <c r="M61" s="19">
        <f>(-M26*'Financial Statements'!M20)/365</f>
        <v>1360.2923456397891</v>
      </c>
      <c r="N61" s="19">
        <f>(-N26*'Financial Statements'!N20)/365</f>
        <v>1455.6828463777792</v>
      </c>
      <c r="O61" s="19">
        <f>(-O26*'Financial Statements'!O20)/365</f>
        <v>1551.1274216058757</v>
      </c>
      <c r="P61" s="19">
        <f>(-P26*'Financial Statements'!P20)/365</f>
        <v>1646.2193318128825</v>
      </c>
      <c r="Q61" s="19">
        <f>(-Q26*'Financial Statements'!Q20)/365</f>
        <v>1740.5809552912042</v>
      </c>
      <c r="R61" s="19">
        <f>(-R26*'Financial Statements'!R20)/365</f>
        <v>1833.8663267245008</v>
      </c>
      <c r="S61" s="19">
        <f>(-S26*'Financial Statements'!S20)/365</f>
        <v>1925.7627492190593</v>
      </c>
      <c r="T61" s="19">
        <f>(-T26*'Financial Statements'!T20)/365</f>
        <v>2015.9915782484568</v>
      </c>
      <c r="U61" s="19">
        <f>(-U26*'Financial Statements'!U20)/365</f>
        <v>2104.3082845218296</v>
      </c>
      <c r="V61" s="19">
        <f>(-V26*'Financial Statements'!V20)/365</f>
        <v>2190.5019055983539</v>
      </c>
    </row>
    <row r="62" spans="2:22" x14ac:dyDescent="0.3">
      <c r="D62" t="s">
        <v>58</v>
      </c>
      <c r="H62" s="35">
        <f>SUM(Historical!H85:H88)</f>
        <v>2745.7200000000003</v>
      </c>
      <c r="I62" s="35">
        <f>SUM(Historical!I85:I88)</f>
        <v>3052.8299999999995</v>
      </c>
      <c r="J62" s="35">
        <f>SUM(Historical!J85:J88)</f>
        <v>3529.98</v>
      </c>
      <c r="K62" s="35">
        <f>SUM(Historical!K85:K88)</f>
        <v>4112.7800000000007</v>
      </c>
      <c r="L62" s="35">
        <f>SUM(Historical!L85:L88)</f>
        <v>4259.87</v>
      </c>
      <c r="M62" s="19">
        <f>L62</f>
        <v>4259.87</v>
      </c>
      <c r="N62" s="19">
        <f t="shared" ref="N62:V62" si="33">M62</f>
        <v>4259.87</v>
      </c>
      <c r="O62" s="19">
        <f t="shared" si="33"/>
        <v>4259.87</v>
      </c>
      <c r="P62" s="19">
        <f t="shared" si="33"/>
        <v>4259.87</v>
      </c>
      <c r="Q62" s="19">
        <f t="shared" si="33"/>
        <v>4259.87</v>
      </c>
      <c r="R62" s="19">
        <f t="shared" si="33"/>
        <v>4259.87</v>
      </c>
      <c r="S62" s="19">
        <f t="shared" si="33"/>
        <v>4259.87</v>
      </c>
      <c r="T62" s="19">
        <f t="shared" si="33"/>
        <v>4259.87</v>
      </c>
      <c r="U62" s="19">
        <f t="shared" si="33"/>
        <v>4259.87</v>
      </c>
      <c r="V62" s="19">
        <f t="shared" si="33"/>
        <v>4259.87</v>
      </c>
    </row>
    <row r="63" spans="2:22" s="10" customFormat="1" x14ac:dyDescent="0.3">
      <c r="D63" s="13" t="s">
        <v>65</v>
      </c>
      <c r="E63" s="13"/>
      <c r="F63" s="13"/>
      <c r="G63" s="13"/>
      <c r="H63" s="20">
        <f>SUM(H61:H62)</f>
        <v>3628.6900000000005</v>
      </c>
      <c r="I63" s="20">
        <f t="shared" ref="I63:M63" si="34">SUM(I61:I62)</f>
        <v>3943.1999999999994</v>
      </c>
      <c r="J63" s="20">
        <f t="shared" si="34"/>
        <v>4725.9799999999996</v>
      </c>
      <c r="K63" s="20">
        <f t="shared" si="34"/>
        <v>5327.01</v>
      </c>
      <c r="L63" s="20">
        <f t="shared" si="34"/>
        <v>5620.9</v>
      </c>
      <c r="M63" s="20">
        <f t="shared" si="34"/>
        <v>5620.1623456397892</v>
      </c>
      <c r="N63" s="20">
        <f t="shared" ref="N63:V63" si="35">SUM(N61:N62)</f>
        <v>5715.5528463777791</v>
      </c>
      <c r="O63" s="20">
        <f t="shared" si="35"/>
        <v>5810.9974216058754</v>
      </c>
      <c r="P63" s="20">
        <f t="shared" si="35"/>
        <v>5906.0893318128819</v>
      </c>
      <c r="Q63" s="20">
        <f t="shared" si="35"/>
        <v>6000.4509552912041</v>
      </c>
      <c r="R63" s="20">
        <f t="shared" si="35"/>
        <v>6093.7363267245009</v>
      </c>
      <c r="S63" s="20">
        <f t="shared" si="35"/>
        <v>6185.6327492190594</v>
      </c>
      <c r="T63" s="20">
        <f t="shared" si="35"/>
        <v>6275.8615782484567</v>
      </c>
      <c r="U63" s="20">
        <f t="shared" si="35"/>
        <v>6364.1782845218295</v>
      </c>
      <c r="V63" s="20">
        <f t="shared" si="35"/>
        <v>6450.3719055983538</v>
      </c>
    </row>
    <row r="64" spans="2:22" x14ac:dyDescent="0.3">
      <c r="C64" s="10" t="s">
        <v>158</v>
      </c>
      <c r="H64" s="19"/>
      <c r="I64" s="19"/>
      <c r="J64" s="19"/>
      <c r="K64" s="19"/>
      <c r="L64" s="19"/>
      <c r="M64" s="19"/>
      <c r="N64" s="19"/>
      <c r="O64" s="19"/>
      <c r="P64" s="19"/>
      <c r="Q64" s="19"/>
      <c r="R64" s="19"/>
      <c r="S64" s="19"/>
      <c r="T64" s="19"/>
      <c r="U64" s="19"/>
      <c r="V64" s="19"/>
    </row>
    <row r="65" spans="1:22" x14ac:dyDescent="0.3">
      <c r="D65" t="s">
        <v>159</v>
      </c>
      <c r="H65" s="35">
        <f>SUM(Historical!H80:H81,Historical!H71:H72)</f>
        <v>2229.8799999999997</v>
      </c>
      <c r="I65" s="35">
        <f>SUM(Historical!I80:I81,Historical!I71:I72)</f>
        <v>2129.2199999999998</v>
      </c>
      <c r="J65" s="35">
        <f>SUM(Historical!J80:J81,Historical!J71:J72)</f>
        <v>2724.67</v>
      </c>
      <c r="K65" s="35">
        <f>SUM(Historical!K80:K81,Historical!K71:K72)</f>
        <v>1655.5500000000002</v>
      </c>
      <c r="L65" s="35">
        <f>SUM(Historical!L80:L81,Historical!L71:L72)</f>
        <v>1046.1300000000001</v>
      </c>
      <c r="M65" s="19">
        <f>Schedules!M20</f>
        <v>1046.1300000000001</v>
      </c>
      <c r="N65" s="19">
        <f>Schedules!N20</f>
        <v>1046.1300000000001</v>
      </c>
      <c r="O65" s="19">
        <f>Schedules!O20</f>
        <v>1046.1300000000001</v>
      </c>
      <c r="P65" s="19">
        <f>Schedules!P20</f>
        <v>1046.1300000000001</v>
      </c>
      <c r="Q65" s="19">
        <f>Schedules!Q20</f>
        <v>1046.1300000000001</v>
      </c>
      <c r="R65" s="19">
        <f>Schedules!R20</f>
        <v>1046.1300000000001</v>
      </c>
      <c r="S65" s="19">
        <f>Schedules!S20</f>
        <v>1046.1300000000001</v>
      </c>
      <c r="T65" s="19">
        <f>Schedules!T20</f>
        <v>1046.1300000000001</v>
      </c>
      <c r="U65" s="19">
        <f>Schedules!U20</f>
        <v>1046.1300000000001</v>
      </c>
      <c r="V65" s="19">
        <f>Schedules!V20</f>
        <v>1046.1300000000001</v>
      </c>
    </row>
    <row r="66" spans="1:22" x14ac:dyDescent="0.3">
      <c r="D66" t="s">
        <v>81</v>
      </c>
      <c r="H66" s="35">
        <f>SUM(Historical!H73:H76)</f>
        <v>206.03</v>
      </c>
      <c r="I66" s="35">
        <f>SUM(Historical!I73:I76)</f>
        <v>165.89000000000001</v>
      </c>
      <c r="J66" s="35">
        <f>SUM(Historical!J73:J76)</f>
        <v>206.32999999999998</v>
      </c>
      <c r="K66" s="35">
        <f>SUM(Historical!K73:K76)</f>
        <v>226.87</v>
      </c>
      <c r="L66" s="35">
        <f>SUM(Historical!L73:L76)</f>
        <v>246.20999999999998</v>
      </c>
      <c r="M66" s="19">
        <f>L66</f>
        <v>246.20999999999998</v>
      </c>
      <c r="N66" s="19">
        <f t="shared" ref="N66:V66" si="36">M66</f>
        <v>246.20999999999998</v>
      </c>
      <c r="O66" s="19">
        <f t="shared" si="36"/>
        <v>246.20999999999998</v>
      </c>
      <c r="P66" s="19">
        <f t="shared" si="36"/>
        <v>246.20999999999998</v>
      </c>
      <c r="Q66" s="19">
        <f t="shared" si="36"/>
        <v>246.20999999999998</v>
      </c>
      <c r="R66" s="19">
        <f t="shared" si="36"/>
        <v>246.20999999999998</v>
      </c>
      <c r="S66" s="19">
        <f t="shared" si="36"/>
        <v>246.20999999999998</v>
      </c>
      <c r="T66" s="19">
        <f t="shared" si="36"/>
        <v>246.20999999999998</v>
      </c>
      <c r="U66" s="19">
        <f t="shared" si="36"/>
        <v>246.20999999999998</v>
      </c>
      <c r="V66" s="19">
        <f t="shared" si="36"/>
        <v>246.20999999999998</v>
      </c>
    </row>
    <row r="67" spans="1:22" s="10" customFormat="1" x14ac:dyDescent="0.3">
      <c r="D67" s="13" t="s">
        <v>66</v>
      </c>
      <c r="E67" s="13"/>
      <c r="F67" s="13"/>
      <c r="G67" s="13"/>
      <c r="H67" s="20">
        <f>SUM(H65:H66)</f>
        <v>2435.91</v>
      </c>
      <c r="I67" s="20">
        <f t="shared" ref="I67:L67" si="37">SUM(I65:I66)</f>
        <v>2295.1099999999997</v>
      </c>
      <c r="J67" s="20">
        <f t="shared" si="37"/>
        <v>2931</v>
      </c>
      <c r="K67" s="20">
        <f t="shared" si="37"/>
        <v>1882.42</v>
      </c>
      <c r="L67" s="20">
        <f t="shared" si="37"/>
        <v>1292.3400000000001</v>
      </c>
      <c r="M67" s="20">
        <f>SUM(M65:M66)</f>
        <v>1292.3400000000001</v>
      </c>
      <c r="N67" s="20">
        <f t="shared" ref="N67:V67" si="38">SUM(N65:N66)</f>
        <v>1292.3400000000001</v>
      </c>
      <c r="O67" s="20">
        <f t="shared" si="38"/>
        <v>1292.3400000000001</v>
      </c>
      <c r="P67" s="20">
        <f t="shared" si="38"/>
        <v>1292.3400000000001</v>
      </c>
      <c r="Q67" s="20">
        <f t="shared" si="38"/>
        <v>1292.3400000000001</v>
      </c>
      <c r="R67" s="20">
        <f t="shared" si="38"/>
        <v>1292.3400000000001</v>
      </c>
      <c r="S67" s="20">
        <f t="shared" si="38"/>
        <v>1292.3400000000001</v>
      </c>
      <c r="T67" s="20">
        <f t="shared" si="38"/>
        <v>1292.3400000000001</v>
      </c>
      <c r="U67" s="20">
        <f t="shared" si="38"/>
        <v>1292.3400000000001</v>
      </c>
      <c r="V67" s="20">
        <f t="shared" si="38"/>
        <v>1292.3400000000001</v>
      </c>
    </row>
    <row r="68" spans="1:22" s="10" customFormat="1" x14ac:dyDescent="0.3">
      <c r="D68" s="8" t="s">
        <v>82</v>
      </c>
      <c r="E68" s="8"/>
      <c r="F68" s="8"/>
      <c r="G68" s="8"/>
      <c r="H68" s="23">
        <f>H63+H67</f>
        <v>6064.6</v>
      </c>
      <c r="I68" s="23">
        <f t="shared" ref="I68:L68" si="39">I63+I67</f>
        <v>6238.3099999999995</v>
      </c>
      <c r="J68" s="23">
        <f t="shared" si="39"/>
        <v>7656.98</v>
      </c>
      <c r="K68" s="23">
        <f t="shared" si="39"/>
        <v>7209.43</v>
      </c>
      <c r="L68" s="23">
        <f t="shared" si="39"/>
        <v>6913.24</v>
      </c>
      <c r="M68" s="23">
        <f>M63+M67</f>
        <v>6912.5023456397894</v>
      </c>
      <c r="N68" s="23">
        <f t="shared" ref="N68:V68" si="40">N63+N67</f>
        <v>7007.8928463777793</v>
      </c>
      <c r="O68" s="23">
        <f t="shared" si="40"/>
        <v>7103.3374216058755</v>
      </c>
      <c r="P68" s="23">
        <f t="shared" si="40"/>
        <v>7198.4293318128821</v>
      </c>
      <c r="Q68" s="23">
        <f t="shared" si="40"/>
        <v>7292.7909552912042</v>
      </c>
      <c r="R68" s="23">
        <f t="shared" si="40"/>
        <v>7386.0763267245011</v>
      </c>
      <c r="S68" s="23">
        <f t="shared" si="40"/>
        <v>7477.9727492190596</v>
      </c>
      <c r="T68" s="23">
        <f t="shared" si="40"/>
        <v>7568.2015782484568</v>
      </c>
      <c r="U68" s="23">
        <f t="shared" si="40"/>
        <v>7656.5182845218296</v>
      </c>
      <c r="V68" s="23">
        <f t="shared" si="40"/>
        <v>7742.711905598354</v>
      </c>
    </row>
    <row r="69" spans="1:22" x14ac:dyDescent="0.3">
      <c r="B69" s="10" t="s">
        <v>162</v>
      </c>
      <c r="H69" s="19"/>
      <c r="I69" s="19"/>
      <c r="J69" s="19"/>
      <c r="K69" s="19"/>
      <c r="L69" s="19"/>
      <c r="M69" s="19"/>
      <c r="N69" s="19"/>
      <c r="O69" s="19"/>
      <c r="P69" s="19"/>
      <c r="Q69" s="19"/>
      <c r="R69" s="19"/>
      <c r="S69" s="19"/>
      <c r="T69" s="19"/>
      <c r="U69" s="19"/>
      <c r="V69" s="19"/>
    </row>
    <row r="70" spans="1:22" x14ac:dyDescent="0.3">
      <c r="D70" t="s">
        <v>10</v>
      </c>
      <c r="H70" s="35">
        <f>Historical!H63</f>
        <v>36.08</v>
      </c>
      <c r="I70" s="35">
        <f>Historical!I63</f>
        <v>36.08</v>
      </c>
      <c r="J70" s="35">
        <f>Historical!J63</f>
        <v>36.08</v>
      </c>
      <c r="K70" s="35">
        <f>Historical!K63</f>
        <v>36.08</v>
      </c>
      <c r="L70" s="35">
        <f>Historical!L63</f>
        <v>36.08</v>
      </c>
      <c r="M70" s="19">
        <f>L70</f>
        <v>36.08</v>
      </c>
      <c r="N70" s="19">
        <f t="shared" ref="N70:V70" si="41">M70</f>
        <v>36.08</v>
      </c>
      <c r="O70" s="19">
        <f t="shared" si="41"/>
        <v>36.08</v>
      </c>
      <c r="P70" s="19">
        <f t="shared" si="41"/>
        <v>36.08</v>
      </c>
      <c r="Q70" s="19">
        <f t="shared" si="41"/>
        <v>36.08</v>
      </c>
      <c r="R70" s="19">
        <f t="shared" si="41"/>
        <v>36.08</v>
      </c>
      <c r="S70" s="19">
        <f t="shared" si="41"/>
        <v>36.08</v>
      </c>
      <c r="T70" s="19">
        <f t="shared" si="41"/>
        <v>36.08</v>
      </c>
      <c r="U70" s="19">
        <f t="shared" si="41"/>
        <v>36.08</v>
      </c>
      <c r="V70" s="19">
        <f t="shared" si="41"/>
        <v>36.08</v>
      </c>
    </row>
    <row r="71" spans="1:22" x14ac:dyDescent="0.3">
      <c r="D71" t="s">
        <v>53</v>
      </c>
      <c r="H71" s="35">
        <f>Historical!H64</f>
        <v>15361.33</v>
      </c>
      <c r="I71" s="35">
        <f>Historical!I64</f>
        <v>17424.2</v>
      </c>
      <c r="J71" s="35">
        <f>Historical!J64</f>
        <v>18600.32</v>
      </c>
      <c r="K71" s="35">
        <f>Historical!K64</f>
        <v>20666.84</v>
      </c>
      <c r="L71" s="35">
        <f>Historical!L64</f>
        <v>21501.67</v>
      </c>
      <c r="M71" s="19">
        <f>L71+M39+M100</f>
        <v>22666.060092932494</v>
      </c>
      <c r="N71" s="19">
        <f t="shared" ref="N71:V71" si="42">M71+N39+N100</f>
        <v>24135.732082980245</v>
      </c>
      <c r="O71" s="19">
        <f>N71+O39+O100</f>
        <v>25884.411693461338</v>
      </c>
      <c r="P71" s="19">
        <f t="shared" si="42"/>
        <v>27826.129535931359</v>
      </c>
      <c r="Q71" s="19">
        <f t="shared" si="42"/>
        <v>30044.755659202405</v>
      </c>
      <c r="R71" s="19">
        <f t="shared" si="42"/>
        <v>32535.48478876278</v>
      </c>
      <c r="S71" s="19">
        <f t="shared" si="42"/>
        <v>35189.659603944485</v>
      </c>
      <c r="T71" s="19">
        <f t="shared" si="42"/>
        <v>38114.844132844912</v>
      </c>
      <c r="U71" s="19">
        <f t="shared" si="42"/>
        <v>41274.528235992555</v>
      </c>
      <c r="V71" s="19">
        <f t="shared" si="42"/>
        <v>44594.928041263433</v>
      </c>
    </row>
    <row r="72" spans="1:22" s="10" customFormat="1" x14ac:dyDescent="0.3">
      <c r="D72" s="10" t="s">
        <v>239</v>
      </c>
      <c r="H72" s="44">
        <f>SUM(H70:H71)</f>
        <v>15397.41</v>
      </c>
      <c r="I72" s="44">
        <f t="shared" ref="I72:M72" si="43">SUM(I70:I71)</f>
        <v>17460.280000000002</v>
      </c>
      <c r="J72" s="44">
        <f t="shared" si="43"/>
        <v>18636.400000000001</v>
      </c>
      <c r="K72" s="44">
        <f t="shared" si="43"/>
        <v>20702.920000000002</v>
      </c>
      <c r="L72" s="44">
        <f t="shared" si="43"/>
        <v>21537.75</v>
      </c>
      <c r="M72" s="21">
        <f t="shared" si="43"/>
        <v>22702.140092932495</v>
      </c>
      <c r="N72" s="21">
        <f t="shared" ref="N72:V72" si="44">SUM(N70:N71)</f>
        <v>24171.812082980246</v>
      </c>
      <c r="O72" s="21">
        <f t="shared" si="44"/>
        <v>25920.491693461339</v>
      </c>
      <c r="P72" s="21">
        <f t="shared" si="44"/>
        <v>27862.209535931361</v>
      </c>
      <c r="Q72" s="21">
        <f t="shared" si="44"/>
        <v>30080.835659202407</v>
      </c>
      <c r="R72" s="21">
        <f t="shared" si="44"/>
        <v>32571.564788762782</v>
      </c>
      <c r="S72" s="21">
        <f t="shared" si="44"/>
        <v>35225.739603944487</v>
      </c>
      <c r="T72" s="21">
        <f t="shared" si="44"/>
        <v>38150.924132844913</v>
      </c>
      <c r="U72" s="21">
        <f t="shared" si="44"/>
        <v>41310.608235992557</v>
      </c>
      <c r="V72" s="21">
        <f t="shared" si="44"/>
        <v>44631.008041263434</v>
      </c>
    </row>
    <row r="73" spans="1:22" x14ac:dyDescent="0.3">
      <c r="D73" t="s">
        <v>41</v>
      </c>
      <c r="H73" s="35">
        <f>Historical!H66</f>
        <v>51.16</v>
      </c>
      <c r="I73" s="35">
        <f>Historical!I66</f>
        <v>50.29</v>
      </c>
      <c r="J73" s="35">
        <f>Historical!J66</f>
        <v>40.56</v>
      </c>
      <c r="K73" s="35">
        <f>Historical!K66</f>
        <v>41.12</v>
      </c>
      <c r="L73" s="35">
        <f>Historical!L66</f>
        <v>40.770000000000003</v>
      </c>
      <c r="M73" s="19">
        <f>L73</f>
        <v>40.770000000000003</v>
      </c>
      <c r="N73" s="19">
        <f>M73</f>
        <v>40.770000000000003</v>
      </c>
      <c r="O73" s="19">
        <f t="shared" ref="O73:V73" si="45">N73</f>
        <v>40.770000000000003</v>
      </c>
      <c r="P73" s="19">
        <f t="shared" si="45"/>
        <v>40.770000000000003</v>
      </c>
      <c r="Q73" s="19">
        <f t="shared" si="45"/>
        <v>40.770000000000003</v>
      </c>
      <c r="R73" s="19">
        <f t="shared" si="45"/>
        <v>40.770000000000003</v>
      </c>
      <c r="S73" s="19">
        <f t="shared" si="45"/>
        <v>40.770000000000003</v>
      </c>
      <c r="T73" s="19">
        <f t="shared" si="45"/>
        <v>40.770000000000003</v>
      </c>
      <c r="U73" s="19">
        <f t="shared" si="45"/>
        <v>40.770000000000003</v>
      </c>
      <c r="V73" s="19">
        <f t="shared" si="45"/>
        <v>40.770000000000003</v>
      </c>
    </row>
    <row r="74" spans="1:22" s="10" customFormat="1" x14ac:dyDescent="0.3">
      <c r="D74" s="13" t="s">
        <v>59</v>
      </c>
      <c r="E74" s="13"/>
      <c r="F74" s="13"/>
      <c r="G74" s="13"/>
      <c r="H74" s="20">
        <f>SUM(H72:H73)</f>
        <v>15448.57</v>
      </c>
      <c r="I74" s="20">
        <f t="shared" ref="I74:L74" si="46">SUM(I72:I73)</f>
        <v>17510.570000000003</v>
      </c>
      <c r="J74" s="20">
        <f t="shared" si="46"/>
        <v>18676.960000000003</v>
      </c>
      <c r="K74" s="20">
        <f t="shared" si="46"/>
        <v>20744.04</v>
      </c>
      <c r="L74" s="20">
        <f t="shared" si="46"/>
        <v>21578.52</v>
      </c>
      <c r="M74" s="20">
        <f>SUM(M72:M73)</f>
        <v>22742.910092932496</v>
      </c>
      <c r="N74" s="20">
        <f t="shared" ref="N74:V74" si="47">SUM(N72:N73)</f>
        <v>24212.582082980247</v>
      </c>
      <c r="O74" s="20">
        <f t="shared" si="47"/>
        <v>25961.26169346134</v>
      </c>
      <c r="P74" s="20">
        <f t="shared" si="47"/>
        <v>27902.979535931361</v>
      </c>
      <c r="Q74" s="20">
        <f t="shared" si="47"/>
        <v>30121.605659202407</v>
      </c>
      <c r="R74" s="20">
        <f t="shared" si="47"/>
        <v>32612.334788762782</v>
      </c>
      <c r="S74" s="20">
        <f t="shared" si="47"/>
        <v>35266.509603944483</v>
      </c>
      <c r="T74" s="20">
        <f t="shared" si="47"/>
        <v>38191.69413284491</v>
      </c>
      <c r="U74" s="20">
        <f t="shared" si="47"/>
        <v>41351.378235992554</v>
      </c>
      <c r="V74" s="20">
        <f t="shared" si="47"/>
        <v>44671.778041263431</v>
      </c>
    </row>
    <row r="75" spans="1:22" s="10" customFormat="1" ht="15" thickBot="1" x14ac:dyDescent="0.35">
      <c r="D75" s="24" t="s">
        <v>163</v>
      </c>
      <c r="E75" s="24"/>
      <c r="F75" s="24"/>
      <c r="G75" s="24"/>
      <c r="H75" s="25">
        <f>H68+H74</f>
        <v>21513.17</v>
      </c>
      <c r="I75" s="25">
        <f t="shared" ref="I75:L75" si="48">I68+I74</f>
        <v>23748.880000000005</v>
      </c>
      <c r="J75" s="25">
        <f t="shared" si="48"/>
        <v>26333.940000000002</v>
      </c>
      <c r="K75" s="25">
        <f t="shared" si="48"/>
        <v>27953.47</v>
      </c>
      <c r="L75" s="25">
        <f t="shared" si="48"/>
        <v>28491.760000000002</v>
      </c>
      <c r="M75" s="25">
        <f>M68+M74</f>
        <v>29655.412438572286</v>
      </c>
      <c r="N75" s="25">
        <f t="shared" ref="N75:V75" si="49">N68+N74</f>
        <v>31220.474929358024</v>
      </c>
      <c r="O75" s="25">
        <f t="shared" si="49"/>
        <v>33064.599115067213</v>
      </c>
      <c r="P75" s="25">
        <f t="shared" si="49"/>
        <v>35101.408867744241</v>
      </c>
      <c r="Q75" s="25">
        <f t="shared" si="49"/>
        <v>37414.396614493613</v>
      </c>
      <c r="R75" s="25">
        <f t="shared" si="49"/>
        <v>39998.411115487281</v>
      </c>
      <c r="S75" s="25">
        <f t="shared" si="49"/>
        <v>42744.482353163541</v>
      </c>
      <c r="T75" s="25">
        <f t="shared" si="49"/>
        <v>45759.89571109337</v>
      </c>
      <c r="U75" s="25">
        <f t="shared" si="49"/>
        <v>49007.896520514383</v>
      </c>
      <c r="V75" s="25">
        <f t="shared" si="49"/>
        <v>52414.489946861788</v>
      </c>
    </row>
    <row r="76" spans="1:22" ht="15" thickTop="1" x14ac:dyDescent="0.3">
      <c r="H76" s="19"/>
      <c r="I76" s="19"/>
      <c r="J76" s="19"/>
      <c r="K76" s="19"/>
      <c r="L76" s="19"/>
      <c r="M76" s="19"/>
      <c r="N76" s="19"/>
      <c r="O76" s="19"/>
      <c r="P76" s="19"/>
      <c r="Q76" s="19"/>
      <c r="R76" s="19"/>
      <c r="S76" s="19"/>
      <c r="T76" s="19"/>
      <c r="U76" s="19"/>
      <c r="V76" s="19"/>
    </row>
    <row r="77" spans="1:22" x14ac:dyDescent="0.3">
      <c r="D77" s="18" t="s">
        <v>164</v>
      </c>
      <c r="H77" s="135">
        <f>H75-H58</f>
        <v>0</v>
      </c>
      <c r="I77" s="135">
        <f t="shared" ref="I77:V77" si="50">I75-I58</f>
        <v>0</v>
      </c>
      <c r="J77" s="135">
        <f t="shared" si="50"/>
        <v>0</v>
      </c>
      <c r="K77" s="135">
        <f t="shared" si="50"/>
        <v>0</v>
      </c>
      <c r="L77" s="135">
        <f t="shared" si="50"/>
        <v>0</v>
      </c>
      <c r="M77" s="135">
        <f t="shared" si="50"/>
        <v>0</v>
      </c>
      <c r="N77" s="135">
        <f t="shared" si="50"/>
        <v>0</v>
      </c>
      <c r="O77" s="135">
        <f t="shared" si="50"/>
        <v>0</v>
      </c>
      <c r="P77" s="135">
        <f t="shared" si="50"/>
        <v>0</v>
      </c>
      <c r="Q77" s="135">
        <f t="shared" si="50"/>
        <v>0</v>
      </c>
      <c r="R77" s="135">
        <f t="shared" si="50"/>
        <v>0</v>
      </c>
      <c r="S77" s="135">
        <f t="shared" si="50"/>
        <v>0</v>
      </c>
      <c r="T77" s="135">
        <f t="shared" si="50"/>
        <v>0</v>
      </c>
      <c r="U77" s="135">
        <f t="shared" si="50"/>
        <v>0</v>
      </c>
      <c r="V77" s="135">
        <f t="shared" si="50"/>
        <v>0</v>
      </c>
    </row>
    <row r="80" spans="1:22" s="10" customFormat="1" ht="15.6" x14ac:dyDescent="0.3">
      <c r="A80" s="61" t="str">
        <f>Historical!A94</f>
        <v>CASHFLOW STATEMENT</v>
      </c>
      <c r="B80" s="62"/>
      <c r="C80" s="62"/>
      <c r="D80" s="62"/>
      <c r="E80" s="62"/>
      <c r="F80" s="62"/>
      <c r="G80" s="62"/>
      <c r="H80" s="62"/>
      <c r="I80" s="62"/>
      <c r="J80" s="62"/>
      <c r="K80" s="62"/>
      <c r="L80" s="62"/>
      <c r="M80" s="62"/>
      <c r="N80" s="62"/>
      <c r="O80" s="62"/>
      <c r="P80" s="62"/>
      <c r="Q80" s="62"/>
      <c r="R80" s="62"/>
      <c r="S80" s="62"/>
      <c r="T80" s="62"/>
      <c r="U80" s="62"/>
      <c r="V80" s="62"/>
    </row>
    <row r="81" spans="3:22" x14ac:dyDescent="0.3">
      <c r="C81" s="10" t="s">
        <v>166</v>
      </c>
    </row>
    <row r="82" spans="3:22" x14ac:dyDescent="0.3">
      <c r="D82" t="s">
        <v>167</v>
      </c>
      <c r="F82" s="10" t="str">
        <f>Historical!F7</f>
        <v>₹ in Cr</v>
      </c>
      <c r="H82" s="35">
        <f>SUM(Historical!H96,Historical!H117)</f>
        <v>2259.02</v>
      </c>
      <c r="I82" s="35">
        <f>SUM(Historical!I96,Historical!I117)</f>
        <v>2690.4900000000002</v>
      </c>
      <c r="J82" s="35">
        <f>SUM(Historical!J96,Historical!J117)</f>
        <v>1161.83</v>
      </c>
      <c r="K82" s="35">
        <f>SUM(Historical!K96,Historical!K117)</f>
        <v>2515.0099999999998</v>
      </c>
      <c r="L82" s="35">
        <f>SUM(Historical!L96,Historical!L117)</f>
        <v>875.99</v>
      </c>
      <c r="M82" s="19">
        <f>M39</f>
        <v>1427.3855208020489</v>
      </c>
      <c r="N82" s="19">
        <f t="shared" ref="N82:V82" si="51">N39</f>
        <v>1801.6200340894779</v>
      </c>
      <c r="O82" s="19">
        <f t="shared" si="51"/>
        <v>2143.645820823027</v>
      </c>
      <c r="P82" s="19">
        <f t="shared" si="51"/>
        <v>2380.2847092631364</v>
      </c>
      <c r="Q82" s="19">
        <f t="shared" si="51"/>
        <v>2719.7369881898053</v>
      </c>
      <c r="R82" s="19">
        <f t="shared" si="51"/>
        <v>3053.2986473807819</v>
      </c>
      <c r="S82" s="19">
        <f t="shared" si="51"/>
        <v>3253.6610572892077</v>
      </c>
      <c r="T82" s="19">
        <f t="shared" si="51"/>
        <v>3585.8824869516452</v>
      </c>
      <c r="U82" s="19">
        <f t="shared" si="51"/>
        <v>3873.3474000820261</v>
      </c>
      <c r="V82" s="19">
        <f t="shared" si="51"/>
        <v>4070.3632176921692</v>
      </c>
    </row>
    <row r="83" spans="3:22" x14ac:dyDescent="0.3">
      <c r="D83" t="s">
        <v>168</v>
      </c>
      <c r="H83" s="35">
        <f>Historical!H98</f>
        <v>1262.3399999999999</v>
      </c>
      <c r="I83" s="35">
        <f>Historical!I98</f>
        <v>1145.8800000000001</v>
      </c>
      <c r="J83" s="35">
        <f>Historical!J98</f>
        <v>1660.67</v>
      </c>
      <c r="K83" s="35">
        <f>Historical!K98</f>
        <v>1897.32</v>
      </c>
      <c r="L83" s="35">
        <f>Historical!L98</f>
        <v>3006.78</v>
      </c>
      <c r="M83" s="19">
        <f>-M33</f>
        <v>3571.486187066334</v>
      </c>
      <c r="N83" s="19">
        <f t="shared" ref="N83:V83" si="52">-N33</f>
        <v>3508.1810521222774</v>
      </c>
      <c r="O83" s="19">
        <f t="shared" si="52"/>
        <v>3468.0413928778166</v>
      </c>
      <c r="P83" s="19">
        <f t="shared" si="52"/>
        <v>3563.4401640895671</v>
      </c>
      <c r="Q83" s="19">
        <f t="shared" si="52"/>
        <v>3515.4835898052247</v>
      </c>
      <c r="R83" s="19">
        <f t="shared" si="52"/>
        <v>3486.974677762149</v>
      </c>
      <c r="S83" s="19">
        <f t="shared" si="52"/>
        <v>3588.1177743535918</v>
      </c>
      <c r="T83" s="19">
        <f t="shared" si="52"/>
        <v>3546.795109103507</v>
      </c>
      <c r="U83" s="19">
        <f t="shared" si="52"/>
        <v>3523.5971752050195</v>
      </c>
      <c r="V83" s="19">
        <f t="shared" si="52"/>
        <v>3626.5140237321652</v>
      </c>
    </row>
    <row r="84" spans="3:22" x14ac:dyDescent="0.3">
      <c r="D84" t="s">
        <v>169</v>
      </c>
      <c r="H84" s="35">
        <f>SUM(Historical!H99:H110)</f>
        <v>-160.27000000000007</v>
      </c>
      <c r="I84" s="35">
        <f>SUM(Historical!I99:I110)</f>
        <v>-320.84999999999991</v>
      </c>
      <c r="J84" s="35">
        <f>SUM(Historical!J99:J110)</f>
        <v>-202.16999999999996</v>
      </c>
      <c r="K84" s="35">
        <f>SUM(Historical!K99:K110)</f>
        <v>-339.56</v>
      </c>
      <c r="L84" s="35">
        <f>SUM(Historical!L99:L110)</f>
        <v>-368.28000000000009</v>
      </c>
      <c r="M84" s="19">
        <f>-M35-M36</f>
        <v>-524.78874827155278</v>
      </c>
      <c r="N84" s="19">
        <f t="shared" ref="N84:V84" si="53">-N35-N36</f>
        <v>-569.64071798068744</v>
      </c>
      <c r="O84" s="19">
        <f t="shared" si="53"/>
        <v>-614.51811315015107</v>
      </c>
      <c r="P84" s="19">
        <f t="shared" si="53"/>
        <v>-659.22968760664025</v>
      </c>
      <c r="Q84" s="19">
        <f t="shared" si="53"/>
        <v>-703.5978861716037</v>
      </c>
      <c r="R84" s="19">
        <f t="shared" si="53"/>
        <v>-747.46003828802827</v>
      </c>
      <c r="S84" s="19">
        <f t="shared" si="53"/>
        <v>-790.66911598670799</v>
      </c>
      <c r="T84" s="19">
        <f t="shared" si="53"/>
        <v>-833.0941024917372</v>
      </c>
      <c r="U84" s="19">
        <f t="shared" si="53"/>
        <v>-874.62002178074567</v>
      </c>
      <c r="V84" s="19">
        <f t="shared" si="53"/>
        <v>-915.14768073772643</v>
      </c>
    </row>
    <row r="85" spans="3:22" x14ac:dyDescent="0.3">
      <c r="D85" t="s">
        <v>170</v>
      </c>
      <c r="H85" s="35">
        <f>SUM(Historical!H113:H115)</f>
        <v>892.7</v>
      </c>
      <c r="I85" s="35">
        <f>SUM(Historical!I113:I115)</f>
        <v>-847.66000000000008</v>
      </c>
      <c r="J85" s="35">
        <f>SUM(Historical!J113:J115)</f>
        <v>-51.590000000000032</v>
      </c>
      <c r="K85" s="35">
        <f>SUM(Historical!K113:K115)</f>
        <v>-725.28000000000009</v>
      </c>
      <c r="L85" s="35">
        <f>SUM(Historical!L113:L115)</f>
        <v>1405.8400000000001</v>
      </c>
      <c r="M85" s="19">
        <f>Schedules!M9</f>
        <v>-565.79145471423658</v>
      </c>
      <c r="N85" s="19">
        <f>Schedules!N9</f>
        <v>-213.87153451183576</v>
      </c>
      <c r="O85" s="19">
        <f>Schedules!O9</f>
        <v>-213.99277293796217</v>
      </c>
      <c r="P85" s="19">
        <f>Schedules!P9</f>
        <v>-213.20207566050408</v>
      </c>
      <c r="Q85" s="19">
        <f>Schedules!Q9</f>
        <v>-211.56472663634167</v>
      </c>
      <c r="R85" s="19">
        <f>Schedules!R9</f>
        <v>-209.15170149641563</v>
      </c>
      <c r="S85" s="19">
        <f>Schedules!S9</f>
        <v>-206.03759014792399</v>
      </c>
      <c r="T85" s="19">
        <f>Schedules!T9</f>
        <v>-202.29874015157452</v>
      </c>
      <c r="U85" s="19">
        <f>Schedules!U9</f>
        <v>-198.01164002271389</v>
      </c>
      <c r="V85" s="19">
        <f>Schedules!V9</f>
        <v>-193.25154876167176</v>
      </c>
    </row>
    <row r="86" spans="3:22" s="10" customFormat="1" x14ac:dyDescent="0.3">
      <c r="D86" s="13" t="s">
        <v>171</v>
      </c>
      <c r="E86" s="13"/>
      <c r="F86" s="13"/>
      <c r="G86" s="13"/>
      <c r="H86" s="20">
        <f>SUM(H82:H85)</f>
        <v>4253.79</v>
      </c>
      <c r="I86" s="20">
        <f t="shared" ref="I86:L86" si="54">SUM(I82:I85)</f>
        <v>2667.8600000000006</v>
      </c>
      <c r="J86" s="20">
        <f t="shared" si="54"/>
        <v>2568.7399999999998</v>
      </c>
      <c r="K86" s="20">
        <f t="shared" si="54"/>
        <v>3347.49</v>
      </c>
      <c r="L86" s="20">
        <f t="shared" si="54"/>
        <v>4920.33</v>
      </c>
      <c r="M86" s="20">
        <f>SUM(M82:M85)</f>
        <v>3908.2915048825935</v>
      </c>
      <c r="N86" s="20">
        <f t="shared" ref="N86:V86" si="55">SUM(N82:N85)</f>
        <v>4526.2888337192326</v>
      </c>
      <c r="O86" s="20">
        <f t="shared" si="55"/>
        <v>4783.1763276127294</v>
      </c>
      <c r="P86" s="20">
        <f t="shared" si="55"/>
        <v>5071.2931100855585</v>
      </c>
      <c r="Q86" s="20">
        <f t="shared" si="55"/>
        <v>5320.0579651870848</v>
      </c>
      <c r="R86" s="20">
        <f t="shared" si="55"/>
        <v>5583.6615853584872</v>
      </c>
      <c r="S86" s="20">
        <f t="shared" si="55"/>
        <v>5845.072125508168</v>
      </c>
      <c r="T86" s="20">
        <f t="shared" si="55"/>
        <v>6097.28475341184</v>
      </c>
      <c r="U86" s="20">
        <f t="shared" si="55"/>
        <v>6324.3129134835854</v>
      </c>
      <c r="V86" s="20">
        <f t="shared" si="55"/>
        <v>6588.4780119249353</v>
      </c>
    </row>
    <row r="88" spans="3:22" x14ac:dyDescent="0.3">
      <c r="C88" s="10" t="s">
        <v>172</v>
      </c>
    </row>
    <row r="89" spans="3:22" x14ac:dyDescent="0.3">
      <c r="D89" t="s">
        <v>173</v>
      </c>
      <c r="H89" s="35">
        <f>SUM(Historical!H120,Historical!H122)</f>
        <v>-1134.5800000000002</v>
      </c>
      <c r="I89" s="35">
        <f>SUM(Historical!I120,Historical!I122)</f>
        <v>-2218.2200000000003</v>
      </c>
      <c r="J89" s="35">
        <f>SUM(Historical!J120,Historical!J122)</f>
        <v>-3314.4500000000003</v>
      </c>
      <c r="K89" s="35">
        <f>SUM(Historical!K120,Historical!K122)</f>
        <v>-3200.3500000000004</v>
      </c>
      <c r="L89" s="35">
        <f>SUM(Historical!L120,Historical!L122)</f>
        <v>-4104.72</v>
      </c>
      <c r="M89" s="19">
        <f>-Schedules!M13</f>
        <v>-3352.68</v>
      </c>
      <c r="N89" s="19">
        <f>-Schedules!N13</f>
        <v>-3369.4433999999997</v>
      </c>
      <c r="O89" s="19">
        <f>-Schedules!O13</f>
        <v>-3386.2906169999992</v>
      </c>
      <c r="P89" s="19">
        <f>-Schedules!P13</f>
        <v>-3403.2220700849989</v>
      </c>
      <c r="Q89" s="19">
        <f>-Schedules!Q13</f>
        <v>-3420.2381804354236</v>
      </c>
      <c r="R89" s="19">
        <f>-Schedules!R13</f>
        <v>-3437.3393713376004</v>
      </c>
      <c r="S89" s="19">
        <f>-Schedules!S13</f>
        <v>-3454.5260681942882</v>
      </c>
      <c r="T89" s="19">
        <f>-Schedules!T13</f>
        <v>-3471.7986985352591</v>
      </c>
      <c r="U89" s="19">
        <f>-Schedules!U13</f>
        <v>-3489.1576920279349</v>
      </c>
      <c r="V89" s="19">
        <f>-Schedules!V13</f>
        <v>-3506.6034804880742</v>
      </c>
    </row>
    <row r="90" spans="3:22" x14ac:dyDescent="0.3">
      <c r="D90" t="s">
        <v>174</v>
      </c>
      <c r="H90" s="35">
        <f>Historical!H121</f>
        <v>5.46</v>
      </c>
      <c r="I90" s="35">
        <f>Historical!I121</f>
        <v>8.8000000000000007</v>
      </c>
      <c r="J90" s="35">
        <f>Historical!J121</f>
        <v>35.340000000000003</v>
      </c>
      <c r="K90" s="35">
        <f>Historical!K121</f>
        <v>30.85</v>
      </c>
      <c r="L90" s="35">
        <f>Historical!L121</f>
        <v>21.35</v>
      </c>
      <c r="M90" s="65">
        <v>0</v>
      </c>
      <c r="N90" s="19">
        <f>M90</f>
        <v>0</v>
      </c>
      <c r="O90" s="19">
        <f t="shared" ref="O90:V90" si="56">N90</f>
        <v>0</v>
      </c>
      <c r="P90" s="19">
        <f t="shared" si="56"/>
        <v>0</v>
      </c>
      <c r="Q90" s="19">
        <f t="shared" si="56"/>
        <v>0</v>
      </c>
      <c r="R90" s="19">
        <f t="shared" si="56"/>
        <v>0</v>
      </c>
      <c r="S90" s="19">
        <f t="shared" si="56"/>
        <v>0</v>
      </c>
      <c r="T90" s="19">
        <f t="shared" si="56"/>
        <v>0</v>
      </c>
      <c r="U90" s="19">
        <f t="shared" si="56"/>
        <v>0</v>
      </c>
      <c r="V90" s="19">
        <f t="shared" si="56"/>
        <v>0</v>
      </c>
    </row>
    <row r="91" spans="3:22" x14ac:dyDescent="0.3">
      <c r="D91" t="s">
        <v>176</v>
      </c>
      <c r="H91" s="35">
        <f>SUM(Historical!H123:H130,Historical!H134)</f>
        <v>-1990.61</v>
      </c>
      <c r="I91" s="35">
        <f>SUM(Historical!I123:I130,Historical!I134)</f>
        <v>-370.86999999999995</v>
      </c>
      <c r="J91" s="35">
        <f>SUM(Historical!J123:J130,Historical!J134)</f>
        <v>507.87</v>
      </c>
      <c r="K91" s="35">
        <f>SUM(Historical!K123:K130,Historical!K134)</f>
        <v>1424.0600000000002</v>
      </c>
      <c r="L91" s="35">
        <f>SUM(Historical!L123:L130,Historical!L134)</f>
        <v>106.38000000000011</v>
      </c>
      <c r="M91" s="65">
        <v>0</v>
      </c>
      <c r="N91" s="19">
        <f>M91</f>
        <v>0</v>
      </c>
      <c r="O91" s="19">
        <f t="shared" ref="O91:V91" si="57">N91</f>
        <v>0</v>
      </c>
      <c r="P91" s="19">
        <f t="shared" si="57"/>
        <v>0</v>
      </c>
      <c r="Q91" s="19">
        <f t="shared" si="57"/>
        <v>0</v>
      </c>
      <c r="R91" s="19">
        <f t="shared" si="57"/>
        <v>0</v>
      </c>
      <c r="S91" s="19">
        <f t="shared" si="57"/>
        <v>0</v>
      </c>
      <c r="T91" s="19">
        <f t="shared" si="57"/>
        <v>0</v>
      </c>
      <c r="U91" s="19">
        <f t="shared" si="57"/>
        <v>0</v>
      </c>
      <c r="V91" s="19">
        <f t="shared" si="57"/>
        <v>0</v>
      </c>
    </row>
    <row r="92" spans="3:22" x14ac:dyDescent="0.3">
      <c r="D92" t="s">
        <v>178</v>
      </c>
      <c r="H92" s="35">
        <f>SUM(Historical!H131:H133)</f>
        <v>256.39999999999998</v>
      </c>
      <c r="I92" s="35">
        <f>SUM(Historical!I131:I133)</f>
        <v>125.83999999999999</v>
      </c>
      <c r="J92" s="35">
        <f>SUM(Historical!J131:J133)</f>
        <v>-6.3700000000000045</v>
      </c>
      <c r="K92" s="35">
        <f>SUM(Historical!K131:K133)</f>
        <v>-22.680000000000003</v>
      </c>
      <c r="L92" s="35">
        <f>SUM(Historical!L131:L133)</f>
        <v>7.3599999999999985</v>
      </c>
      <c r="M92" s="65">
        <v>0</v>
      </c>
      <c r="N92" s="19">
        <f>M92</f>
        <v>0</v>
      </c>
      <c r="O92" s="19">
        <f t="shared" ref="O92:V92" si="58">N92</f>
        <v>0</v>
      </c>
      <c r="P92" s="19">
        <f t="shared" si="58"/>
        <v>0</v>
      </c>
      <c r="Q92" s="19">
        <f t="shared" si="58"/>
        <v>0</v>
      </c>
      <c r="R92" s="19">
        <f t="shared" si="58"/>
        <v>0</v>
      </c>
      <c r="S92" s="19">
        <f t="shared" si="58"/>
        <v>0</v>
      </c>
      <c r="T92" s="19">
        <f t="shared" si="58"/>
        <v>0</v>
      </c>
      <c r="U92" s="19">
        <f t="shared" si="58"/>
        <v>0</v>
      </c>
      <c r="V92" s="19">
        <f t="shared" si="58"/>
        <v>0</v>
      </c>
    </row>
    <row r="93" spans="3:22" x14ac:dyDescent="0.3">
      <c r="D93" t="s">
        <v>177</v>
      </c>
      <c r="H93" s="35">
        <f>SUM(Historical!H135:H136)</f>
        <v>218.29</v>
      </c>
      <c r="I93" s="35">
        <f>SUM(Historical!I135:I136)</f>
        <v>303.08</v>
      </c>
      <c r="J93" s="35">
        <f>SUM(Historical!J135:J136)</f>
        <v>363.12</v>
      </c>
      <c r="K93" s="35">
        <f>SUM(Historical!K135:K136)</f>
        <v>349.65999999999997</v>
      </c>
      <c r="L93" s="35">
        <f>SUM(Historical!L135:L136)</f>
        <v>242</v>
      </c>
      <c r="M93" s="19">
        <f>M36</f>
        <v>639.60028105717981</v>
      </c>
      <c r="N93" s="19">
        <f t="shared" ref="N93:V93" si="59">N36</f>
        <v>684.45225076631448</v>
      </c>
      <c r="O93" s="19">
        <f t="shared" si="59"/>
        <v>729.32964593577822</v>
      </c>
      <c r="P93" s="19">
        <f t="shared" si="59"/>
        <v>774.04122039226741</v>
      </c>
      <c r="Q93" s="19">
        <f t="shared" si="59"/>
        <v>818.40941895723086</v>
      </c>
      <c r="R93" s="19">
        <f t="shared" si="59"/>
        <v>862.27157107365531</v>
      </c>
      <c r="S93" s="19">
        <f t="shared" si="59"/>
        <v>905.48064877233503</v>
      </c>
      <c r="T93" s="19">
        <f t="shared" si="59"/>
        <v>947.90563527736435</v>
      </c>
      <c r="U93" s="19">
        <f t="shared" si="59"/>
        <v>989.43155456637271</v>
      </c>
      <c r="V93" s="19">
        <f t="shared" si="59"/>
        <v>1029.9592135233536</v>
      </c>
    </row>
    <row r="94" spans="3:22" s="10" customFormat="1" x14ac:dyDescent="0.3">
      <c r="D94" s="13" t="s">
        <v>175</v>
      </c>
      <c r="E94" s="13"/>
      <c r="F94" s="13"/>
      <c r="G94" s="28"/>
      <c r="H94" s="29">
        <f>SUM(H89:H93)</f>
        <v>-2645.04</v>
      </c>
      <c r="I94" s="29">
        <f t="shared" ref="I94:K94" si="60">SUM(I89:I93)</f>
        <v>-2151.37</v>
      </c>
      <c r="J94" s="29">
        <f t="shared" si="60"/>
        <v>-2414.4900000000002</v>
      </c>
      <c r="K94" s="29">
        <f t="shared" si="60"/>
        <v>-1418.4600000000005</v>
      </c>
      <c r="L94" s="29">
        <f>SUM(L89:L93)</f>
        <v>-3727.63</v>
      </c>
      <c r="M94" s="29">
        <f>SUM(M89:M93)</f>
        <v>-2713.0797189428199</v>
      </c>
      <c r="N94" s="29">
        <f t="shared" ref="N94:V94" si="61">SUM(N89:N93)</f>
        <v>-2684.9911492336851</v>
      </c>
      <c r="O94" s="29">
        <f t="shared" si="61"/>
        <v>-2656.9609710642208</v>
      </c>
      <c r="P94" s="29">
        <f t="shared" si="61"/>
        <v>-2629.1808496927315</v>
      </c>
      <c r="Q94" s="29">
        <f t="shared" si="61"/>
        <v>-2601.828761478193</v>
      </c>
      <c r="R94" s="29">
        <f t="shared" si="61"/>
        <v>-2575.0678002639452</v>
      </c>
      <c r="S94" s="29">
        <f t="shared" si="61"/>
        <v>-2549.0454194219533</v>
      </c>
      <c r="T94" s="29">
        <f t="shared" si="61"/>
        <v>-2523.8930632578949</v>
      </c>
      <c r="U94" s="29">
        <f t="shared" si="61"/>
        <v>-2499.7261374615623</v>
      </c>
      <c r="V94" s="29">
        <f t="shared" si="61"/>
        <v>-2476.6442669647204</v>
      </c>
    </row>
    <row r="96" spans="3:22" x14ac:dyDescent="0.3">
      <c r="C96" s="10" t="s">
        <v>179</v>
      </c>
    </row>
    <row r="97" spans="4:23" x14ac:dyDescent="0.3">
      <c r="D97" t="s">
        <v>180</v>
      </c>
      <c r="H97" s="35">
        <f>SUM(Historical!H139:H141,Historical!H143:H145)</f>
        <v>-905.9799999999999</v>
      </c>
      <c r="I97" s="35">
        <f>SUM(Historical!I139:I141,Historical!I143:I145)</f>
        <v>-157.61000000000004</v>
      </c>
      <c r="J97" s="35">
        <f>SUM(Historical!J139:J141,Historical!J143:J145)</f>
        <v>453.96999999999997</v>
      </c>
      <c r="K97" s="35">
        <f>SUM(Historical!K139:K141,Historical!K143:K145)</f>
        <v>-962.41000000000008</v>
      </c>
      <c r="L97" s="35">
        <f>SUM(Historical!L139:L141,Historical!L143:L145)</f>
        <v>-598.66</v>
      </c>
      <c r="M97" s="35">
        <f>Schedules!M19</f>
        <v>0</v>
      </c>
      <c r="N97" s="35">
        <f>Schedules!N19</f>
        <v>0</v>
      </c>
      <c r="O97" s="35">
        <f>Schedules!O19</f>
        <v>0</v>
      </c>
      <c r="P97" s="35">
        <f>Schedules!P19</f>
        <v>0</v>
      </c>
      <c r="Q97" s="35">
        <f>Schedules!Q19</f>
        <v>0</v>
      </c>
      <c r="R97" s="35">
        <f>Schedules!R19</f>
        <v>0</v>
      </c>
      <c r="S97" s="35">
        <f>Schedules!S19</f>
        <v>0</v>
      </c>
      <c r="T97" s="35">
        <f>Schedules!T19</f>
        <v>0</v>
      </c>
      <c r="U97" s="35">
        <f>Schedules!U19</f>
        <v>0</v>
      </c>
      <c r="V97" s="35">
        <f>Schedules!V19</f>
        <v>0</v>
      </c>
    </row>
    <row r="98" spans="4:23" x14ac:dyDescent="0.3">
      <c r="D98" t="s">
        <v>113</v>
      </c>
      <c r="H98" s="35">
        <f>Historical!H142</f>
        <v>-61.55</v>
      </c>
      <c r="I98" s="35">
        <f>Historical!I142</f>
        <v>-98.38</v>
      </c>
      <c r="J98" s="35">
        <f>Historical!J142</f>
        <v>-147.61000000000001</v>
      </c>
      <c r="K98" s="35">
        <f>Historical!K142</f>
        <v>-148.9</v>
      </c>
      <c r="L98" s="35">
        <f>Historical!L142</f>
        <v>-127.29</v>
      </c>
      <c r="M98" s="36">
        <v>0</v>
      </c>
      <c r="N98" s="19">
        <f t="shared" ref="N98:V98" si="62">M98</f>
        <v>0</v>
      </c>
      <c r="O98" s="19">
        <f t="shared" si="62"/>
        <v>0</v>
      </c>
      <c r="P98" s="19">
        <f t="shared" si="62"/>
        <v>0</v>
      </c>
      <c r="Q98" s="19">
        <f t="shared" si="62"/>
        <v>0</v>
      </c>
      <c r="R98" s="19">
        <f t="shared" si="62"/>
        <v>0</v>
      </c>
      <c r="S98" s="19">
        <f t="shared" si="62"/>
        <v>0</v>
      </c>
      <c r="T98" s="19">
        <f t="shared" si="62"/>
        <v>0</v>
      </c>
      <c r="U98" s="19">
        <f t="shared" si="62"/>
        <v>0</v>
      </c>
      <c r="V98" s="19">
        <f t="shared" si="62"/>
        <v>0</v>
      </c>
    </row>
    <row r="99" spans="4:23" x14ac:dyDescent="0.3">
      <c r="D99" t="s">
        <v>114</v>
      </c>
      <c r="H99" s="35">
        <f>-Historical!H110</f>
        <v>-251.29</v>
      </c>
      <c r="I99" s="35">
        <f>-Historical!I110</f>
        <v>-216.12</v>
      </c>
      <c r="J99" s="35">
        <f>-Historical!J110</f>
        <v>-262.87</v>
      </c>
      <c r="K99" s="35">
        <f>-Historical!K110</f>
        <v>-258.33999999999997</v>
      </c>
      <c r="L99" s="35">
        <f>-Historical!L110</f>
        <v>-204.96</v>
      </c>
      <c r="M99" s="19">
        <f>M35</f>
        <v>-114.81153278562709</v>
      </c>
      <c r="N99" s="19">
        <f>M99</f>
        <v>-114.81153278562709</v>
      </c>
      <c r="O99" s="19">
        <f t="shared" ref="O99:V99" si="63">N99</f>
        <v>-114.81153278562709</v>
      </c>
      <c r="P99" s="19">
        <f t="shared" si="63"/>
        <v>-114.81153278562709</v>
      </c>
      <c r="Q99" s="19">
        <f t="shared" si="63"/>
        <v>-114.81153278562709</v>
      </c>
      <c r="R99" s="19">
        <f t="shared" si="63"/>
        <v>-114.81153278562709</v>
      </c>
      <c r="S99" s="19">
        <f t="shared" si="63"/>
        <v>-114.81153278562709</v>
      </c>
      <c r="T99" s="19">
        <f>S99</f>
        <v>-114.81153278562709</v>
      </c>
      <c r="U99" s="19">
        <f t="shared" si="63"/>
        <v>-114.81153278562709</v>
      </c>
      <c r="V99" s="19">
        <f t="shared" si="63"/>
        <v>-114.81153278562709</v>
      </c>
    </row>
    <row r="100" spans="4:23" x14ac:dyDescent="0.3">
      <c r="D100" t="s">
        <v>17</v>
      </c>
      <c r="H100" s="35">
        <f>Historical!H147</f>
        <v>-11.13</v>
      </c>
      <c r="I100" s="35">
        <f>Historical!I147</f>
        <v>-384.33</v>
      </c>
      <c r="J100" s="35">
        <f>Historical!J147</f>
        <v>-324.52</v>
      </c>
      <c r="K100" s="35">
        <f>Historical!K147</f>
        <v>-379.03</v>
      </c>
      <c r="L100" s="35">
        <f>Historical!L147</f>
        <v>-379.87</v>
      </c>
      <c r="M100" s="19">
        <f>IF(M39&gt;0,-M39*'Financial Statements'!M17,0)</f>
        <v>-262.99542786955402</v>
      </c>
      <c r="N100" s="19">
        <f>IF(N39&gt;0,-N39*'Financial Statements'!N17,0)</f>
        <v>-331.9480440417276</v>
      </c>
      <c r="O100" s="19">
        <f>IF(O39&gt;0,-O39*'Financial Statements'!O17,0)</f>
        <v>-394.96621034193419</v>
      </c>
      <c r="P100" s="19">
        <f>IF(P39&gt;0,-P39*'Financial Statements'!P17,0)</f>
        <v>-438.56686679311662</v>
      </c>
      <c r="Q100" s="19">
        <f>IF(Q39&gt;0,-Q39*'Financial Statements'!Q17,0)</f>
        <v>-501.11086491876046</v>
      </c>
      <c r="R100" s="19">
        <f>IF(R39&gt;0,-R39*'Financial Statements'!R17,0)</f>
        <v>-562.5695178204071</v>
      </c>
      <c r="S100" s="19">
        <f>IF(S39&gt;0,-S39*'Financial Statements'!S17,0)</f>
        <v>-599.48624210750256</v>
      </c>
      <c r="T100" s="19">
        <f>IF(T39&gt;0,-T39*'Financial Statements'!T17,0)</f>
        <v>-660.69795805121828</v>
      </c>
      <c r="U100" s="19">
        <f>IF(U39&gt;0,-U39*'Financial Statements'!U17,0)</f>
        <v>-713.66329693438695</v>
      </c>
      <c r="V100" s="19">
        <f>IF(V39&gt;0,-V39*'Financial Statements'!V17,0)</f>
        <v>-749.96341242129142</v>
      </c>
    </row>
    <row r="101" spans="4:23" s="10" customFormat="1" x14ac:dyDescent="0.3">
      <c r="D101" s="13" t="s">
        <v>181</v>
      </c>
      <c r="E101" s="13"/>
      <c r="F101" s="13"/>
      <c r="G101" s="28"/>
      <c r="H101" s="29">
        <f>SUM(H97:H100)</f>
        <v>-1229.95</v>
      </c>
      <c r="I101" s="29">
        <f t="shared" ref="I101:L101" si="64">SUM(I97:I100)</f>
        <v>-856.44</v>
      </c>
      <c r="J101" s="29">
        <f t="shared" si="64"/>
        <v>-281.03000000000003</v>
      </c>
      <c r="K101" s="29">
        <f t="shared" si="64"/>
        <v>-1748.68</v>
      </c>
      <c r="L101" s="29">
        <f t="shared" si="64"/>
        <v>-1310.78</v>
      </c>
      <c r="M101" s="29">
        <f>SUM(M97:M100)</f>
        <v>-377.80696065518111</v>
      </c>
      <c r="N101" s="29">
        <f t="shared" ref="N101:V101" si="65">SUM(N97:N100)</f>
        <v>-446.75957682735469</v>
      </c>
      <c r="O101" s="29">
        <f t="shared" si="65"/>
        <v>-509.77774312756128</v>
      </c>
      <c r="P101" s="29">
        <f t="shared" si="65"/>
        <v>-553.37839957874371</v>
      </c>
      <c r="Q101" s="29">
        <f t="shared" si="65"/>
        <v>-615.92239770438755</v>
      </c>
      <c r="R101" s="29">
        <f t="shared" si="65"/>
        <v>-677.38105060603425</v>
      </c>
      <c r="S101" s="29">
        <f t="shared" si="65"/>
        <v>-714.2977748931296</v>
      </c>
      <c r="T101" s="29">
        <f t="shared" si="65"/>
        <v>-775.50949083684532</v>
      </c>
      <c r="U101" s="29">
        <f t="shared" si="65"/>
        <v>-828.47482972001399</v>
      </c>
      <c r="V101" s="29">
        <f t="shared" si="65"/>
        <v>-864.77494520691857</v>
      </c>
      <c r="W101" s="21"/>
    </row>
    <row r="102" spans="4:23" x14ac:dyDescent="0.3">
      <c r="H102" s="19"/>
      <c r="I102" s="19"/>
      <c r="J102" s="19"/>
      <c r="K102" s="19"/>
      <c r="L102" s="19"/>
    </row>
    <row r="103" spans="4:23" s="10" customFormat="1" x14ac:dyDescent="0.3">
      <c r="D103" s="13" t="s">
        <v>182</v>
      </c>
      <c r="E103" s="13"/>
      <c r="F103" s="13"/>
      <c r="G103" s="28"/>
      <c r="H103" s="29">
        <f>SUM(H86,H94,H101)</f>
        <v>378.79999999999995</v>
      </c>
      <c r="I103" s="29">
        <f t="shared" ref="I103:V103" si="66">SUM(I86,I94,I101)</f>
        <v>-339.94999999999936</v>
      </c>
      <c r="J103" s="29">
        <f t="shared" si="66"/>
        <v>-126.78000000000048</v>
      </c>
      <c r="K103" s="29">
        <f t="shared" si="66"/>
        <v>180.34999999999923</v>
      </c>
      <c r="L103" s="29">
        <f t="shared" si="66"/>
        <v>-118.08000000000015</v>
      </c>
      <c r="M103" s="29">
        <f>SUM(M86,M94,M101)</f>
        <v>817.40482528459245</v>
      </c>
      <c r="N103" s="29">
        <f t="shared" si="66"/>
        <v>1394.5381076581928</v>
      </c>
      <c r="O103" s="29">
        <f>SUM(O86,O94,O101)</f>
        <v>1616.4376134209474</v>
      </c>
      <c r="P103" s="29">
        <f>SUM(P86,P94,P101)</f>
        <v>1888.7338608140833</v>
      </c>
      <c r="Q103" s="29">
        <f t="shared" si="66"/>
        <v>2102.3068060045043</v>
      </c>
      <c r="R103" s="29">
        <f t="shared" si="66"/>
        <v>2331.2127344885075</v>
      </c>
      <c r="S103" s="29">
        <f t="shared" si="66"/>
        <v>2581.7289311930854</v>
      </c>
      <c r="T103" s="29">
        <f t="shared" si="66"/>
        <v>2797.8821993170995</v>
      </c>
      <c r="U103" s="29">
        <f t="shared" si="66"/>
        <v>2996.1119463020091</v>
      </c>
      <c r="V103" s="29">
        <f t="shared" si="66"/>
        <v>3247.0587997532966</v>
      </c>
    </row>
    <row r="104" spans="4:23" x14ac:dyDescent="0.3">
      <c r="D104" t="s">
        <v>117</v>
      </c>
      <c r="H104" s="35">
        <f>Historical!H151</f>
        <v>81.69</v>
      </c>
      <c r="I104" s="35">
        <f>Historical!I151</f>
        <v>451.99</v>
      </c>
      <c r="J104" s="35">
        <f>Historical!J151</f>
        <v>127.71</v>
      </c>
      <c r="K104" s="35">
        <f>Historical!K151</f>
        <v>14.35</v>
      </c>
      <c r="L104" s="35">
        <f>Historical!L151</f>
        <v>233.92</v>
      </c>
      <c r="M104" s="19">
        <f>L106</f>
        <v>117.45999999999984</v>
      </c>
      <c r="N104" s="19">
        <f>M106</f>
        <v>934.86482528459226</v>
      </c>
      <c r="O104" s="19">
        <f t="shared" ref="O104:V104" si="67">N106</f>
        <v>2329.4029329427849</v>
      </c>
      <c r="P104" s="19">
        <f t="shared" si="67"/>
        <v>3945.8405463637323</v>
      </c>
      <c r="Q104" s="19">
        <f t="shared" si="67"/>
        <v>5834.5744071778154</v>
      </c>
      <c r="R104" s="19">
        <f t="shared" si="67"/>
        <v>7936.8812131823197</v>
      </c>
      <c r="S104" s="19">
        <f t="shared" si="67"/>
        <v>10268.093947670826</v>
      </c>
      <c r="T104" s="19">
        <f t="shared" si="67"/>
        <v>12849.822878863912</v>
      </c>
      <c r="U104" s="19">
        <f t="shared" si="67"/>
        <v>15647.70507818101</v>
      </c>
      <c r="V104" s="19">
        <f t="shared" si="67"/>
        <v>18643.817024483018</v>
      </c>
    </row>
    <row r="105" spans="4:23" x14ac:dyDescent="0.3">
      <c r="D105" t="s">
        <v>121</v>
      </c>
      <c r="H105" s="35">
        <f>Historical!H152</f>
        <v>-5.81</v>
      </c>
      <c r="I105" s="35">
        <f>Historical!I152</f>
        <v>8.49</v>
      </c>
      <c r="J105" s="35">
        <f>Historical!J152</f>
        <v>9.1</v>
      </c>
      <c r="K105" s="35">
        <f>Historical!K152</f>
        <v>0.59</v>
      </c>
      <c r="L105" s="35">
        <f>Historical!L152</f>
        <v>1.62</v>
      </c>
      <c r="M105" s="19">
        <v>0</v>
      </c>
      <c r="N105" s="19">
        <v>0</v>
      </c>
      <c r="O105" s="19">
        <v>0</v>
      </c>
      <c r="P105" s="19">
        <v>0</v>
      </c>
      <c r="Q105" s="19">
        <v>0</v>
      </c>
      <c r="R105" s="19">
        <v>0</v>
      </c>
      <c r="S105" s="19">
        <v>0</v>
      </c>
      <c r="T105" s="19">
        <v>0</v>
      </c>
      <c r="U105" s="19">
        <v>0</v>
      </c>
      <c r="V105" s="19">
        <v>0</v>
      </c>
    </row>
    <row r="106" spans="4:23" s="10" customFormat="1" ht="15" thickBot="1" x14ac:dyDescent="0.35">
      <c r="D106" s="15" t="s">
        <v>183</v>
      </c>
      <c r="E106" s="15"/>
      <c r="F106" s="15"/>
      <c r="G106" s="15"/>
      <c r="H106" s="30">
        <f>SUM(H103:H105)</f>
        <v>454.67999999999995</v>
      </c>
      <c r="I106" s="30">
        <f t="shared" ref="I106:K106" si="68">SUM(I103:I105)</f>
        <v>120.53000000000064</v>
      </c>
      <c r="J106" s="30">
        <f t="shared" si="68"/>
        <v>10.029999999999509</v>
      </c>
      <c r="K106" s="30">
        <f t="shared" si="68"/>
        <v>195.28999999999922</v>
      </c>
      <c r="L106" s="30">
        <f>SUM(L103:L105)</f>
        <v>117.45999999999984</v>
      </c>
      <c r="M106" s="30">
        <f>SUM(M103:M105)</f>
        <v>934.86482528459226</v>
      </c>
      <c r="N106" s="30">
        <f>SUM(N103:N105)</f>
        <v>2329.4029329427849</v>
      </c>
      <c r="O106" s="30">
        <f t="shared" ref="O106:V106" si="69">SUM(O103:O105)</f>
        <v>3945.8405463637323</v>
      </c>
      <c r="P106" s="30">
        <f t="shared" si="69"/>
        <v>5834.5744071778154</v>
      </c>
      <c r="Q106" s="30">
        <f t="shared" si="69"/>
        <v>7936.8812131823197</v>
      </c>
      <c r="R106" s="30">
        <f>SUM(R103:R105)</f>
        <v>10268.093947670826</v>
      </c>
      <c r="S106" s="30">
        <f t="shared" si="69"/>
        <v>12849.822878863912</v>
      </c>
      <c r="T106" s="30">
        <f t="shared" si="69"/>
        <v>15647.70507818101</v>
      </c>
      <c r="U106" s="30">
        <f t="shared" si="69"/>
        <v>18643.817024483018</v>
      </c>
      <c r="V106" s="30">
        <f t="shared" si="69"/>
        <v>21890.875824236315</v>
      </c>
    </row>
    <row r="107" spans="4:23" ht="15" thickTop="1" x14ac:dyDescent="0.3">
      <c r="H107" s="49"/>
      <c r="I107" s="49"/>
      <c r="J107" s="49"/>
      <c r="K107" s="49"/>
      <c r="L107" s="49"/>
      <c r="M107" s="49"/>
      <c r="N107" s="49"/>
      <c r="O107" s="49"/>
      <c r="P107" s="49"/>
      <c r="Q107" s="49"/>
      <c r="R107" s="49"/>
      <c r="S107" s="49"/>
      <c r="T107" s="49"/>
      <c r="U107" s="49"/>
      <c r="V107" s="49"/>
    </row>
    <row r="108" spans="4:23" s="18" customFormat="1" x14ac:dyDescent="0.3">
      <c r="D108" s="18" t="s">
        <v>486</v>
      </c>
      <c r="H108" s="135">
        <f>H106-H45</f>
        <v>0</v>
      </c>
      <c r="I108" s="135">
        <f t="shared" ref="I108:V108" si="70">I106-I45</f>
        <v>6.3948846218409017E-13</v>
      </c>
      <c r="J108" s="135">
        <f t="shared" si="70"/>
        <v>-4.9205084451386938E-13</v>
      </c>
      <c r="K108" s="135">
        <f t="shared" si="70"/>
        <v>-7.9580786405131221E-13</v>
      </c>
      <c r="L108" s="135">
        <f t="shared" si="70"/>
        <v>-1.7053025658242404E-13</v>
      </c>
      <c r="M108" s="135">
        <f t="shared" si="70"/>
        <v>0</v>
      </c>
      <c r="N108" s="135">
        <f t="shared" si="70"/>
        <v>0</v>
      </c>
      <c r="O108" s="135">
        <f t="shared" si="70"/>
        <v>0</v>
      </c>
      <c r="P108" s="135">
        <f t="shared" si="70"/>
        <v>0</v>
      </c>
      <c r="Q108" s="135">
        <f t="shared" si="70"/>
        <v>0</v>
      </c>
      <c r="R108" s="135">
        <f t="shared" si="70"/>
        <v>0</v>
      </c>
      <c r="S108" s="135">
        <f t="shared" si="70"/>
        <v>0</v>
      </c>
      <c r="T108" s="135">
        <f t="shared" si="70"/>
        <v>0</v>
      </c>
      <c r="U108" s="135">
        <f t="shared" si="70"/>
        <v>0</v>
      </c>
      <c r="V108" s="135">
        <f t="shared" si="70"/>
        <v>0</v>
      </c>
    </row>
    <row r="111" spans="4:23" x14ac:dyDescent="0.3">
      <c r="D111" s="134" t="s">
        <v>504</v>
      </c>
    </row>
  </sheetData>
  <mergeCells count="2">
    <mergeCell ref="H1:L1"/>
    <mergeCell ref="M1:V1"/>
  </mergeCells>
  <hyperlinks>
    <hyperlink ref="D111" location="Cover!A1" display="Back to Cover" xr:uid="{EB3A12F7-297F-4BEB-886F-37D3AAFCCF78}"/>
  </hyperlinks>
  <pageMargins left="0.7" right="0.7" top="0.75" bottom="0.75" header="0.3" footer="0.3"/>
  <ignoredErrors>
    <ignoredError sqref="H31:L31 H55:L56 H63:L67 H62:L62 H82:H85 I84:L85 H92:L93 H32 J32:L32" formulaRange="1"/>
  </ignoredErrors>
  <extLst>
    <ext xmlns:x14="http://schemas.microsoft.com/office/spreadsheetml/2009/9/main" uri="{CCE6A557-97BC-4b89-ADB6-D9C93CAAB3DF}">
      <x14:dataValidations xmlns:xm="http://schemas.microsoft.com/office/excel/2006/main" count="1">
        <x14:dataValidation type="list" allowBlank="1" showInputMessage="1" showErrorMessage="1" xr:uid="{2988A5D1-39AD-4012-9236-B592451984D9}">
          <x14:formula1>
            <xm:f>'Revenue Scenarios'!$D$5:$D$7</xm:f>
          </x14:formula1>
          <xm:sqref>E5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E0607-28CD-4C0C-8CB1-9813F2991D58}">
  <dimension ref="A1:X70"/>
  <sheetViews>
    <sheetView workbookViewId="0">
      <pane ySplit="2" topLeftCell="A51" activePane="bottomLeft" state="frozen"/>
      <selection pane="bottomLeft"/>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0.6640625" bestFit="1" customWidth="1"/>
  </cols>
  <sheetData>
    <row r="1" spans="1:22" ht="32.4" x14ac:dyDescent="0.6">
      <c r="A1" s="1" t="str">
        <f>Historical!A1</f>
        <v>Shree Cement Ltd.</v>
      </c>
      <c r="B1" s="2"/>
      <c r="C1" s="2"/>
      <c r="D1" s="2"/>
      <c r="E1" s="3"/>
      <c r="F1" s="3"/>
      <c r="G1" s="3"/>
      <c r="H1" s="160" t="s">
        <v>0</v>
      </c>
      <c r="I1" s="160"/>
      <c r="J1" s="160"/>
      <c r="K1" s="160"/>
      <c r="L1" s="161"/>
      <c r="M1" s="160" t="s">
        <v>149</v>
      </c>
      <c r="N1" s="160"/>
      <c r="O1" s="160"/>
      <c r="P1" s="160"/>
      <c r="Q1" s="160"/>
      <c r="R1" s="160"/>
      <c r="S1" s="160"/>
      <c r="T1" s="160"/>
      <c r="U1" s="160"/>
      <c r="V1" s="160"/>
    </row>
    <row r="2" spans="1:22" ht="15.6" x14ac:dyDescent="0.3">
      <c r="A2" s="4" t="s">
        <v>384</v>
      </c>
      <c r="B2" s="4"/>
      <c r="C2" s="4"/>
      <c r="D2" s="4"/>
      <c r="E2" s="5"/>
      <c r="F2" s="5"/>
      <c r="G2" s="5"/>
      <c r="H2" s="6">
        <f>'Financial Statements'!H2</f>
        <v>2021</v>
      </c>
      <c r="I2" s="6">
        <f>'Financial Statements'!I2</f>
        <v>2022</v>
      </c>
      <c r="J2" s="6">
        <f>'Financial Statements'!J2</f>
        <v>2023</v>
      </c>
      <c r="K2" s="6">
        <f>'Financial Statements'!K2</f>
        <v>2024</v>
      </c>
      <c r="L2" s="27">
        <f>'Financial Statements'!L2</f>
        <v>2025</v>
      </c>
      <c r="M2" s="7">
        <f>'Financial Statements'!M2</f>
        <v>2026</v>
      </c>
      <c r="N2" s="7">
        <f>'Financial Statements'!N2</f>
        <v>2027</v>
      </c>
      <c r="O2" s="7">
        <f>'Financial Statements'!O2</f>
        <v>2028</v>
      </c>
      <c r="P2" s="7">
        <f>'Financial Statements'!P2</f>
        <v>2029</v>
      </c>
      <c r="Q2" s="7">
        <f>'Financial Statements'!Q2</f>
        <v>2030</v>
      </c>
      <c r="R2" s="7">
        <f>'Financial Statements'!R2</f>
        <v>2031</v>
      </c>
      <c r="S2" s="7">
        <f>'Financial Statements'!S2</f>
        <v>2032</v>
      </c>
      <c r="T2" s="7">
        <f>'Financial Statements'!T2</f>
        <v>2033</v>
      </c>
      <c r="U2" s="7">
        <f>'Financial Statements'!U2</f>
        <v>2034</v>
      </c>
      <c r="V2" s="7">
        <f>'Financial Statements'!V2</f>
        <v>2035</v>
      </c>
    </row>
    <row r="4" spans="1:22" s="10" customFormat="1" ht="15.6" x14ac:dyDescent="0.3">
      <c r="A4" s="61" t="s">
        <v>385</v>
      </c>
      <c r="B4" s="62"/>
      <c r="C4" s="62"/>
      <c r="D4" s="62"/>
      <c r="E4" s="62"/>
      <c r="F4" s="62"/>
      <c r="G4" s="62"/>
      <c r="H4" s="62"/>
      <c r="I4" s="62"/>
      <c r="J4" s="62"/>
      <c r="K4" s="62"/>
      <c r="L4" s="62"/>
      <c r="M4" s="62"/>
      <c r="N4" s="62"/>
      <c r="O4" s="62"/>
      <c r="P4" s="62"/>
      <c r="Q4" s="62"/>
      <c r="R4" s="62"/>
      <c r="S4" s="62"/>
      <c r="T4" s="62"/>
      <c r="U4" s="62"/>
      <c r="V4" s="62"/>
    </row>
    <row r="6" spans="1:22" x14ac:dyDescent="0.3">
      <c r="D6" s="8" t="s">
        <v>386</v>
      </c>
      <c r="E6" s="8"/>
    </row>
    <row r="7" spans="1:22" x14ac:dyDescent="0.3">
      <c r="D7" t="s">
        <v>387</v>
      </c>
      <c r="E7" s="80">
        <v>46128</v>
      </c>
    </row>
    <row r="8" spans="1:22" x14ac:dyDescent="0.3">
      <c r="D8" t="s">
        <v>388</v>
      </c>
      <c r="E8" s="79">
        <f>EOMONTH(E7,11)</f>
        <v>46477</v>
      </c>
    </row>
    <row r="9" spans="1:22" x14ac:dyDescent="0.3">
      <c r="D9" t="s">
        <v>307</v>
      </c>
      <c r="E9" s="87">
        <f>'Comps Valuation'!Q17</f>
        <v>0.24651100000000001</v>
      </c>
    </row>
    <row r="10" spans="1:22" x14ac:dyDescent="0.3">
      <c r="D10" t="s">
        <v>389</v>
      </c>
      <c r="E10" s="94">
        <f>'Comps Valuation'!S17</f>
        <v>14.768260571609947</v>
      </c>
    </row>
    <row r="11" spans="1:22" x14ac:dyDescent="0.3">
      <c r="D11" t="s">
        <v>390</v>
      </c>
      <c r="E11" s="91">
        <v>0.04</v>
      </c>
    </row>
    <row r="12" spans="1:22" x14ac:dyDescent="0.3">
      <c r="D12" t="s">
        <v>391</v>
      </c>
      <c r="E12" s="89">
        <f>WACC!E41</f>
        <v>8.0222881174958099E-2</v>
      </c>
    </row>
    <row r="13" spans="1:22" ht="15" thickBot="1" x14ac:dyDescent="0.35">
      <c r="D13" t="s">
        <v>392</v>
      </c>
      <c r="E13" s="73">
        <f>'Comps Valuation'!I17</f>
        <v>3.6081420999999998</v>
      </c>
      <c r="M13" s="26"/>
    </row>
    <row r="14" spans="1:22" ht="15" thickTop="1" x14ac:dyDescent="0.3">
      <c r="D14" t="s">
        <v>393</v>
      </c>
      <c r="E14" s="95">
        <f>'Comps Valuation'!H17</f>
        <v>24890</v>
      </c>
    </row>
    <row r="17" spans="1:24" s="112" customFormat="1" ht="15.6" x14ac:dyDescent="0.3">
      <c r="A17" s="4" t="s">
        <v>394</v>
      </c>
      <c r="B17" s="4"/>
      <c r="C17" s="4"/>
      <c r="D17" s="4"/>
      <c r="E17" s="4"/>
      <c r="F17" s="4"/>
      <c r="G17" s="4"/>
      <c r="H17" s="4"/>
      <c r="I17" s="4"/>
      <c r="J17" s="4"/>
      <c r="K17" s="4"/>
      <c r="L17" s="4"/>
      <c r="M17" s="4"/>
      <c r="N17" s="4"/>
      <c r="O17" s="4"/>
      <c r="P17" s="4"/>
      <c r="Q17" s="4"/>
      <c r="R17" s="4"/>
      <c r="S17" s="4"/>
      <c r="T17" s="4"/>
      <c r="U17" s="4"/>
      <c r="V17" s="4"/>
      <c r="W17" s="4"/>
      <c r="X17" s="4"/>
    </row>
    <row r="18" spans="1:24" x14ac:dyDescent="0.3">
      <c r="H18" s="164" t="s">
        <v>0</v>
      </c>
      <c r="I18" s="164"/>
      <c r="J18" s="164"/>
      <c r="K18" s="164"/>
      <c r="L18" s="165"/>
      <c r="M18" s="164" t="s">
        <v>149</v>
      </c>
      <c r="N18" s="164"/>
      <c r="O18" s="164"/>
      <c r="P18" s="164"/>
      <c r="Q18" s="164"/>
      <c r="R18" s="164"/>
      <c r="S18" s="164"/>
      <c r="T18" s="164"/>
      <c r="U18" s="164"/>
      <c r="V18" s="164"/>
      <c r="W18" s="164"/>
      <c r="X18" s="164"/>
    </row>
    <row r="19" spans="1:24" x14ac:dyDescent="0.3">
      <c r="D19" s="8" t="s">
        <v>395</v>
      </c>
      <c r="E19" s="8"/>
      <c r="F19" s="8"/>
      <c r="G19" s="8"/>
      <c r="H19" s="96">
        <f>H2</f>
        <v>2021</v>
      </c>
      <c r="I19" s="96">
        <f t="shared" ref="I19:L19" si="0">I2</f>
        <v>2022</v>
      </c>
      <c r="J19" s="96">
        <f t="shared" si="0"/>
        <v>2023</v>
      </c>
      <c r="K19" s="96">
        <f t="shared" si="0"/>
        <v>2024</v>
      </c>
      <c r="L19" s="97">
        <f t="shared" si="0"/>
        <v>2025</v>
      </c>
      <c r="M19" s="8" t="s">
        <v>396</v>
      </c>
      <c r="N19" s="96">
        <f>M2</f>
        <v>2026</v>
      </c>
      <c r="O19" s="96">
        <f t="shared" ref="O19:W19" si="1">N2</f>
        <v>2027</v>
      </c>
      <c r="P19" s="96">
        <f t="shared" si="1"/>
        <v>2028</v>
      </c>
      <c r="Q19" s="96">
        <f t="shared" si="1"/>
        <v>2029</v>
      </c>
      <c r="R19" s="96">
        <f t="shared" si="1"/>
        <v>2030</v>
      </c>
      <c r="S19" s="96">
        <f t="shared" si="1"/>
        <v>2031</v>
      </c>
      <c r="T19" s="96">
        <f t="shared" si="1"/>
        <v>2032</v>
      </c>
      <c r="U19" s="96">
        <f t="shared" si="1"/>
        <v>2033</v>
      </c>
      <c r="V19" s="96">
        <f t="shared" si="1"/>
        <v>2034</v>
      </c>
      <c r="W19" s="99">
        <f t="shared" si="1"/>
        <v>2035</v>
      </c>
      <c r="X19" s="10" t="s">
        <v>397</v>
      </c>
    </row>
    <row r="20" spans="1:24" x14ac:dyDescent="0.3">
      <c r="D20" t="s">
        <v>323</v>
      </c>
      <c r="H20" s="98"/>
      <c r="I20" s="98"/>
      <c r="J20" s="98"/>
      <c r="K20" s="98"/>
      <c r="L20" s="102"/>
      <c r="M20" s="79">
        <f>E7</f>
        <v>46128</v>
      </c>
      <c r="N20" s="79">
        <f>DATE(YEAR($E$8)-1,MONTH($E$8),DAY($E$8))</f>
        <v>46112</v>
      </c>
      <c r="O20" s="79">
        <f>DATE(YEAR($E$8)+O21,MONTH($E$8),DAY($E$8))</f>
        <v>46477</v>
      </c>
      <c r="P20" s="79">
        <f t="shared" ref="P20:W20" si="2">DATE(YEAR($E$8)+P21,MONTH($E$8),DAY($E$8))</f>
        <v>46843</v>
      </c>
      <c r="Q20" s="79">
        <f t="shared" si="2"/>
        <v>47208</v>
      </c>
      <c r="R20" s="79">
        <f t="shared" si="2"/>
        <v>47573</v>
      </c>
      <c r="S20" s="79">
        <f t="shared" si="2"/>
        <v>47938</v>
      </c>
      <c r="T20" s="79">
        <f t="shared" si="2"/>
        <v>48304</v>
      </c>
      <c r="U20" s="79">
        <f t="shared" si="2"/>
        <v>48669</v>
      </c>
      <c r="V20" s="79">
        <f t="shared" si="2"/>
        <v>49034</v>
      </c>
      <c r="W20" s="100">
        <f t="shared" si="2"/>
        <v>49399</v>
      </c>
      <c r="X20" s="100">
        <f>W20</f>
        <v>49399</v>
      </c>
    </row>
    <row r="21" spans="1:24" x14ac:dyDescent="0.3">
      <c r="D21" t="s">
        <v>398</v>
      </c>
      <c r="H21" s="98"/>
      <c r="I21" s="98"/>
      <c r="J21" s="98"/>
      <c r="K21" s="98"/>
      <c r="L21" s="102"/>
      <c r="N21" s="108">
        <v>0</v>
      </c>
      <c r="O21" s="108">
        <v>0</v>
      </c>
      <c r="P21">
        <f>O21+1</f>
        <v>1</v>
      </c>
      <c r="Q21">
        <f t="shared" ref="Q21:W21" si="3">P21+1</f>
        <v>2</v>
      </c>
      <c r="R21">
        <f t="shared" si="3"/>
        <v>3</v>
      </c>
      <c r="S21">
        <f t="shared" si="3"/>
        <v>4</v>
      </c>
      <c r="T21">
        <f t="shared" si="3"/>
        <v>5</v>
      </c>
      <c r="U21">
        <f t="shared" si="3"/>
        <v>6</v>
      </c>
      <c r="V21">
        <f t="shared" si="3"/>
        <v>7</v>
      </c>
      <c r="W21">
        <f t="shared" si="3"/>
        <v>8</v>
      </c>
    </row>
    <row r="22" spans="1:24" x14ac:dyDescent="0.3">
      <c r="D22" t="s">
        <v>326</v>
      </c>
      <c r="H22" s="98"/>
      <c r="I22" s="98"/>
      <c r="J22" s="98"/>
      <c r="K22" s="98"/>
      <c r="L22" s="102"/>
      <c r="O22" s="101">
        <f>YEARFRAC(M20,O20)</f>
        <v>0.95833333333333337</v>
      </c>
      <c r="P22">
        <f>YEARFRAC(O20,P20)</f>
        <v>1</v>
      </c>
      <c r="Q22">
        <f t="shared" ref="Q22:W22" si="4">YEARFRAC(P20,Q20)</f>
        <v>1</v>
      </c>
      <c r="R22">
        <f t="shared" si="4"/>
        <v>1</v>
      </c>
      <c r="S22">
        <f t="shared" si="4"/>
        <v>1</v>
      </c>
      <c r="T22">
        <f t="shared" si="4"/>
        <v>1</v>
      </c>
      <c r="U22">
        <f t="shared" si="4"/>
        <v>1</v>
      </c>
      <c r="V22">
        <f t="shared" si="4"/>
        <v>1</v>
      </c>
      <c r="W22">
        <f t="shared" si="4"/>
        <v>1</v>
      </c>
      <c r="X22">
        <f>W22</f>
        <v>1</v>
      </c>
    </row>
    <row r="23" spans="1:24" x14ac:dyDescent="0.3">
      <c r="L23" s="103"/>
    </row>
    <row r="24" spans="1:24" x14ac:dyDescent="0.3">
      <c r="D24" t="s">
        <v>141</v>
      </c>
      <c r="E24" s="10" t="str">
        <f>'Financial Statements'!F25</f>
        <v>₹ in Cr</v>
      </c>
      <c r="I24" s="35">
        <f>'Financial Statements'!I34</f>
        <v>2562.0500000000006</v>
      </c>
      <c r="J24" s="35">
        <f>'Financial Statements'!J34</f>
        <v>1298.8300000000008</v>
      </c>
      <c r="K24" s="35">
        <f>'Financial Statements'!K34</f>
        <v>2619.4199999999992</v>
      </c>
      <c r="L24" s="104">
        <f>'Financial Statements'!L34</f>
        <v>927.25000000000136</v>
      </c>
      <c r="M24" s="19"/>
      <c r="N24" s="35">
        <f>'Financial Statements'!M34</f>
        <v>1150.7923974207674</v>
      </c>
      <c r="O24" s="35">
        <f>'Financial Statements'!N34</f>
        <v>1545.2473181019827</v>
      </c>
      <c r="P24" s="35">
        <f>'Financial Statements'!O34</f>
        <v>1916.7244836183904</v>
      </c>
      <c r="Q24" s="35">
        <f>'Financial Statements'!P34</f>
        <v>2151.4389359117808</v>
      </c>
      <c r="R24" s="35">
        <f>'Financial Statements'!Q34</f>
        <v>2526.9735305955032</v>
      </c>
      <c r="S24" s="35">
        <f>'Financial Statements'!R34</f>
        <v>2879.3242353071951</v>
      </c>
      <c r="T24" s="35">
        <f>'Financial Statements'!S34</f>
        <v>3097.2011709375211</v>
      </c>
      <c r="U24" s="35">
        <f>'Financial Statements'!T34</f>
        <v>3451.7547886329562</v>
      </c>
      <c r="V24" s="35">
        <f>'Financial Statements'!U34</f>
        <v>3781.5457075055906</v>
      </c>
      <c r="W24" s="35">
        <f>'Financial Statements'!V34</f>
        <v>3977.8515166915017</v>
      </c>
      <c r="X24" s="19"/>
    </row>
    <row r="25" spans="1:24" x14ac:dyDescent="0.3">
      <c r="D25" t="s">
        <v>399</v>
      </c>
      <c r="I25" s="35">
        <f>'Financial Statements'!I38</f>
        <v>-555.21</v>
      </c>
      <c r="J25" s="35">
        <f>'Financial Statements'!J38</f>
        <v>-225.89999999999998</v>
      </c>
      <c r="K25" s="35">
        <f>'Financial Statements'!K38</f>
        <v>-563.04</v>
      </c>
      <c r="L25" s="104">
        <f>'Financial Statements'!L38</f>
        <v>-187.70999999999998</v>
      </c>
      <c r="M25" s="19"/>
      <c r="N25" s="35">
        <f>'Financial Statements'!M38</f>
        <v>-248.19562489027132</v>
      </c>
      <c r="O25" s="35">
        <f>'Financial Statements'!N38</f>
        <v>-313.26800199319217</v>
      </c>
      <c r="P25" s="35">
        <f>'Financial Statements'!O38</f>
        <v>-387.59677594551431</v>
      </c>
      <c r="Q25" s="35">
        <f>'Financial Statements'!P38</f>
        <v>-430.38391425528488</v>
      </c>
      <c r="R25" s="35">
        <f>'Financial Statements'!Q38</f>
        <v>-510.83442857730125</v>
      </c>
      <c r="S25" s="35">
        <f>'Financial Statements'!R38</f>
        <v>-573.48562621444114</v>
      </c>
      <c r="T25" s="35">
        <f>'Financial Statements'!S38</f>
        <v>-634.20922963502085</v>
      </c>
      <c r="U25" s="35">
        <f>'Financial Statements'!T38</f>
        <v>-698.96640417304809</v>
      </c>
      <c r="V25" s="35">
        <f>'Financial Statements'!U38</f>
        <v>-782.81832920431066</v>
      </c>
      <c r="W25" s="35">
        <f>'Financial Statements'!V38</f>
        <v>-822.63597973705851</v>
      </c>
      <c r="X25" s="19"/>
    </row>
    <row r="26" spans="1:24" s="10" customFormat="1" x14ac:dyDescent="0.3">
      <c r="D26" s="13" t="s">
        <v>400</v>
      </c>
      <c r="E26" s="13"/>
      <c r="F26" s="13"/>
      <c r="G26" s="13"/>
      <c r="H26" s="13"/>
      <c r="I26" s="20">
        <f t="shared" ref="I26:L26" si="5">SUM(I24:I25)</f>
        <v>2006.8400000000006</v>
      </c>
      <c r="J26" s="20">
        <f t="shared" si="5"/>
        <v>1072.9300000000007</v>
      </c>
      <c r="K26" s="20">
        <f t="shared" si="5"/>
        <v>2056.3799999999992</v>
      </c>
      <c r="L26" s="105">
        <f t="shared" si="5"/>
        <v>739.54000000000133</v>
      </c>
      <c r="M26" s="20"/>
      <c r="N26" s="20">
        <f>SUM(N24:N25)</f>
        <v>902.59677253049608</v>
      </c>
      <c r="O26" s="20">
        <f>SUM(O24:O25)</f>
        <v>1231.9793161087905</v>
      </c>
      <c r="P26" s="20">
        <f t="shared" ref="P26:W26" si="6">SUM(P24:P25)</f>
        <v>1529.1277076728761</v>
      </c>
      <c r="Q26" s="20">
        <f t="shared" si="6"/>
        <v>1721.0550216564959</v>
      </c>
      <c r="R26" s="20">
        <f t="shared" si="6"/>
        <v>2016.139102018202</v>
      </c>
      <c r="S26" s="20">
        <f t="shared" si="6"/>
        <v>2305.8386090927538</v>
      </c>
      <c r="T26" s="20">
        <f t="shared" si="6"/>
        <v>2462.9919413025</v>
      </c>
      <c r="U26" s="20">
        <f t="shared" si="6"/>
        <v>2752.7883844599082</v>
      </c>
      <c r="V26" s="20">
        <f t="shared" si="6"/>
        <v>2998.7273783012797</v>
      </c>
      <c r="W26" s="20">
        <f t="shared" si="6"/>
        <v>3155.2155369544435</v>
      </c>
      <c r="X26" s="20"/>
    </row>
    <row r="27" spans="1:24" x14ac:dyDescent="0.3">
      <c r="D27" t="s">
        <v>168</v>
      </c>
      <c r="I27" s="35">
        <f>-'Financial Statements'!I33</f>
        <v>1145.8800000000001</v>
      </c>
      <c r="J27" s="35">
        <f>-'Financial Statements'!J33</f>
        <v>1660.67</v>
      </c>
      <c r="K27" s="35">
        <f>-'Financial Statements'!K33</f>
        <v>1897.32</v>
      </c>
      <c r="L27" s="104">
        <f>-'Financial Statements'!L33</f>
        <v>3006.78</v>
      </c>
      <c r="M27" s="19"/>
      <c r="N27" s="35">
        <f>-'Financial Statements'!M33</f>
        <v>3571.486187066334</v>
      </c>
      <c r="O27" s="35">
        <f>-'Financial Statements'!N33</f>
        <v>3508.1810521222774</v>
      </c>
      <c r="P27" s="35">
        <f>-'Financial Statements'!O33</f>
        <v>3468.0413928778166</v>
      </c>
      <c r="Q27" s="35">
        <f>-'Financial Statements'!P33</f>
        <v>3563.4401640895671</v>
      </c>
      <c r="R27" s="35">
        <f>-'Financial Statements'!Q33</f>
        <v>3515.4835898052247</v>
      </c>
      <c r="S27" s="35">
        <f>-'Financial Statements'!R33</f>
        <v>3486.974677762149</v>
      </c>
      <c r="T27" s="35">
        <f>-'Financial Statements'!S33</f>
        <v>3588.1177743535918</v>
      </c>
      <c r="U27" s="35">
        <f>-'Financial Statements'!T33</f>
        <v>3546.795109103507</v>
      </c>
      <c r="V27" s="35">
        <f>-'Financial Statements'!U33</f>
        <v>3523.5971752050195</v>
      </c>
      <c r="W27" s="35">
        <f>-'Financial Statements'!V33</f>
        <v>3626.5140237321652</v>
      </c>
      <c r="X27" s="19"/>
    </row>
    <row r="28" spans="1:24" x14ac:dyDescent="0.3">
      <c r="D28" t="s">
        <v>401</v>
      </c>
      <c r="I28" s="35">
        <f>-Schedules!I13</f>
        <v>-2212.5499999999993</v>
      </c>
      <c r="J28" s="35">
        <f>-Schedules!J13</f>
        <v>-3473.3100000000013</v>
      </c>
      <c r="K28" s="35">
        <f>-Schedules!K13</f>
        <v>-3071.59</v>
      </c>
      <c r="L28" s="104">
        <f>-Schedules!L13</f>
        <v>-4586.5499999999993</v>
      </c>
      <c r="M28" s="19"/>
      <c r="N28" s="35">
        <f>-Schedules!M13</f>
        <v>-3352.68</v>
      </c>
      <c r="O28" s="35">
        <f>-Schedules!N13</f>
        <v>-3369.4433999999997</v>
      </c>
      <c r="P28" s="35">
        <f>-Schedules!O13</f>
        <v>-3386.2906169999992</v>
      </c>
      <c r="Q28" s="35">
        <f>-Schedules!P13</f>
        <v>-3403.2220700849989</v>
      </c>
      <c r="R28" s="35">
        <f>-Schedules!Q13</f>
        <v>-3420.2381804354236</v>
      </c>
      <c r="S28" s="35">
        <f>-Schedules!R13</f>
        <v>-3437.3393713376004</v>
      </c>
      <c r="T28" s="35">
        <f>-Schedules!S13</f>
        <v>-3454.5260681942882</v>
      </c>
      <c r="U28" s="35">
        <f>-Schedules!T13</f>
        <v>-3471.7986985352591</v>
      </c>
      <c r="V28" s="35">
        <f>-Schedules!U13</f>
        <v>-3489.1576920279349</v>
      </c>
      <c r="W28" s="35">
        <f>-Schedules!V13</f>
        <v>-3506.6034804880742</v>
      </c>
      <c r="X28" s="19"/>
    </row>
    <row r="29" spans="1:24" x14ac:dyDescent="0.3">
      <c r="D29" t="s">
        <v>402</v>
      </c>
      <c r="I29" s="35">
        <f>Schedules!I9</f>
        <v>-847.66000000000008</v>
      </c>
      <c r="J29" s="35">
        <f>Schedules!J9</f>
        <v>-51.590000000000032</v>
      </c>
      <c r="K29" s="35">
        <f>Schedules!K9</f>
        <v>-725.28000000000009</v>
      </c>
      <c r="L29" s="104">
        <f>Schedules!L9</f>
        <v>1405.8400000000001</v>
      </c>
      <c r="M29" s="19"/>
      <c r="N29" s="35">
        <f>Schedules!M9</f>
        <v>-565.79145471423658</v>
      </c>
      <c r="O29" s="35">
        <f>Schedules!N9</f>
        <v>-213.87153451183576</v>
      </c>
      <c r="P29" s="35">
        <f>Schedules!O9</f>
        <v>-213.99277293796217</v>
      </c>
      <c r="Q29" s="35">
        <f>Schedules!P9</f>
        <v>-213.20207566050408</v>
      </c>
      <c r="R29" s="35">
        <f>Schedules!Q9</f>
        <v>-211.56472663634167</v>
      </c>
      <c r="S29" s="35">
        <f>Schedules!R9</f>
        <v>-209.15170149641563</v>
      </c>
      <c r="T29" s="35">
        <f>Schedules!S9</f>
        <v>-206.03759014792399</v>
      </c>
      <c r="U29" s="35">
        <f>Schedules!T9</f>
        <v>-202.29874015157452</v>
      </c>
      <c r="V29" s="35">
        <f>Schedules!U9</f>
        <v>-198.01164002271389</v>
      </c>
      <c r="W29" s="35">
        <f>Schedules!V9</f>
        <v>-193.25154876167176</v>
      </c>
      <c r="X29" s="19"/>
    </row>
    <row r="30" spans="1:24" s="10" customFormat="1" x14ac:dyDescent="0.3">
      <c r="D30" s="13" t="s">
        <v>394</v>
      </c>
      <c r="E30" s="13"/>
      <c r="F30" s="13"/>
      <c r="G30" s="13"/>
      <c r="H30" s="13"/>
      <c r="I30" s="20">
        <f>SUM(I26:I29)</f>
        <v>92.510000000001355</v>
      </c>
      <c r="J30" s="20">
        <f t="shared" ref="J30:L30" si="7">SUM(J26:J29)</f>
        <v>-791.30000000000052</v>
      </c>
      <c r="K30" s="20">
        <f t="shared" si="7"/>
        <v>156.82999999999868</v>
      </c>
      <c r="L30" s="105">
        <f t="shared" si="7"/>
        <v>565.6100000000024</v>
      </c>
      <c r="M30" s="107">
        <v>0</v>
      </c>
      <c r="N30" s="20">
        <f>SUM(N26:N29)</f>
        <v>555.61150488259341</v>
      </c>
      <c r="O30" s="20">
        <f>SUM(O26:O29)</f>
        <v>1156.8454337192325</v>
      </c>
      <c r="P30" s="20">
        <f t="shared" ref="P30:W30" si="8">SUM(P26:P29)</f>
        <v>1396.8857106127314</v>
      </c>
      <c r="Q30" s="20">
        <f t="shared" si="8"/>
        <v>1668.0710400005598</v>
      </c>
      <c r="R30" s="20">
        <f t="shared" si="8"/>
        <v>1899.8197847516617</v>
      </c>
      <c r="S30" s="20">
        <f t="shared" si="8"/>
        <v>2146.3222140208868</v>
      </c>
      <c r="T30" s="20">
        <f t="shared" si="8"/>
        <v>2390.5460573138798</v>
      </c>
      <c r="U30" s="20">
        <f t="shared" si="8"/>
        <v>2625.4860548765819</v>
      </c>
      <c r="V30" s="20">
        <f t="shared" si="8"/>
        <v>2835.1552214556509</v>
      </c>
      <c r="W30" s="20">
        <f t="shared" si="8"/>
        <v>3081.8745314368625</v>
      </c>
      <c r="X30" s="106">
        <f>S38</f>
        <v>95993.991965957975</v>
      </c>
    </row>
    <row r="31" spans="1:24" x14ac:dyDescent="0.3">
      <c r="M31" s="108"/>
    </row>
    <row r="32" spans="1:24" x14ac:dyDescent="0.3">
      <c r="D32" t="s">
        <v>405</v>
      </c>
      <c r="M32" s="108">
        <v>0</v>
      </c>
      <c r="N32" s="108"/>
      <c r="O32" s="108">
        <f>O30*O22</f>
        <v>1108.6435406475978</v>
      </c>
      <c r="P32" s="108">
        <f t="shared" ref="P32:X32" si="9">P30*P22</f>
        <v>1396.8857106127314</v>
      </c>
      <c r="Q32" s="108">
        <f t="shared" si="9"/>
        <v>1668.0710400005598</v>
      </c>
      <c r="R32" s="108">
        <f t="shared" si="9"/>
        <v>1899.8197847516617</v>
      </c>
      <c r="S32" s="108">
        <f t="shared" si="9"/>
        <v>2146.3222140208868</v>
      </c>
      <c r="T32" s="108">
        <f t="shared" si="9"/>
        <v>2390.5460573138798</v>
      </c>
      <c r="U32" s="108">
        <f t="shared" si="9"/>
        <v>2625.4860548765819</v>
      </c>
      <c r="V32" s="108">
        <f t="shared" si="9"/>
        <v>2835.1552214556509</v>
      </c>
      <c r="W32" s="108">
        <f t="shared" si="9"/>
        <v>3081.8745314368625</v>
      </c>
      <c r="X32" s="108">
        <f t="shared" si="9"/>
        <v>95993.991965957975</v>
      </c>
    </row>
    <row r="35" spans="1:22" x14ac:dyDescent="0.3">
      <c r="D35" s="8" t="s">
        <v>406</v>
      </c>
      <c r="E35" s="8"/>
      <c r="F35" s="8"/>
      <c r="I35" s="8" t="s">
        <v>412</v>
      </c>
      <c r="J35" s="8"/>
      <c r="K35" s="8"/>
      <c r="M35" s="8" t="s">
        <v>418</v>
      </c>
      <c r="N35" s="8"/>
      <c r="O35" s="8"/>
      <c r="Q35" s="8" t="s">
        <v>403</v>
      </c>
      <c r="R35" s="8"/>
      <c r="S35" s="8"/>
    </row>
    <row r="36" spans="1:22" x14ac:dyDescent="0.3">
      <c r="D36" t="s">
        <v>296</v>
      </c>
      <c r="F36" s="108">
        <f>XNPV(E12,O32:X32,O20:X20)</f>
        <v>65257.870342925482</v>
      </c>
      <c r="I36" t="s">
        <v>273</v>
      </c>
      <c r="K36" s="108">
        <f>E13*E14</f>
        <v>89806.656868999999</v>
      </c>
      <c r="M36" t="s">
        <v>419</v>
      </c>
      <c r="O36" s="19">
        <f>K42</f>
        <v>24890</v>
      </c>
      <c r="Q36" t="s">
        <v>278</v>
      </c>
      <c r="S36" s="108">
        <f>(W24+W27)*E10</f>
        <v>112303.25178274821</v>
      </c>
    </row>
    <row r="37" spans="1:22" x14ac:dyDescent="0.3">
      <c r="D37" t="s">
        <v>407</v>
      </c>
      <c r="F37" s="109">
        <f>SUM('Financial Statements'!L45:L46,'Financial Statements'!L55,'Financial Statements'!L49)</f>
        <v>8289.799999999992</v>
      </c>
      <c r="I37" t="s">
        <v>413</v>
      </c>
      <c r="K37" s="108">
        <f>-F38</f>
        <v>1046.1300000000001</v>
      </c>
      <c r="M37" t="s">
        <v>420</v>
      </c>
      <c r="O37" s="19">
        <f>F42</f>
        <v>20082.571122386078</v>
      </c>
      <c r="Q37" t="s">
        <v>404</v>
      </c>
      <c r="S37" s="108">
        <f>W30*(1+E11)/(E12-E11)</f>
        <v>79684.732149167743</v>
      </c>
    </row>
    <row r="38" spans="1:22" x14ac:dyDescent="0.3">
      <c r="D38" t="s">
        <v>408</v>
      </c>
      <c r="F38" s="109">
        <f>-Schedules!L20</f>
        <v>-1046.1300000000001</v>
      </c>
      <c r="I38" t="s">
        <v>414</v>
      </c>
      <c r="K38" s="108">
        <f>-F37</f>
        <v>-8289.799999999992</v>
      </c>
      <c r="M38" s="13" t="s">
        <v>421</v>
      </c>
      <c r="N38" s="13"/>
      <c r="O38" s="110">
        <f>O37/O36-1</f>
        <v>-0.19314700191297396</v>
      </c>
      <c r="Q38" s="13" t="s">
        <v>313</v>
      </c>
      <c r="R38" s="13"/>
      <c r="S38" s="20">
        <f>AVERAGE(S36:S37)</f>
        <v>95993.991965957975</v>
      </c>
    </row>
    <row r="39" spans="1:22" x14ac:dyDescent="0.3">
      <c r="D39" t="s">
        <v>409</v>
      </c>
      <c r="F39" s="109">
        <f>-'Financial Statements'!L73</f>
        <v>-40.770000000000003</v>
      </c>
      <c r="I39" t="s">
        <v>415</v>
      </c>
      <c r="K39" s="108">
        <f>-F39</f>
        <v>40.770000000000003</v>
      </c>
    </row>
    <row r="40" spans="1:22" x14ac:dyDescent="0.3">
      <c r="D40" s="13" t="s">
        <v>320</v>
      </c>
      <c r="E40" s="13"/>
      <c r="F40" s="20">
        <f>SUM(F36:F39)</f>
        <v>72460.770342925462</v>
      </c>
      <c r="I40" s="13" t="s">
        <v>296</v>
      </c>
      <c r="J40" s="13"/>
      <c r="K40" s="20">
        <f>SUM(K36:K39)</f>
        <v>82603.756869000019</v>
      </c>
    </row>
    <row r="42" spans="1:22" x14ac:dyDescent="0.3">
      <c r="D42" s="10" t="s">
        <v>410</v>
      </c>
      <c r="E42" s="10"/>
      <c r="F42" s="133">
        <f>F40/E13</f>
        <v>20082.571122386078</v>
      </c>
      <c r="I42" s="10" t="s">
        <v>416</v>
      </c>
      <c r="K42" s="133">
        <f>K36/E13</f>
        <v>24890</v>
      </c>
    </row>
    <row r="43" spans="1:22" x14ac:dyDescent="0.3">
      <c r="D43" t="s">
        <v>411</v>
      </c>
      <c r="I43" t="s">
        <v>417</v>
      </c>
    </row>
    <row r="46" spans="1:22" s="112" customFormat="1" ht="15.6" x14ac:dyDescent="0.3">
      <c r="A46" s="4" t="s">
        <v>422</v>
      </c>
      <c r="B46" s="4"/>
      <c r="C46" s="4"/>
      <c r="D46" s="4"/>
      <c r="E46" s="4"/>
      <c r="F46" s="4"/>
      <c r="G46" s="4"/>
      <c r="H46" s="4"/>
      <c r="I46" s="4"/>
      <c r="J46" s="4"/>
      <c r="K46" s="4"/>
      <c r="L46" s="4"/>
      <c r="M46" s="4"/>
      <c r="N46" s="4"/>
      <c r="O46" s="4"/>
      <c r="P46" s="4"/>
      <c r="Q46" s="4"/>
      <c r="R46" s="4"/>
      <c r="S46" s="4"/>
      <c r="T46" s="4"/>
      <c r="U46" s="4"/>
      <c r="V46" s="4"/>
    </row>
    <row r="48" spans="1:22" ht="15.6" x14ac:dyDescent="0.3">
      <c r="H48" s="166" t="s">
        <v>423</v>
      </c>
      <c r="I48" s="166"/>
      <c r="J48" s="166"/>
      <c r="K48" s="166"/>
      <c r="L48" s="166"/>
      <c r="M48" s="166"/>
      <c r="N48" s="166"/>
    </row>
    <row r="50" spans="8:14" x14ac:dyDescent="0.3">
      <c r="J50" s="162" t="s">
        <v>425</v>
      </c>
      <c r="K50" s="162"/>
      <c r="L50" s="162"/>
      <c r="M50" s="162"/>
      <c r="N50" s="162"/>
    </row>
    <row r="51" spans="8:14" x14ac:dyDescent="0.3">
      <c r="H51" s="163" t="s">
        <v>424</v>
      </c>
      <c r="I51" s="114">
        <f>F42</f>
        <v>20082.571122386078</v>
      </c>
      <c r="J51" s="113">
        <v>10</v>
      </c>
      <c r="K51" s="113">
        <v>12</v>
      </c>
      <c r="L51" s="113">
        <v>14.768260571609947</v>
      </c>
      <c r="M51" s="113">
        <v>16</v>
      </c>
      <c r="N51" s="113">
        <v>18</v>
      </c>
    </row>
    <row r="52" spans="8:14" x14ac:dyDescent="0.3">
      <c r="H52" s="163"/>
      <c r="I52" s="136">
        <v>0.06</v>
      </c>
      <c r="J52" s="108">
        <f t="dataTable" ref="J52:N56" dt2D="1" dtr="1" r1="E10" r2="E12" ca="1"/>
        <v>26597.518188856786</v>
      </c>
      <c r="K52" s="108">
        <v>27919.40347247048</v>
      </c>
      <c r="L52" s="108">
        <v>29749.064927880096</v>
      </c>
      <c r="M52" s="108">
        <v>30563.174039697871</v>
      </c>
      <c r="N52" s="108">
        <v>31885.059323311569</v>
      </c>
    </row>
    <row r="53" spans="8:14" x14ac:dyDescent="0.3">
      <c r="H53" s="163"/>
      <c r="I53" s="136">
        <v>6.9999999999999993E-2</v>
      </c>
      <c r="J53" s="108">
        <v>20639.837633462441</v>
      </c>
      <c r="K53" s="115">
        <v>21866.00039802583</v>
      </c>
      <c r="L53" s="115">
        <v>23563.169415784367</v>
      </c>
      <c r="M53" s="115">
        <v>24318.3259271526</v>
      </c>
      <c r="N53" s="108">
        <v>25544.488691715989</v>
      </c>
    </row>
    <row r="54" spans="8:14" x14ac:dyDescent="0.3">
      <c r="H54" s="163"/>
      <c r="I54" s="136">
        <v>8.0222881174958099E-2</v>
      </c>
      <c r="J54" s="108">
        <v>17373.510497760017</v>
      </c>
      <c r="K54" s="115">
        <v>18509.799332626011</v>
      </c>
      <c r="L54" s="111">
        <v>20082.571122386078</v>
      </c>
      <c r="M54" s="115">
        <v>20782.377002358</v>
      </c>
      <c r="N54" s="108">
        <v>21918.665837223994</v>
      </c>
    </row>
    <row r="55" spans="8:14" x14ac:dyDescent="0.3">
      <c r="H55" s="163"/>
      <c r="I55" s="136">
        <v>0.09</v>
      </c>
      <c r="J55" s="108">
        <v>15339.736742448573</v>
      </c>
      <c r="K55" s="115">
        <v>16396.949248392062</v>
      </c>
      <c r="L55" s="115">
        <v>17860.269096400218</v>
      </c>
      <c r="M55" s="115">
        <v>18511.374260279041</v>
      </c>
      <c r="N55" s="108">
        <v>19568.586766222532</v>
      </c>
    </row>
    <row r="56" spans="8:14" x14ac:dyDescent="0.3">
      <c r="I56" s="136">
        <v>0.1</v>
      </c>
      <c r="J56" s="108">
        <v>13826.979434062961</v>
      </c>
      <c r="K56" s="108">
        <v>14809.6570455493</v>
      </c>
      <c r="L56" s="108">
        <v>16169.810888790036</v>
      </c>
      <c r="M56" s="108">
        <v>16775.012268521976</v>
      </c>
      <c r="N56" s="108">
        <v>17757.689880008315</v>
      </c>
    </row>
    <row r="60" spans="8:14" x14ac:dyDescent="0.3">
      <c r="J60" s="162" t="s">
        <v>390</v>
      </c>
      <c r="K60" s="162"/>
      <c r="L60" s="162"/>
      <c r="M60" s="162"/>
      <c r="N60" s="162"/>
    </row>
    <row r="61" spans="8:14" ht="14.4" customHeight="1" x14ac:dyDescent="0.3">
      <c r="H61" s="163" t="s">
        <v>424</v>
      </c>
      <c r="I61" s="114">
        <f>F42</f>
        <v>20082.571122386078</v>
      </c>
      <c r="J61" s="116">
        <v>0.02</v>
      </c>
      <c r="K61" s="116">
        <v>0.03</v>
      </c>
      <c r="L61" s="116">
        <v>0.04</v>
      </c>
      <c r="M61" s="116">
        <v>0.05</v>
      </c>
      <c r="N61" s="116">
        <v>0.06</v>
      </c>
    </row>
    <row r="62" spans="8:14" x14ac:dyDescent="0.3">
      <c r="H62" s="163"/>
      <c r="I62" s="136">
        <v>0.06</v>
      </c>
      <c r="J62" s="108">
        <f t="dataTable" ref="J62:N66" dt2D="1" dtr="1" r1="E11" r2="E12"/>
        <v>22650.646194854751</v>
      </c>
      <c r="K62" s="108">
        <v>25016.785772529864</v>
      </c>
      <c r="L62" s="108">
        <v>29749.064927880096</v>
      </c>
      <c r="M62" s="108">
        <v>43945.902393930795</v>
      </c>
      <c r="N62" s="108" t="e">
        <v>#DIV/0!</v>
      </c>
    </row>
    <row r="63" spans="8:14" x14ac:dyDescent="0.3">
      <c r="H63" s="163"/>
      <c r="I63" s="136">
        <v>6.9999999999999993E-2</v>
      </c>
      <c r="J63" s="108">
        <v>20018.362283008428</v>
      </c>
      <c r="K63" s="115">
        <v>21347.664957799403</v>
      </c>
      <c r="L63" s="115">
        <v>23563.169415784367</v>
      </c>
      <c r="M63" s="115">
        <v>27994.178331754298</v>
      </c>
      <c r="N63" s="108">
        <v>41287.205079664091</v>
      </c>
    </row>
    <row r="64" spans="8:14" x14ac:dyDescent="0.3">
      <c r="H64" s="163"/>
      <c r="I64" s="136">
        <v>8.0222881174958099E-2</v>
      </c>
      <c r="J64" s="108">
        <v>18028.95448020651</v>
      </c>
      <c r="K64" s="115">
        <v>18851.312499547821</v>
      </c>
      <c r="L64" s="111">
        <v>20082.571122386078</v>
      </c>
      <c r="M64" s="115">
        <v>22128.615480383465</v>
      </c>
      <c r="N64" s="108">
        <v>26198.154255715399</v>
      </c>
    </row>
    <row r="65" spans="4:14" x14ac:dyDescent="0.3">
      <c r="H65" s="163"/>
      <c r="I65" s="136">
        <v>0.09</v>
      </c>
      <c r="J65" s="108">
        <v>16525.910019863597</v>
      </c>
      <c r="K65" s="115">
        <v>17081.892968420521</v>
      </c>
      <c r="L65" s="115">
        <v>17860.269096400218</v>
      </c>
      <c r="M65" s="115">
        <v>19027.833288369762</v>
      </c>
      <c r="N65" s="108">
        <v>20973.773608319003</v>
      </c>
    </row>
    <row r="66" spans="4:14" x14ac:dyDescent="0.3">
      <c r="H66" s="163"/>
      <c r="I66" s="136">
        <v>0.1</v>
      </c>
      <c r="J66" s="108">
        <v>15257.13941187946</v>
      </c>
      <c r="K66" s="108">
        <v>15648.284330555423</v>
      </c>
      <c r="L66" s="108">
        <v>16169.810888790036</v>
      </c>
      <c r="M66" s="108">
        <v>16899.948070318496</v>
      </c>
      <c r="N66" s="108">
        <v>17995.153842611187</v>
      </c>
    </row>
    <row r="70" spans="4:14" x14ac:dyDescent="0.3">
      <c r="D70" s="134" t="s">
        <v>504</v>
      </c>
    </row>
  </sheetData>
  <mergeCells count="9">
    <mergeCell ref="J60:N60"/>
    <mergeCell ref="H61:H66"/>
    <mergeCell ref="H1:L1"/>
    <mergeCell ref="M1:V1"/>
    <mergeCell ref="H18:L18"/>
    <mergeCell ref="M18:X18"/>
    <mergeCell ref="H48:N48"/>
    <mergeCell ref="H51:H55"/>
    <mergeCell ref="J50:N50"/>
  </mergeCells>
  <hyperlinks>
    <hyperlink ref="D70" location="Cover!A1" display="Back to Cover" xr:uid="{A5B490AA-0AD4-4F14-87D4-7EBAE6E25A68}"/>
  </hyperlinks>
  <pageMargins left="0.7" right="0.7" top="0.75" bottom="0.75" header="0.3" footer="0.3"/>
  <ignoredErrors>
    <ignoredError sqref="N62" evalError="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81A2D-3042-4B23-82DB-E8756ADBF9BA}">
  <dimension ref="A1:T25"/>
  <sheetViews>
    <sheetView zoomScale="84" workbookViewId="0">
      <pane ySplit="2" topLeftCell="A3" activePane="bottomLeft" state="frozen"/>
      <selection activeCell="D1" sqref="D1"/>
      <selection pane="bottomLeft"/>
    </sheetView>
  </sheetViews>
  <sheetFormatPr defaultColWidth="11.77734375" defaultRowHeight="14.4" x14ac:dyDescent="0.3"/>
  <cols>
    <col min="1" max="3" width="1.33203125" customWidth="1"/>
    <col min="4" max="4" width="40.77734375" customWidth="1"/>
    <col min="5" max="6" width="12.77734375" customWidth="1"/>
    <col min="7" max="7" width="2.88671875" customWidth="1"/>
    <col min="8" max="8" width="12.33203125" customWidth="1"/>
    <col min="10" max="10" width="14.77734375" customWidth="1"/>
    <col min="11" max="11" width="11.88671875" bestFit="1" customWidth="1"/>
    <col min="12" max="12" width="12.44140625" customWidth="1"/>
    <col min="13" max="13" width="13.44140625" bestFit="1" customWidth="1"/>
    <col min="14" max="16" width="11.88671875" bestFit="1" customWidth="1"/>
    <col min="19" max="19" width="11.77734375" customWidth="1"/>
  </cols>
  <sheetData>
    <row r="1" spans="1:20" ht="32.4" x14ac:dyDescent="0.6">
      <c r="A1" s="1" t="str">
        <f>Historical!A1</f>
        <v>Shree Cement Ltd.</v>
      </c>
      <c r="B1" s="2"/>
      <c r="C1" s="2"/>
      <c r="D1" s="2"/>
      <c r="E1" s="3"/>
      <c r="F1" s="3"/>
      <c r="G1" s="3"/>
      <c r="H1" s="4"/>
      <c r="I1" s="4"/>
      <c r="J1" s="4"/>
      <c r="K1" s="4"/>
      <c r="L1" s="4"/>
      <c r="M1" s="4"/>
      <c r="N1" s="4"/>
      <c r="O1" s="4"/>
      <c r="P1" s="4"/>
      <c r="Q1" s="4"/>
      <c r="R1" s="4"/>
      <c r="S1" s="4"/>
      <c r="T1" s="4"/>
    </row>
    <row r="2" spans="1:20" ht="15.6" x14ac:dyDescent="0.3">
      <c r="A2" s="4" t="s">
        <v>294</v>
      </c>
      <c r="B2" s="4"/>
      <c r="C2" s="4"/>
      <c r="D2" s="4"/>
      <c r="E2" s="5"/>
      <c r="F2" s="69"/>
      <c r="G2" s="5"/>
      <c r="H2" s="6"/>
      <c r="I2" s="6"/>
      <c r="J2" s="6"/>
      <c r="K2" s="6"/>
      <c r="L2" s="6"/>
      <c r="M2" s="6"/>
      <c r="N2" s="7"/>
      <c r="O2" s="7"/>
      <c r="P2" s="7"/>
      <c r="Q2" s="7"/>
      <c r="R2" s="7"/>
      <c r="S2" s="7"/>
      <c r="T2" s="7"/>
    </row>
    <row r="4" spans="1:20" ht="15.6" x14ac:dyDescent="0.3">
      <c r="D4" s="4"/>
      <c r="E4" s="4"/>
      <c r="F4" s="160" t="s">
        <v>309</v>
      </c>
      <c r="G4" s="160"/>
      <c r="H4" s="160"/>
      <c r="I4" s="160"/>
      <c r="J4" s="160"/>
      <c r="K4" s="160"/>
      <c r="L4" s="160"/>
      <c r="M4" s="160" t="s">
        <v>310</v>
      </c>
      <c r="N4" s="160"/>
      <c r="O4" s="160"/>
      <c r="P4" s="160"/>
      <c r="Q4" s="160"/>
      <c r="R4" s="160" t="s">
        <v>308</v>
      </c>
      <c r="S4" s="160"/>
      <c r="T4" s="160"/>
    </row>
    <row r="5" spans="1:20" ht="31.2" x14ac:dyDescent="0.3">
      <c r="D5" s="4"/>
      <c r="E5" s="4"/>
      <c r="F5" s="4"/>
      <c r="G5" s="4"/>
      <c r="H5" s="4" t="s">
        <v>271</v>
      </c>
      <c r="I5" s="4" t="s">
        <v>300</v>
      </c>
      <c r="J5" s="4" t="s">
        <v>273</v>
      </c>
      <c r="K5" s="4"/>
      <c r="L5" s="4" t="s">
        <v>312</v>
      </c>
      <c r="M5" s="70" t="s">
        <v>296</v>
      </c>
      <c r="N5" s="4"/>
      <c r="O5" s="4"/>
      <c r="P5" s="4"/>
      <c r="Q5" s="4" t="s">
        <v>306</v>
      </c>
      <c r="R5" s="4"/>
      <c r="S5" s="4" t="s">
        <v>317</v>
      </c>
      <c r="T5" s="4"/>
    </row>
    <row r="6" spans="1:20" ht="15.6" x14ac:dyDescent="0.3">
      <c r="D6" s="4" t="s">
        <v>295</v>
      </c>
      <c r="E6" s="4"/>
      <c r="F6" s="4" t="s">
        <v>268</v>
      </c>
      <c r="G6" s="4"/>
      <c r="H6" s="4" t="s">
        <v>299</v>
      </c>
      <c r="I6" s="4" t="s">
        <v>301</v>
      </c>
      <c r="J6" s="4" t="s">
        <v>302</v>
      </c>
      <c r="K6" s="4" t="s">
        <v>159</v>
      </c>
      <c r="L6" s="4" t="s">
        <v>311</v>
      </c>
      <c r="M6" s="4" t="s">
        <v>303</v>
      </c>
      <c r="N6" s="4" t="s">
        <v>304</v>
      </c>
      <c r="O6" s="4" t="s">
        <v>146</v>
      </c>
      <c r="P6" s="4" t="s">
        <v>305</v>
      </c>
      <c r="Q6" s="4" t="s">
        <v>307</v>
      </c>
      <c r="R6" s="4" t="s">
        <v>297</v>
      </c>
      <c r="S6" s="4" t="s">
        <v>146</v>
      </c>
      <c r="T6" s="4" t="s">
        <v>298</v>
      </c>
    </row>
    <row r="7" spans="1:20" x14ac:dyDescent="0.3">
      <c r="D7" t="str">
        <f>'Comps Data'!D6</f>
        <v>UltraTech Cement Limited</v>
      </c>
      <c r="E7" s="137"/>
      <c r="F7" t="str">
        <f>'Comps Data'!E6</f>
        <v>ULTRACEMCO</v>
      </c>
      <c r="H7" s="35">
        <f>'Comps Data'!F6</f>
        <v>11452</v>
      </c>
      <c r="I7" s="35">
        <f>'Comps Data'!G6</f>
        <v>29.434026100000001</v>
      </c>
      <c r="J7" s="35">
        <f>'Comps Data'!H6</f>
        <v>337078.46689719998</v>
      </c>
      <c r="K7" s="35">
        <f>'Comps Data'!I6</f>
        <v>26113.009985522891</v>
      </c>
      <c r="L7" s="35">
        <f>'Comps Data'!J6</f>
        <v>3811.6224307533148</v>
      </c>
      <c r="M7" s="19">
        <f t="shared" ref="M7:M12" si="0">J7+K7-L7</f>
        <v>359379.85445196956</v>
      </c>
      <c r="N7" s="35">
        <f>'Comps Data'!K6</f>
        <v>88830.511558527112</v>
      </c>
      <c r="O7" s="35">
        <f>'Comps Data'!L6</f>
        <v>16522.795491048462</v>
      </c>
      <c r="P7" s="35">
        <f>'Comps Data'!M6</f>
        <v>7937.9277005569193</v>
      </c>
      <c r="Q7" s="74">
        <f>'Comps Data'!N6</f>
        <v>0.23731000000000002</v>
      </c>
      <c r="R7" s="71">
        <f t="shared" ref="R7:R12" si="1">M7/N7</f>
        <v>4.0456803427861336</v>
      </c>
      <c r="S7" s="71">
        <f t="shared" ref="S7:S12" si="2">M7/O7</f>
        <v>21.750547880754826</v>
      </c>
      <c r="T7" s="71">
        <f t="shared" ref="T7:T12" si="3">J7/P7</f>
        <v>42.464290380668345</v>
      </c>
    </row>
    <row r="8" spans="1:20" x14ac:dyDescent="0.3">
      <c r="D8" t="str">
        <f>'Comps Data'!D7</f>
        <v>Ambuja Cements Limited</v>
      </c>
      <c r="E8" s="57"/>
      <c r="F8" t="str">
        <f>'Comps Data'!E7</f>
        <v>500425</v>
      </c>
      <c r="H8" s="35">
        <f>'Comps Data'!F7</f>
        <v>441.75</v>
      </c>
      <c r="I8" s="35">
        <f>'Comps Data'!G7</f>
        <v>246.7865894</v>
      </c>
      <c r="J8" s="35">
        <f>'Comps Data'!H7</f>
        <v>109017.97586745</v>
      </c>
      <c r="K8" s="35">
        <f>'Comps Data'!I7</f>
        <v>1315.9802733842325</v>
      </c>
      <c r="L8" s="35">
        <f>'Comps Data'!J7</f>
        <v>474.83077208019506</v>
      </c>
      <c r="M8" s="19">
        <f t="shared" si="0"/>
        <v>109859.12536875404</v>
      </c>
      <c r="N8" s="35">
        <f>'Comps Data'!K7</f>
        <v>40833.45764850593</v>
      </c>
      <c r="O8" s="35">
        <f>'Comps Data'!L7</f>
        <v>6510.1913254408582</v>
      </c>
      <c r="P8" s="35">
        <f>'Comps Data'!M7</f>
        <v>3826.0175180577157</v>
      </c>
      <c r="Q8" s="77">
        <f>'Comps Data'!N7</f>
        <v>-0.13039600000000001</v>
      </c>
      <c r="R8" s="71">
        <f t="shared" si="1"/>
        <v>2.690419369195244</v>
      </c>
      <c r="S8" s="71">
        <f t="shared" si="2"/>
        <v>16.874945739219822</v>
      </c>
      <c r="T8" s="71">
        <f t="shared" si="3"/>
        <v>28.493851727786435</v>
      </c>
    </row>
    <row r="9" spans="1:20" x14ac:dyDescent="0.3">
      <c r="D9" t="str">
        <f>'Comps Data'!D8</f>
        <v>Dalmia Bharat Limited</v>
      </c>
      <c r="E9" s="57"/>
      <c r="F9" t="str">
        <f>'Comps Data'!E8</f>
        <v>DALBHARAT</v>
      </c>
      <c r="H9" s="35">
        <f>'Comps Data'!F8</f>
        <v>1945.4999999999998</v>
      </c>
      <c r="I9" s="35">
        <f>'Comps Data'!G8</f>
        <v>18.7531283</v>
      </c>
      <c r="J9" s="35">
        <f>'Comps Data'!H8</f>
        <v>36484.211107649993</v>
      </c>
      <c r="K9" s="35">
        <f>'Comps Data'!I8</f>
        <v>7334.2453578817704</v>
      </c>
      <c r="L9" s="35">
        <f>'Comps Data'!J8</f>
        <v>5212.264462691126</v>
      </c>
      <c r="M9" s="19">
        <f t="shared" si="0"/>
        <v>38606.192002840638</v>
      </c>
      <c r="N9" s="35">
        <f>'Comps Data'!K8</f>
        <v>15171.800980395183</v>
      </c>
      <c r="O9" s="35">
        <f>'Comps Data'!L8</f>
        <v>3050.9300819777027</v>
      </c>
      <c r="P9" s="35">
        <f>'Comps Data'!M8</f>
        <v>1228.2427261736675</v>
      </c>
      <c r="Q9" s="74">
        <f>'Comps Data'!N8</f>
        <v>0.18686499999999998</v>
      </c>
      <c r="R9" s="71">
        <f t="shared" si="1"/>
        <v>2.5446017946535875</v>
      </c>
      <c r="S9" s="71">
        <f t="shared" si="2"/>
        <v>12.653909124595529</v>
      </c>
      <c r="T9" s="71">
        <f t="shared" si="3"/>
        <v>29.704398267685164</v>
      </c>
    </row>
    <row r="10" spans="1:20" x14ac:dyDescent="0.3">
      <c r="D10" t="str">
        <f>'Comps Data'!D9</f>
        <v>ACC Limited</v>
      </c>
      <c r="E10" s="137"/>
      <c r="F10" t="str">
        <f>'Comps Data'!E9</f>
        <v>ACC</v>
      </c>
      <c r="H10" s="35">
        <f>'Comps Data'!F9</f>
        <v>1396.2</v>
      </c>
      <c r="I10" s="35">
        <f>'Comps Data'!G9</f>
        <v>18.813404900000002</v>
      </c>
      <c r="J10" s="35">
        <f>'Comps Data'!H9</f>
        <v>26267.275921380002</v>
      </c>
      <c r="K10" s="35">
        <f>'Comps Data'!I9</f>
        <v>502.73030742206248</v>
      </c>
      <c r="L10" s="35">
        <f>'Comps Data'!J9</f>
        <v>302.80429595078255</v>
      </c>
      <c r="M10" s="19">
        <f t="shared" si="0"/>
        <v>26467.20193285128</v>
      </c>
      <c r="N10" s="35">
        <f>'Comps Data'!K9</f>
        <v>25654.987290469486</v>
      </c>
      <c r="O10" s="35">
        <f>'Comps Data'!L9</f>
        <v>3060.2584063577901</v>
      </c>
      <c r="P10" s="35">
        <f>'Comps Data'!M9</f>
        <v>2744.2318620591204</v>
      </c>
      <c r="Q10" s="74">
        <f>'Comps Data'!N9</f>
        <v>6.8950000000000001E-3</v>
      </c>
      <c r="R10" s="71">
        <f t="shared" si="1"/>
        <v>1.0316591325182032</v>
      </c>
      <c r="S10" s="71">
        <f t="shared" si="2"/>
        <v>8.6486820452366953</v>
      </c>
      <c r="T10" s="71">
        <f t="shared" si="3"/>
        <v>9.5718136228002564</v>
      </c>
    </row>
    <row r="11" spans="1:20" x14ac:dyDescent="0.3">
      <c r="D11" t="str">
        <f>'Comps Data'!D10</f>
        <v>J.K. Cement Limited</v>
      </c>
      <c r="E11" s="57"/>
      <c r="F11" t="str">
        <f>'Comps Data'!E10</f>
        <v>532644</v>
      </c>
      <c r="H11" s="35">
        <f>'Comps Data'!F10</f>
        <v>5487</v>
      </c>
      <c r="I11" s="35">
        <f>'Comps Data'!G10</f>
        <v>7.7303398000000003</v>
      </c>
      <c r="J11" s="35">
        <f>'Comps Data'!H10</f>
        <v>42416.374482600004</v>
      </c>
      <c r="K11" s="35">
        <f>'Comps Data'!I10</f>
        <v>6741.6959176465125</v>
      </c>
      <c r="L11" s="35">
        <f>'Comps Data'!J10</f>
        <v>1458.0463227167875</v>
      </c>
      <c r="M11" s="19">
        <f t="shared" si="0"/>
        <v>47700.024077529728</v>
      </c>
      <c r="N11" s="35">
        <f>'Comps Data'!K10</f>
        <v>13894.066078618129</v>
      </c>
      <c r="O11" s="35">
        <f>'Comps Data'!L10</f>
        <v>2520.6342114921431</v>
      </c>
      <c r="P11" s="35">
        <f>'Comps Data'!M10</f>
        <v>1056.2680319379674</v>
      </c>
      <c r="Q11" s="74">
        <f>'Comps Data'!N10</f>
        <v>0.33663699999999996</v>
      </c>
      <c r="R11" s="71">
        <f t="shared" si="1"/>
        <v>3.4331220110530709</v>
      </c>
      <c r="S11" s="71">
        <f t="shared" si="2"/>
        <v>18.923818402549049</v>
      </c>
      <c r="T11" s="71">
        <f t="shared" si="3"/>
        <v>40.156828759436543</v>
      </c>
    </row>
    <row r="12" spans="1:20" x14ac:dyDescent="0.3">
      <c r="D12" t="str">
        <f>'Comps Data'!D11</f>
        <v>The Ramco Cements Limited</v>
      </c>
      <c r="E12" s="57"/>
      <c r="F12" t="str">
        <f>'Comps Data'!E11</f>
        <v>RAMCOCEM</v>
      </c>
      <c r="H12" s="35">
        <f>'Comps Data'!F11</f>
        <v>984.5</v>
      </c>
      <c r="I12" s="35">
        <f>'Comps Data'!G11</f>
        <v>23.630562000000001</v>
      </c>
      <c r="J12" s="35">
        <f>'Comps Data'!H11</f>
        <v>23264.288289</v>
      </c>
      <c r="K12" s="35">
        <f>'Comps Data'!I11</f>
        <v>4866.5234486120407</v>
      </c>
      <c r="L12" s="35">
        <f>'Comps Data'!J11</f>
        <v>129.783626071935</v>
      </c>
      <c r="M12" s="19">
        <f t="shared" si="0"/>
        <v>28001.028111540109</v>
      </c>
      <c r="N12" s="35">
        <f>'Comps Data'!K11</f>
        <v>9129.7063243523553</v>
      </c>
      <c r="O12" s="35">
        <f>'Comps Data'!L11</f>
        <v>1435.7960756674227</v>
      </c>
      <c r="P12" s="35">
        <f>'Comps Data'!M11</f>
        <v>595.86342560332253</v>
      </c>
      <c r="Q12" s="74">
        <f>'Comps Data'!N11</f>
        <v>0.23248100000000002</v>
      </c>
      <c r="R12" s="71">
        <f t="shared" si="1"/>
        <v>3.0670239673373558</v>
      </c>
      <c r="S12" s="71">
        <f t="shared" si="2"/>
        <v>19.50209266209616</v>
      </c>
      <c r="T12" s="71">
        <f t="shared" si="3"/>
        <v>39.042987519236455</v>
      </c>
    </row>
    <row r="13" spans="1:20" ht="15" thickBot="1" x14ac:dyDescent="0.35">
      <c r="M13" s="26"/>
    </row>
    <row r="14" spans="1:20" ht="16.2" thickTop="1" x14ac:dyDescent="0.3">
      <c r="D14" s="4" t="s">
        <v>313</v>
      </c>
      <c r="E14" s="4"/>
      <c r="F14" s="4"/>
      <c r="G14" s="4"/>
      <c r="H14" s="4"/>
      <c r="I14" s="4"/>
      <c r="J14" s="4"/>
      <c r="K14" s="4"/>
      <c r="L14" s="4"/>
      <c r="M14" s="4"/>
      <c r="N14" s="4"/>
      <c r="O14" s="4"/>
      <c r="P14" s="4"/>
      <c r="Q14" s="4"/>
      <c r="R14" s="72">
        <f>AVERAGE(R7:R12)</f>
        <v>2.8020844362572661</v>
      </c>
      <c r="S14" s="72">
        <f>AVERAGE(S7:S12)</f>
        <v>16.392332642408679</v>
      </c>
      <c r="T14" s="72">
        <f t="shared" ref="T14" si="4">AVERAGE(T7:T12)</f>
        <v>31.572361712935532</v>
      </c>
    </row>
    <row r="15" spans="1:20" ht="15.6" x14ac:dyDescent="0.3">
      <c r="D15" s="4" t="s">
        <v>314</v>
      </c>
      <c r="E15" s="4"/>
      <c r="F15" s="4"/>
      <c r="G15" s="4"/>
      <c r="H15" s="4"/>
      <c r="I15" s="4"/>
      <c r="J15" s="4"/>
      <c r="K15" s="4"/>
      <c r="L15" s="4"/>
      <c r="M15" s="4"/>
      <c r="N15" s="4"/>
      <c r="O15" s="4"/>
      <c r="P15" s="4"/>
      <c r="Q15" s="4"/>
      <c r="R15" s="72">
        <f>MEDIAN(R7:R12)</f>
        <v>2.8787216682662997</v>
      </c>
      <c r="S15" s="72">
        <f t="shared" ref="S15:T15" si="5">MEDIAN(S7:S12)</f>
        <v>17.899382070884435</v>
      </c>
      <c r="T15" s="72">
        <f t="shared" si="5"/>
        <v>34.373692893460813</v>
      </c>
    </row>
    <row r="17" spans="4:20" x14ac:dyDescent="0.3">
      <c r="D17" t="str">
        <f>'Comps Data'!D5</f>
        <v>Shree Cement Limited</v>
      </c>
      <c r="F17" t="str">
        <f>'Comps Data'!E5</f>
        <v>SHREECEM</v>
      </c>
      <c r="H17" s="35">
        <f>'Comps Data'!F5</f>
        <v>24890</v>
      </c>
      <c r="I17" s="35">
        <f>'Comps Data'!G5</f>
        <v>3.6081420999999998</v>
      </c>
      <c r="J17" s="35">
        <f>'Comps Data'!H5</f>
        <v>89806.656868999999</v>
      </c>
      <c r="K17" s="35">
        <f>'Comps Data'!I5</f>
        <v>2218.2519309964255</v>
      </c>
      <c r="L17" s="35">
        <f>'Comps Data'!J5</f>
        <v>7853.7526824993183</v>
      </c>
      <c r="M17" s="19">
        <f>J17+K17-L17</f>
        <v>84171.156117497099</v>
      </c>
      <c r="N17" s="35">
        <f>'Comps Data'!K5</f>
        <v>21100.184803111995</v>
      </c>
      <c r="O17" s="35">
        <f>'Comps Data'!L5</f>
        <v>5699.4630958303351</v>
      </c>
      <c r="P17" s="35">
        <f>'Comps Data'!M5</f>
        <v>1856.0238876315677</v>
      </c>
      <c r="Q17" s="74">
        <f>'Comps Data'!N5</f>
        <v>0.24651100000000001</v>
      </c>
      <c r="R17" s="71">
        <f>M17/N17</f>
        <v>3.9891193798967572</v>
      </c>
      <c r="S17" s="71">
        <f>M17/O17</f>
        <v>14.768260571609947</v>
      </c>
      <c r="T17" s="71">
        <f>J17/P17</f>
        <v>48.386584605654157</v>
      </c>
    </row>
    <row r="19" spans="4:20" ht="15.6" x14ac:dyDescent="0.3">
      <c r="D19" s="4" t="s">
        <v>315</v>
      </c>
      <c r="E19" s="4"/>
      <c r="F19" s="4" t="s">
        <v>316</v>
      </c>
      <c r="G19" s="4"/>
      <c r="H19" s="4" t="s">
        <v>318</v>
      </c>
      <c r="I19" s="4" t="s">
        <v>319</v>
      </c>
      <c r="J19" s="4" t="s">
        <v>320</v>
      </c>
      <c r="K19" s="4" t="s">
        <v>321</v>
      </c>
      <c r="L19" s="4" t="s">
        <v>269</v>
      </c>
      <c r="M19" s="4"/>
    </row>
    <row r="20" spans="4:20" x14ac:dyDescent="0.3">
      <c r="D20" t="s">
        <v>297</v>
      </c>
      <c r="F20" s="71">
        <f>R14</f>
        <v>2.8020844362572661</v>
      </c>
      <c r="H20" s="19">
        <f>F20*N17</f>
        <v>59124.499438952211</v>
      </c>
      <c r="I20" s="19">
        <f>K17-L17</f>
        <v>-5635.5007515028929</v>
      </c>
      <c r="J20" s="19">
        <f>SUM(H20:I20)</f>
        <v>53488.998687449319</v>
      </c>
      <c r="K20" s="19">
        <f>I17</f>
        <v>3.6081420999999998</v>
      </c>
      <c r="L20" s="76">
        <f>J20/K20</f>
        <v>14824.526641411745</v>
      </c>
    </row>
    <row r="21" spans="4:20" x14ac:dyDescent="0.3">
      <c r="D21" t="s">
        <v>278</v>
      </c>
      <c r="F21" s="71">
        <f>S14</f>
        <v>16.392332642408679</v>
      </c>
      <c r="H21" s="19">
        <f>F21*O17</f>
        <v>93427.494949983229</v>
      </c>
      <c r="I21" s="19">
        <f>I20</f>
        <v>-5635.5007515028929</v>
      </c>
      <c r="J21" s="19">
        <f>SUM(H21:I21)</f>
        <v>87791.99419848033</v>
      </c>
      <c r="K21" s="19">
        <f>K20</f>
        <v>3.6081420999999998</v>
      </c>
      <c r="L21" s="76">
        <f>J21/K21</f>
        <v>24331.634332938367</v>
      </c>
    </row>
    <row r="22" spans="4:20" x14ac:dyDescent="0.3">
      <c r="D22" t="s">
        <v>298</v>
      </c>
      <c r="F22" s="71">
        <f>T14</f>
        <v>31.572361712935532</v>
      </c>
      <c r="H22" s="19">
        <f>SUM(I22:J22)</f>
        <v>52963.556776649777</v>
      </c>
      <c r="I22" s="19">
        <f>I21</f>
        <v>-5635.5007515028929</v>
      </c>
      <c r="J22" s="19">
        <f>F22*P17</f>
        <v>58599.057528152669</v>
      </c>
      <c r="K22" s="19">
        <f>K21</f>
        <v>3.6081420999999998</v>
      </c>
      <c r="L22" s="76">
        <f>J22/K22</f>
        <v>16240.784288443814</v>
      </c>
    </row>
    <row r="25" spans="4:20" x14ac:dyDescent="0.3">
      <c r="D25" s="134" t="s">
        <v>504</v>
      </c>
    </row>
  </sheetData>
  <mergeCells count="3">
    <mergeCell ref="R4:T4"/>
    <mergeCell ref="F4:L4"/>
    <mergeCell ref="M4:Q4"/>
  </mergeCells>
  <hyperlinks>
    <hyperlink ref="D25" location="Cover!A1" display="Back to Cover" xr:uid="{9DE51985-AE40-4447-A51B-9B49D5365313}"/>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EE9C-2450-4D37-8C4B-89C266F52F91}">
  <dimension ref="A1:W38"/>
  <sheetViews>
    <sheetView zoomScale="83" workbookViewId="0">
      <pane ySplit="2" topLeftCell="A3" activePane="bottomLeft" state="frozen"/>
      <selection pane="bottomLeft"/>
    </sheetView>
  </sheetViews>
  <sheetFormatPr defaultColWidth="11.77734375" defaultRowHeight="14.4" x14ac:dyDescent="0.3"/>
  <cols>
    <col min="1" max="3" width="1.33203125" customWidth="1"/>
    <col min="4" max="4" width="40.77734375" customWidth="1"/>
    <col min="5" max="6" width="12.77734375" customWidth="1"/>
    <col min="7" max="7" width="2.77734375" customWidth="1"/>
    <col min="8" max="8" width="10.6640625" bestFit="1" customWidth="1"/>
    <col min="16" max="16" width="11.77734375" customWidth="1"/>
    <col min="19" max="19" width="11.77734375" customWidth="1"/>
    <col min="22" max="22" width="11.44140625" customWidth="1"/>
  </cols>
  <sheetData>
    <row r="1" spans="1:23" ht="32.4" x14ac:dyDescent="0.6">
      <c r="A1" s="1" t="str">
        <f>Schedules!A1</f>
        <v>Shree Cement Ltd.</v>
      </c>
      <c r="B1" s="2"/>
      <c r="C1" s="2"/>
      <c r="D1" s="2"/>
      <c r="E1" s="3"/>
      <c r="F1" s="3"/>
      <c r="G1" s="3"/>
      <c r="H1" s="160" t="s">
        <v>0</v>
      </c>
      <c r="I1" s="160"/>
      <c r="J1" s="160"/>
      <c r="K1" s="160"/>
      <c r="L1" s="161"/>
      <c r="M1" s="160" t="s">
        <v>149</v>
      </c>
      <c r="N1" s="160"/>
      <c r="O1" s="160"/>
      <c r="P1" s="160"/>
      <c r="Q1" s="160"/>
      <c r="R1" s="160"/>
      <c r="S1" s="160"/>
      <c r="T1" s="160"/>
      <c r="U1" s="160"/>
      <c r="V1" s="160"/>
      <c r="W1" s="7"/>
    </row>
    <row r="2" spans="1:23" ht="15.6" x14ac:dyDescent="0.3">
      <c r="A2" s="4" t="s">
        <v>197</v>
      </c>
      <c r="B2" s="4"/>
      <c r="C2" s="4"/>
      <c r="D2" s="4"/>
      <c r="E2" s="5"/>
      <c r="F2" s="5"/>
      <c r="G2" s="5"/>
      <c r="H2" s="6">
        <f>'Financial Statements'!H2</f>
        <v>2021</v>
      </c>
      <c r="I2" s="6">
        <f>'Financial Statements'!I2</f>
        <v>2022</v>
      </c>
      <c r="J2" s="6">
        <f>'Financial Statements'!J2</f>
        <v>2023</v>
      </c>
      <c r="K2" s="6">
        <f>'Financial Statements'!K2</f>
        <v>2024</v>
      </c>
      <c r="L2" s="27">
        <f>'Financial Statements'!L2</f>
        <v>2025</v>
      </c>
      <c r="M2" s="7">
        <f>'Financial Statements'!M2</f>
        <v>2026</v>
      </c>
      <c r="N2" s="7">
        <f>'Financial Statements'!N2</f>
        <v>2027</v>
      </c>
      <c r="O2" s="7">
        <f>'Financial Statements'!O2</f>
        <v>2028</v>
      </c>
      <c r="P2" s="7">
        <f>'Financial Statements'!P2</f>
        <v>2029</v>
      </c>
      <c r="Q2" s="7">
        <f>'Financial Statements'!Q2</f>
        <v>2030</v>
      </c>
      <c r="R2" s="7">
        <f>'Financial Statements'!R2</f>
        <v>2031</v>
      </c>
      <c r="S2" s="7">
        <f>'Financial Statements'!S2</f>
        <v>2032</v>
      </c>
      <c r="T2" s="7">
        <f>'Financial Statements'!T2</f>
        <v>2033</v>
      </c>
      <c r="U2" s="7">
        <f>'Financial Statements'!U2</f>
        <v>2034</v>
      </c>
      <c r="V2" s="7">
        <f>'Financial Statements'!V2</f>
        <v>2035</v>
      </c>
      <c r="W2" s="7" t="s">
        <v>500</v>
      </c>
    </row>
    <row r="5" spans="1:23" s="10" customFormat="1" x14ac:dyDescent="0.3">
      <c r="A5" s="41" t="s">
        <v>217</v>
      </c>
      <c r="B5" s="41"/>
      <c r="C5" s="41"/>
      <c r="D5" s="41"/>
      <c r="E5" s="41"/>
      <c r="F5" s="41"/>
      <c r="G5" s="41"/>
      <c r="H5" s="41"/>
      <c r="I5" s="41"/>
      <c r="J5" s="41"/>
      <c r="K5" s="41"/>
      <c r="L5" s="41"/>
      <c r="M5" s="41"/>
      <c r="N5" s="41"/>
      <c r="O5" s="41"/>
      <c r="P5" s="41"/>
      <c r="Q5" s="41"/>
      <c r="R5" s="41"/>
      <c r="S5" s="41"/>
      <c r="T5" s="41"/>
      <c r="U5" s="41"/>
      <c r="V5" s="41"/>
    </row>
    <row r="6" spans="1:23" x14ac:dyDescent="0.3">
      <c r="D6" t="s">
        <v>211</v>
      </c>
      <c r="F6" t="s">
        <v>206</v>
      </c>
      <c r="H6" s="40">
        <f>'Financial Statements'!H27/'Financial Statements'!H25</f>
        <v>0.68410894875060568</v>
      </c>
      <c r="I6" s="40">
        <f>'Financial Statements'!I27/'Financial Statements'!I25</f>
        <v>0.63434904154418914</v>
      </c>
      <c r="J6" s="40">
        <f>'Financial Statements'!J27/'Financial Statements'!J25</f>
        <v>0.5230723384566609</v>
      </c>
      <c r="K6" s="40">
        <f>'Financial Statements'!K27/'Financial Statements'!K25</f>
        <v>0.5537924308217097</v>
      </c>
      <c r="L6" s="40">
        <f>'Financial Statements'!L27/'Financial Statements'!L25</f>
        <v>0.58552816158209142</v>
      </c>
      <c r="M6" s="40">
        <f>'Financial Statements'!M27/'Financial Statements'!M25</f>
        <v>0.59617018423105139</v>
      </c>
      <c r="N6" s="40">
        <f>'Financial Statements'!N27/'Financial Statements'!N25</f>
        <v>0.59617018423105139</v>
      </c>
      <c r="O6" s="40">
        <f>'Financial Statements'!O27/'Financial Statements'!O25</f>
        <v>0.59617018423105128</v>
      </c>
      <c r="P6" s="40">
        <f>'Financial Statements'!P27/'Financial Statements'!P25</f>
        <v>0.59617018423105139</v>
      </c>
      <c r="Q6" s="40">
        <f>'Financial Statements'!Q27/'Financial Statements'!Q25</f>
        <v>0.59617018423105128</v>
      </c>
      <c r="R6" s="40">
        <f>'Financial Statements'!R27/'Financial Statements'!R25</f>
        <v>0.59617018423105139</v>
      </c>
      <c r="S6" s="40">
        <f>'Financial Statements'!S27/'Financial Statements'!S25</f>
        <v>0.59617018423105139</v>
      </c>
      <c r="T6" s="40">
        <f>'Financial Statements'!T27/'Financial Statements'!T25</f>
        <v>0.59617018423105139</v>
      </c>
      <c r="U6" s="40">
        <f>'Financial Statements'!U27/'Financial Statements'!U25</f>
        <v>0.59617018423105139</v>
      </c>
      <c r="V6" s="40">
        <f>'Financial Statements'!V27/'Financial Statements'!V25</f>
        <v>0.59617018423105139</v>
      </c>
    </row>
    <row r="7" spans="1:23" x14ac:dyDescent="0.3">
      <c r="D7" t="s">
        <v>212</v>
      </c>
      <c r="F7" t="s">
        <v>206</v>
      </c>
      <c r="H7" s="40">
        <f>'Financial Statements'!H32/'Financial Statements'!H25</f>
        <v>0.30084949818470386</v>
      </c>
      <c r="I7" s="40">
        <f>'Financial Statements'!I32/'Financial Statements'!I25</f>
        <v>0.24703788785280853</v>
      </c>
      <c r="J7" s="40">
        <f>'Financial Statements'!J32/'Financial Statements'!J25</f>
        <v>0.16577668013082889</v>
      </c>
      <c r="K7" s="40">
        <f>'Financial Statements'!K32/'Financial Statements'!K25</f>
        <v>0.22136758839039783</v>
      </c>
      <c r="L7" s="40">
        <f>'Financial Statements'!L32/'Financial Statements'!L25</f>
        <v>0.20401725265430443</v>
      </c>
      <c r="M7" s="40">
        <f>'Financial Statements'!M32/'Financial Statements'!M25</f>
        <v>0.22780978144260866</v>
      </c>
      <c r="N7" s="40">
        <f>'Financial Statements'!N32/'Financial Statements'!N25</f>
        <v>0.22780978144260872</v>
      </c>
      <c r="O7" s="40">
        <f>'Financial Statements'!O32/'Financial Statements'!O25</f>
        <v>0.22780978144260866</v>
      </c>
      <c r="P7" s="40">
        <f>'Financial Statements'!P32/'Financial Statements'!P25</f>
        <v>0.22780978144260866</v>
      </c>
      <c r="Q7" s="40">
        <f>'Financial Statements'!Q32/'Financial Statements'!Q25</f>
        <v>0.22780978144260863</v>
      </c>
      <c r="R7" s="40">
        <f>'Financial Statements'!R32/'Financial Statements'!R25</f>
        <v>0.22780978144260872</v>
      </c>
      <c r="S7" s="40">
        <f>'Financial Statements'!S32/'Financial Statements'!S25</f>
        <v>0.22780978144260866</v>
      </c>
      <c r="T7" s="40">
        <f>'Financial Statements'!T32/'Financial Statements'!T25</f>
        <v>0.22780978144260869</v>
      </c>
      <c r="U7" s="40">
        <f>'Financial Statements'!U32/'Financial Statements'!U25</f>
        <v>0.22780978144260869</v>
      </c>
      <c r="V7" s="40">
        <f>'Financial Statements'!V32/'Financial Statements'!V25</f>
        <v>0.22780978144260866</v>
      </c>
    </row>
    <row r="8" spans="1:23" x14ac:dyDescent="0.3">
      <c r="D8" t="s">
        <v>213</v>
      </c>
      <c r="F8" t="s">
        <v>206</v>
      </c>
      <c r="H8" s="40">
        <f>'Financial Statements'!H34/'Financial Statements'!H25</f>
        <v>0.20775499879422743</v>
      </c>
      <c r="I8" s="40">
        <f>'Financial Statements'!I34/'Financial Statements'!I25</f>
        <v>0.17069454401061729</v>
      </c>
      <c r="J8" s="40">
        <f>'Financial Statements'!J34/'Financial Statements'!J25</f>
        <v>7.2754088681981605E-2</v>
      </c>
      <c r="K8" s="40">
        <f>'Financial Statements'!K34/'Financial Statements'!K25</f>
        <v>0.1283790274360658</v>
      </c>
      <c r="L8" s="40">
        <f>'Financial Statements'!L34/'Financial Statements'!L25</f>
        <v>4.8086821280901262E-2</v>
      </c>
      <c r="M8" s="40">
        <f>'Financial Statements'!M34/'Financial Statements'!M25</f>
        <v>5.5515946349174297E-2</v>
      </c>
      <c r="N8" s="40">
        <f>'Financial Statements'!N34/'Financial Statements'!N25</f>
        <v>6.9660125368704487E-2</v>
      </c>
      <c r="O8" s="40">
        <f>'Financial Statements'!O34/'Financial Statements'!O25</f>
        <v>8.1089613868769284E-2</v>
      </c>
      <c r="P8" s="40">
        <f>'Financial Statements'!P34/'Financial Statements'!P25</f>
        <v>8.576189018190529E-2</v>
      </c>
      <c r="Q8" s="40">
        <f>'Financial Statements'!Q34/'Financial Statements'!Q25</f>
        <v>9.5270727825709597E-2</v>
      </c>
      <c r="R8" s="40">
        <f>'Financial Statements'!R34/'Financial Statements'!R25</f>
        <v>0.10303289771725392</v>
      </c>
      <c r="S8" s="40">
        <f>'Financial Statements'!S34/'Financial Statements'!S25</f>
        <v>0.10554062231122828</v>
      </c>
      <c r="T8" s="40">
        <f>'Financial Statements'!T34/'Financial Statements'!T25</f>
        <v>0.11235806209601767</v>
      </c>
      <c r="U8" s="40">
        <f>'Financial Statements'!U34/'Financial Statements'!U25</f>
        <v>0.11792693380179714</v>
      </c>
      <c r="V8" s="40">
        <f>'Financial Statements'!V34/'Financial Statements'!V25</f>
        <v>0.11916753341372816</v>
      </c>
    </row>
    <row r="9" spans="1:23" x14ac:dyDescent="0.3">
      <c r="D9" t="s">
        <v>214</v>
      </c>
      <c r="F9" t="s">
        <v>206</v>
      </c>
      <c r="H9" s="40">
        <f>'Financial Statements'!H37/'Financial Statements'!H25</f>
        <v>0.22154358075395097</v>
      </c>
      <c r="I9" s="40">
        <f>'Financial Statements'!I37/'Financial Statements'!I25</f>
        <v>0.19266520804074208</v>
      </c>
      <c r="J9" s="40">
        <f>'Financial Statements'!J37/'Financial Statements'!J25</f>
        <v>8.3744810901434194E-2</v>
      </c>
      <c r="K9" s="40">
        <f>'Financial Statements'!K37/'Financial Statements'!K25</f>
        <v>0.1450318078005077</v>
      </c>
      <c r="L9" s="40">
        <f>'Financial Statements'!L37/'Financial Statements'!L25</f>
        <v>6.8014394152725574E-2</v>
      </c>
      <c r="M9" s="40">
        <f>'Financial Statements'!M37/'Financial Statements'!M25</f>
        <v>8.0832540427299288E-2</v>
      </c>
      <c r="N9" s="40">
        <f>'Financial Statements'!N37/'Financial Statements'!N25</f>
        <v>9.5339667643137116E-2</v>
      </c>
      <c r="O9" s="40">
        <f>'Financial Statements'!O37/'Financial Statements'!O25</f>
        <v>0.10708763128681752</v>
      </c>
      <c r="P9" s="40">
        <f>'Financial Statements'!P37/'Financial Statements'!P25</f>
        <v>0.11204048128177868</v>
      </c>
      <c r="Q9" s="40">
        <f>'Financial Statements'!Q37/'Financial Statements'!Q25</f>
        <v>0.12179743334937319</v>
      </c>
      <c r="R9" s="40">
        <f>'Financial Statements'!R37/'Financial Statements'!R25</f>
        <v>0.12977978948036534</v>
      </c>
      <c r="S9" s="40">
        <f>'Financial Statements'!S37/'Financial Statements'!S25</f>
        <v>0.13248356399888311</v>
      </c>
      <c r="T9" s="40">
        <f>'Financial Statements'!T37/'Financial Statements'!T25</f>
        <v>0.13947610628845125</v>
      </c>
      <c r="U9" s="40">
        <f>'Financial Statements'!U37/'Financial Statements'!U25</f>
        <v>0.14520182755901134</v>
      </c>
      <c r="V9" s="40">
        <f>'Financial Statements'!V37/'Financial Statements'!V25</f>
        <v>0.14658331084161816</v>
      </c>
    </row>
    <row r="10" spans="1:23" x14ac:dyDescent="0.3">
      <c r="D10" t="s">
        <v>215</v>
      </c>
      <c r="F10" t="s">
        <v>206</v>
      </c>
      <c r="H10" s="40">
        <f>'Financial Statements'!H39/'Financial Statements'!H25</f>
        <v>0.16885168406248793</v>
      </c>
      <c r="I10" s="40">
        <f>'Financial Statements'!I39/'Financial Statements'!I25</f>
        <v>0.1556747832714617</v>
      </c>
      <c r="J10" s="40">
        <f>'Financial Statements'!J39/'Financial Statements'!J25</f>
        <v>7.1091000446440358E-2</v>
      </c>
      <c r="K10" s="40">
        <f>'Financial Statements'!K39/'Financial Statements'!K25</f>
        <v>0.11743694801948652</v>
      </c>
      <c r="L10" s="40">
        <f>'Financial Statements'!L39/'Financial Statements'!L25</f>
        <v>5.8279827183043219E-2</v>
      </c>
      <c r="M10" s="40">
        <f>'Financial Statements'!M39/'Financial Statements'!M25</f>
        <v>6.8859212287149862E-2</v>
      </c>
      <c r="N10" s="40">
        <f>'Financial Statements'!N39/'Financial Statements'!N25</f>
        <v>8.1217469832333924E-2</v>
      </c>
      <c r="O10" s="40">
        <f>'Financial Statements'!O39/'Financial Statements'!O25</f>
        <v>9.0689827029176912E-2</v>
      </c>
      <c r="P10" s="40">
        <f>'Financial Statements'!P39/'Financial Statements'!P25</f>
        <v>9.4884271373000789E-2</v>
      </c>
      <c r="Q10" s="40">
        <f>'Financial Statements'!Q39/'Financial Statements'!Q25</f>
        <v>0.10253820201206629</v>
      </c>
      <c r="R10" s="40">
        <f>'Financial Statements'!R39/'Financial Statements'!R25</f>
        <v>0.10925834728100715</v>
      </c>
      <c r="S10" s="40">
        <f>'Financial Statements'!S39/'Financial Statements'!S25</f>
        <v>0.11087216936320832</v>
      </c>
      <c r="T10" s="40">
        <f>'Financial Statements'!T39/'Financial Statements'!T25</f>
        <v>0.11672405249200861</v>
      </c>
      <c r="U10" s="40">
        <f>'Financial Statements'!U39/'Financial Statements'!U25</f>
        <v>0.12078975576950919</v>
      </c>
      <c r="V10" s="40">
        <f>'Financial Statements'!V39/'Financial Statements'!V25</f>
        <v>0.12193897703697511</v>
      </c>
    </row>
    <row r="12" spans="1:23" s="10" customFormat="1" x14ac:dyDescent="0.3">
      <c r="A12" s="41" t="s">
        <v>216</v>
      </c>
      <c r="B12" s="41"/>
      <c r="C12" s="41"/>
      <c r="D12" s="41"/>
      <c r="E12" s="41"/>
      <c r="F12" s="41"/>
      <c r="G12" s="41"/>
      <c r="H12" s="41"/>
      <c r="I12" s="41"/>
      <c r="J12" s="41"/>
      <c r="K12" s="41"/>
      <c r="L12" s="41"/>
      <c r="M12" s="41"/>
      <c r="N12" s="41"/>
      <c r="O12" s="41"/>
      <c r="P12" s="41"/>
      <c r="Q12" s="41"/>
      <c r="R12" s="41"/>
      <c r="S12" s="41"/>
      <c r="T12" s="41"/>
      <c r="U12" s="41"/>
      <c r="V12" s="41"/>
    </row>
    <row r="13" spans="1:23" x14ac:dyDescent="0.3">
      <c r="D13" t="s">
        <v>218</v>
      </c>
      <c r="F13" t="s">
        <v>221</v>
      </c>
      <c r="H13" s="42">
        <f>'Financial Statements'!H51/'Financial Statements'!H63</f>
        <v>2.2562770586630432</v>
      </c>
      <c r="I13" s="42">
        <f>'Financial Statements'!I51/'Financial Statements'!I63</f>
        <v>2.1480853114221956</v>
      </c>
      <c r="J13" s="42">
        <f>'Financial Statements'!J51/'Financial Statements'!J63</f>
        <v>1.8975810308126571</v>
      </c>
      <c r="K13" s="42">
        <f>'Financial Statements'!K51/'Financial Statements'!K63</f>
        <v>2.2925074291206511</v>
      </c>
      <c r="L13" s="42">
        <f>'Financial Statements'!L51/'Financial Statements'!L63</f>
        <v>2.1530982582860387</v>
      </c>
      <c r="M13" s="42">
        <f>'Financial Statements'!M51/'Financial Statements'!M63</f>
        <v>2.3993628291005402</v>
      </c>
      <c r="N13" s="42">
        <f>'Financial Statements'!N51/'Financial Statements'!N63</f>
        <v>2.6574172572251489</v>
      </c>
      <c r="O13" s="42">
        <f>'Financial Statements'!O51/'Financial Statements'!O63</f>
        <v>2.9451886635675071</v>
      </c>
      <c r="P13" s="42">
        <f>'Financial Statements'!P51/'Financial Statements'!P63</f>
        <v>3.2697628653861783</v>
      </c>
      <c r="Q13" s="42">
        <f>'Financial Statements'!Q51/'Financial Statements'!Q63</f>
        <v>3.6196854027749206</v>
      </c>
      <c r="R13" s="42">
        <f>'Financial Statements'!R51/'Financial Statements'!R63</f>
        <v>3.9964634560161603</v>
      </c>
      <c r="S13" s="42">
        <f>'Financial Statements'!S51/'Financial Statements'!S63</f>
        <v>4.4026308363726212</v>
      </c>
      <c r="T13" s="42">
        <f>'Financial Statements'!T51/'Financial Statements'!T63</f>
        <v>4.831761643339064</v>
      </c>
      <c r="U13" s="42">
        <f>'Financial Statements'!U51/'Financial Statements'!U63</f>
        <v>5.2804786482830774</v>
      </c>
      <c r="V13" s="42">
        <f>'Financial Statements'!V51/'Financial Statements'!V63</f>
        <v>5.756631099463922</v>
      </c>
    </row>
    <row r="14" spans="1:23" x14ac:dyDescent="0.3">
      <c r="D14" t="s">
        <v>219</v>
      </c>
      <c r="F14" t="s">
        <v>221</v>
      </c>
      <c r="H14" s="42">
        <f>('Financial Statements'!H51-'Financial Statements'!H48)/'Financial Statements'!H63</f>
        <v>1.7834562886330874</v>
      </c>
      <c r="I14" s="42">
        <f>('Financial Statements'!I51-'Financial Statements'!I48)/'Financial Statements'!I63</f>
        <v>1.5148382024751472</v>
      </c>
      <c r="J14" s="42">
        <f>('Financial Statements'!J51-'Financial Statements'!J48)/'Financial Statements'!J63</f>
        <v>1.3136428846503796</v>
      </c>
      <c r="K14" s="42">
        <f>('Financial Statements'!K51-'Financial Statements'!K48)/'Financial Statements'!K63</f>
        <v>1.6251405572732172</v>
      </c>
      <c r="L14" s="42">
        <f>('Financial Statements'!L51-'Financial Statements'!L48)/'Financial Statements'!L63</f>
        <v>1.7183564909534053</v>
      </c>
      <c r="M14" s="42">
        <f>('Financial Statements'!M51-'Financial Statements'!M48)/'Financial Statements'!M63</f>
        <v>1.8405522122206457</v>
      </c>
      <c r="N14" s="42">
        <f>('Financial Statements'!N51-'Financial Statements'!N48)/'Financial Statements'!N63</f>
        <v>2.0694004020623593</v>
      </c>
      <c r="O14" s="42">
        <f>('Financial Statements'!O51-'Financial Statements'!O48)/'Financial Statements'!O63</f>
        <v>2.3289087000678159</v>
      </c>
      <c r="P14" s="42">
        <f>('Financial Statements'!P51-'Financial Statements'!P48)/'Financial Statements'!P63</f>
        <v>2.6262326526725315</v>
      </c>
      <c r="Q14" s="42">
        <f>('Financial Statements'!Q51-'Financial Statements'!Q48)/'Financial Statements'!Q63</f>
        <v>2.9499679877485865</v>
      </c>
      <c r="R14" s="42">
        <f>('Financial Statements'!R51-'Financial Statements'!R48)/'Financial Statements'!R63</f>
        <v>3.3016547159030463</v>
      </c>
      <c r="S14" s="42">
        <f>('Financial Statements'!S51-'Financial Statements'!S48)/'Financial Statements'!S63</f>
        <v>3.6838443469324784</v>
      </c>
      <c r="T14" s="42">
        <f>('Financial Statements'!T51-'Financial Statements'!T48)/'Financial Statements'!T63</f>
        <v>4.0901157219272575</v>
      </c>
      <c r="U14" s="42">
        <f>('Financial Statements'!U51-'Financial Statements'!U48)/'Financial Statements'!U63</f>
        <v>4.5170854556150548</v>
      </c>
      <c r="V14" s="42">
        <f>('Financial Statements'!V51-'Financial Statements'!V48)/'Financial Statements'!V63</f>
        <v>4.9725876415344192</v>
      </c>
    </row>
    <row r="15" spans="1:23" x14ac:dyDescent="0.3">
      <c r="D15" t="s">
        <v>220</v>
      </c>
      <c r="F15" t="s">
        <v>207</v>
      </c>
      <c r="H15" s="38">
        <f>'Financial Statements'!H18+'Financial Statements'!H19-'Financial Statements'!H20</f>
        <v>89.249496963140871</v>
      </c>
      <c r="I15" s="38">
        <f>'Financial Statements'!I18+'Financial Statements'!I19-'Financial Statements'!I20</f>
        <v>126.02072110742071</v>
      </c>
      <c r="J15" s="38">
        <f>'Financial Statements'!J18+'Financial Statements'!J19-'Financial Statements'!J20</f>
        <v>91.804888160354679</v>
      </c>
      <c r="K15" s="38">
        <f>'Financial Statements'!K18+'Financial Statements'!K19-'Financial Statements'!K20</f>
        <v>116.86069043530443</v>
      </c>
      <c r="L15" s="38">
        <f>'Financial Statements'!L18+'Financial Statements'!L19-'Financial Statements'!L20</f>
        <v>75.970244885850306</v>
      </c>
      <c r="M15" s="38">
        <f>'Financial Statements'!M18+'Financial Statements'!M19-'Financial Statements'!M20</f>
        <v>99.981208310414161</v>
      </c>
      <c r="N15" s="38">
        <f>'Financial Statements'!N18+'Financial Statements'!N19-'Financial Statements'!N20</f>
        <v>99.981208310414161</v>
      </c>
      <c r="O15" s="38">
        <f>'Financial Statements'!O18+'Financial Statements'!O19-'Financial Statements'!O20</f>
        <v>99.981208310414161</v>
      </c>
      <c r="P15" s="38">
        <f>'Financial Statements'!P18+'Financial Statements'!P19-'Financial Statements'!P20</f>
        <v>99.981208310414161</v>
      </c>
      <c r="Q15" s="38">
        <f>'Financial Statements'!Q18+'Financial Statements'!Q19-'Financial Statements'!Q20</f>
        <v>99.981208310414161</v>
      </c>
      <c r="R15" s="38">
        <f>'Financial Statements'!R18+'Financial Statements'!R19-'Financial Statements'!R20</f>
        <v>99.981208310414161</v>
      </c>
      <c r="S15" s="38">
        <f>'Financial Statements'!S18+'Financial Statements'!S19-'Financial Statements'!S20</f>
        <v>99.981208310414161</v>
      </c>
      <c r="T15" s="38">
        <f>'Financial Statements'!T18+'Financial Statements'!T19-'Financial Statements'!T20</f>
        <v>99.981208310414161</v>
      </c>
      <c r="U15" s="38">
        <f>'Financial Statements'!U18+'Financial Statements'!U19-'Financial Statements'!U20</f>
        <v>99.981208310414161</v>
      </c>
      <c r="V15" s="38">
        <f>'Financial Statements'!V18+'Financial Statements'!V19-'Financial Statements'!V20</f>
        <v>99.981208310414161</v>
      </c>
    </row>
    <row r="17" spans="1:22" s="10" customFormat="1" x14ac:dyDescent="0.3">
      <c r="A17" s="41" t="s">
        <v>222</v>
      </c>
      <c r="B17" s="41"/>
      <c r="C17" s="41"/>
      <c r="D17" s="41"/>
      <c r="E17" s="41"/>
      <c r="F17" s="41"/>
      <c r="G17" s="41"/>
      <c r="H17" s="41"/>
      <c r="I17" s="41"/>
      <c r="J17" s="41"/>
      <c r="K17" s="41"/>
      <c r="L17" s="41"/>
      <c r="M17" s="41"/>
      <c r="N17" s="41"/>
      <c r="O17" s="41"/>
      <c r="P17" s="41"/>
      <c r="Q17" s="41"/>
      <c r="R17" s="41"/>
      <c r="S17" s="41"/>
      <c r="T17" s="41"/>
      <c r="U17" s="41"/>
      <c r="V17" s="41"/>
    </row>
    <row r="18" spans="1:22" x14ac:dyDescent="0.3">
      <c r="D18" s="9" t="s">
        <v>223</v>
      </c>
      <c r="F18" t="s">
        <v>221</v>
      </c>
      <c r="H18" s="43">
        <f>'Financial Statements'!H65/'Financial Statements'!H72</f>
        <v>0.14482175898414082</v>
      </c>
      <c r="I18" s="43">
        <f>'Financial Statements'!I65/'Financial Statements'!I72</f>
        <v>0.12194649799430476</v>
      </c>
      <c r="J18" s="43">
        <f>'Financial Statements'!J65/'Financial Statements'!J72</f>
        <v>0.14620151960679101</v>
      </c>
      <c r="K18" s="43">
        <f>'Financial Statements'!K65/'Financial Statements'!K72</f>
        <v>7.9966980503233365E-2</v>
      </c>
      <c r="L18" s="43">
        <f>'Financial Statements'!L65/'Financial Statements'!L72</f>
        <v>4.8571926036842294E-2</v>
      </c>
      <c r="M18" s="43">
        <f>'Financial Statements'!M65/'Financial Statements'!M72</f>
        <v>4.6080677668167307E-2</v>
      </c>
      <c r="N18" s="43">
        <f>'Financial Statements'!N65/'Financial Statements'!N72</f>
        <v>4.3278923251955807E-2</v>
      </c>
      <c r="O18" s="43">
        <f>'Financial Statements'!O65/'Financial Statements'!O72</f>
        <v>4.0359188103823475E-2</v>
      </c>
      <c r="P18" s="43">
        <f>'Financial Statements'!P65/'Financial Statements'!P72</f>
        <v>3.7546555618674149E-2</v>
      </c>
      <c r="Q18" s="43">
        <f>'Financial Statements'!Q65/'Financial Statements'!Q72</f>
        <v>3.4777291823007095E-2</v>
      </c>
      <c r="R18" s="43">
        <f>'Financial Statements'!R65/'Financial Statements'!R72</f>
        <v>3.2117891995195637E-2</v>
      </c>
      <c r="S18" s="43">
        <f>'Financial Statements'!S65/'Financial Statements'!S72</f>
        <v>2.9697886027717561E-2</v>
      </c>
      <c r="T18" s="43">
        <f>'Financial Statements'!T65/'Financial Statements'!T72</f>
        <v>2.7420829869213188E-2</v>
      </c>
      <c r="U18" s="43">
        <f>'Financial Statements'!U65/'Financial Statements'!U72</f>
        <v>2.5323519664097849E-2</v>
      </c>
      <c r="V18" s="43">
        <f>'Financial Statements'!V65/'Financial Statements'!V72</f>
        <v>2.3439533318019717E-2</v>
      </c>
    </row>
    <row r="19" spans="1:22" x14ac:dyDescent="0.3">
      <c r="D19" s="9" t="s">
        <v>224</v>
      </c>
      <c r="F19" t="s">
        <v>221</v>
      </c>
      <c r="H19" s="43">
        <f>'Financial Statements'!H58/'Financial Statements'!H72</f>
        <v>1.3971940735487332</v>
      </c>
      <c r="I19" s="43">
        <f>'Financial Statements'!I58/'Financial Statements'!I72</f>
        <v>1.3601660454471518</v>
      </c>
      <c r="J19" s="43">
        <f>'Financial Statements'!J58/'Financial Statements'!J72</f>
        <v>1.413037925779657</v>
      </c>
      <c r="K19" s="43">
        <f>'Financial Statements'!K58/'Financial Statements'!K72</f>
        <v>1.3502187131090686</v>
      </c>
      <c r="L19" s="43">
        <f>'Financial Statements'!L58/'Financial Statements'!L72</f>
        <v>1.3228754164200065</v>
      </c>
      <c r="M19" s="43">
        <f>'Financial Statements'!M58/'Financial Statements'!M72</f>
        <v>1.306282681596368</v>
      </c>
      <c r="N19" s="43">
        <f>'Financial Statements'!N58/'Financial Statements'!N72</f>
        <v>1.2916067203476584</v>
      </c>
      <c r="O19" s="43">
        <f>'Financial Statements'!O58/'Financial Statements'!O72</f>
        <v>1.2756161999584301</v>
      </c>
      <c r="P19" s="43">
        <f>'Financial Statements'!P58/'Financial Statements'!P72</f>
        <v>1.2598214374375849</v>
      </c>
      <c r="Q19" s="43">
        <f>'Financial Statements'!Q58/'Financial Statements'!Q72</f>
        <v>1.2437951205337507</v>
      </c>
      <c r="R19" s="43">
        <f>'Financial Statements'!R58/'Financial Statements'!R72</f>
        <v>1.2280162581960681</v>
      </c>
      <c r="S19" s="43">
        <f>'Financial Statements'!S58/'Financial Statements'!S72</f>
        <v>1.2134445673463481</v>
      </c>
      <c r="T19" s="43">
        <f>'Financial Statements'!T58/'Financial Statements'!T72</f>
        <v>1.1994439650204363</v>
      </c>
      <c r="U19" s="43">
        <f>'Financial Statements'!U58/'Financial Statements'!U72</f>
        <v>1.1863271593715101</v>
      </c>
      <c r="V19" s="43">
        <f>'Financial Statements'!V58/'Financial Statements'!V72</f>
        <v>1.1743962829251391</v>
      </c>
    </row>
    <row r="20" spans="1:22" x14ac:dyDescent="0.3">
      <c r="D20" s="9" t="s">
        <v>225</v>
      </c>
      <c r="F20" t="s">
        <v>221</v>
      </c>
      <c r="H20" s="43">
        <f>'Financial Statements'!H65/('Financial Statements'!H65+'Financial Statements'!H72)</f>
        <v>0.12650157795100661</v>
      </c>
      <c r="I20" s="43">
        <f>'Financial Statements'!I65/('Financial Statements'!I65+'Financial Statements'!I72)</f>
        <v>0.10869190127364146</v>
      </c>
      <c r="J20" s="43">
        <f>'Financial Statements'!J65/('Financial Statements'!J65+'Financial Statements'!J72)</f>
        <v>0.12755306733230123</v>
      </c>
      <c r="K20" s="43">
        <f>'Financial Statements'!K65/('Financial Statements'!K65+'Financial Statements'!K72)</f>
        <v>7.4045764312137635E-2</v>
      </c>
      <c r="L20" s="43">
        <f>'Financial Statements'!L65/('Financial Statements'!L65+'Financial Statements'!L72)</f>
        <v>4.6321978331447036E-2</v>
      </c>
      <c r="M20" s="43">
        <f>'Financial Statements'!M65/('Financial Statements'!M65+'Financial Statements'!M72)</f>
        <v>4.4050787527101995E-2</v>
      </c>
      <c r="N20" s="43">
        <f>'Financial Statements'!N65/('Financial Statements'!N65+'Financial Statements'!N72)</f>
        <v>4.1483559465625069E-2</v>
      </c>
      <c r="O20" s="43">
        <f>'Financial Statements'!O65/('Financial Statements'!O65+'Financial Statements'!O72)</f>
        <v>3.8793513399331653E-2</v>
      </c>
      <c r="P20" s="43">
        <f>'Financial Statements'!P65/('Financial Statements'!P65+'Financial Statements'!P72)</f>
        <v>3.6187827346490176E-2</v>
      </c>
      <c r="Q20" s="43">
        <f>'Financial Statements'!Q65/('Financial Statements'!Q65+'Financial Statements'!Q72)</f>
        <v>3.3608479909467859E-2</v>
      </c>
      <c r="R20" s="43">
        <f>'Financial Statements'!R65/('Financial Statements'!R65+'Financial Statements'!R72)</f>
        <v>3.1118433508703421E-2</v>
      </c>
      <c r="S20" s="43">
        <f>'Financial Statements'!S65/('Financial Statements'!S65+'Financial Statements'!S72)</f>
        <v>2.8841358645770931E-2</v>
      </c>
      <c r="T20" s="43">
        <f>'Financial Statements'!T65/('Financial Statements'!T65+'Financial Statements'!T72)</f>
        <v>2.6688995465182226E-2</v>
      </c>
      <c r="U20" s="43">
        <f>'Financial Statements'!U65/('Financial Statements'!U65+'Financial Statements'!U72)</f>
        <v>2.4698077415013349E-2</v>
      </c>
      <c r="V20" s="43">
        <f>'Financial Statements'!V65/('Financial Statements'!V65+'Financial Statements'!V72)</f>
        <v>2.2902704610235341E-2</v>
      </c>
    </row>
    <row r="22" spans="1:22" s="10" customFormat="1" x14ac:dyDescent="0.3">
      <c r="A22" s="41" t="s">
        <v>226</v>
      </c>
      <c r="B22" s="41"/>
      <c r="C22" s="41"/>
      <c r="D22" s="41"/>
      <c r="E22" s="41"/>
      <c r="F22" s="41"/>
      <c r="G22" s="41"/>
      <c r="H22" s="41"/>
      <c r="I22" s="41"/>
      <c r="J22" s="41"/>
      <c r="K22" s="41"/>
      <c r="L22" s="41"/>
      <c r="M22" s="41"/>
      <c r="N22" s="41"/>
      <c r="O22" s="41"/>
      <c r="P22" s="41"/>
      <c r="Q22" s="41"/>
      <c r="R22" s="41"/>
      <c r="S22" s="41"/>
      <c r="T22" s="41"/>
      <c r="U22" s="41"/>
      <c r="V22" s="41"/>
    </row>
    <row r="23" spans="1:22" x14ac:dyDescent="0.3">
      <c r="D23" t="s">
        <v>227</v>
      </c>
      <c r="F23" t="s">
        <v>221</v>
      </c>
      <c r="I23" s="46">
        <f>'Financial Statements'!I25/AVERAGE('Financial Statements'!H58:I58)</f>
        <v>0.6632293499742058</v>
      </c>
      <c r="J23" s="46">
        <f>'Financial Statements'!J25/AVERAGE('Financial Statements'!I58:J58)</f>
        <v>0.71291233201325332</v>
      </c>
      <c r="K23" s="46">
        <f>'Financial Statements'!K25/AVERAGE('Financial Statements'!J58:K58)</f>
        <v>0.75169546677581411</v>
      </c>
      <c r="L23" s="46">
        <f>'Financial Statements'!L25/AVERAGE('Financial Statements'!K58:L58)</f>
        <v>0.68324037301291896</v>
      </c>
      <c r="M23" s="46">
        <f>'Financial Statements'!M25/AVERAGE('Financial Statements'!L58:M58)</f>
        <v>0.71298539140139738</v>
      </c>
      <c r="N23" s="46">
        <f>'Financial Statements'!N25/AVERAGE('Financial Statements'!M58:N58)</f>
        <v>0.72878334253135457</v>
      </c>
      <c r="O23" s="46">
        <f>'Financial Statements'!O25/AVERAGE('Financial Statements'!N58:O58)</f>
        <v>0.73538421787870889</v>
      </c>
      <c r="P23" s="46">
        <f>'Financial Statements'!P25/AVERAGE('Financial Statements'!O58:P58)</f>
        <v>0.73603220012870307</v>
      </c>
      <c r="Q23" s="46">
        <f>'Financial Statements'!Q25/AVERAGE('Financial Statements'!P58:Q58)</f>
        <v>0.73154076157903736</v>
      </c>
      <c r="R23" s="46">
        <f>'Financial Statements'!R25/AVERAGE('Financial Statements'!Q58:R58)</f>
        <v>0.72199108460246475</v>
      </c>
      <c r="S23" s="46">
        <f>'Financial Statements'!S25/AVERAGE('Financial Statements'!R58:S58)</f>
        <v>0.70933118893598834</v>
      </c>
      <c r="T23" s="46">
        <f>'Financial Statements'!T25/AVERAGE('Financial Statements'!S58:T58)</f>
        <v>0.69422609960727621</v>
      </c>
      <c r="U23" s="46">
        <f>'Financial Statements'!U25/AVERAGE('Financial Statements'!T58:U58)</f>
        <v>0.67674581678766876</v>
      </c>
      <c r="V23" s="46">
        <f>'Financial Statements'!V25/AVERAGE('Financial Statements'!U58:V58)</f>
        <v>0.65824381661983833</v>
      </c>
    </row>
    <row r="24" spans="1:22" x14ac:dyDescent="0.3">
      <c r="D24" t="s">
        <v>228</v>
      </c>
      <c r="F24" t="s">
        <v>206</v>
      </c>
      <c r="I24" s="39">
        <f>'Financial Statements'!I37/AVERAGE('Financial Statements'!H58:I58)</f>
        <v>0.12778122069150649</v>
      </c>
      <c r="J24" s="39">
        <f>'Financial Statements'!J37/AVERAGE('Financial Statements'!I58:J58)</f>
        <v>5.9702708433750369E-2</v>
      </c>
      <c r="K24" s="39">
        <f>'Financial Statements'!K37/AVERAGE('Financial Statements'!J58:K58)</f>
        <v>0.10901975246194279</v>
      </c>
      <c r="L24" s="39">
        <f>'Financial Statements'!L37/AVERAGE('Financial Statements'!K58:L58)</f>
        <v>4.6470180031155918E-2</v>
      </c>
      <c r="M24" s="39">
        <f>'Financial Statements'!M37/AVERAGE('Financial Statements'!L58:M58)</f>
        <v>5.7632420474527268E-2</v>
      </c>
      <c r="N24" s="39">
        <f>'Financial Statements'!N37/AVERAGE('Financial Statements'!M58:N58)</f>
        <v>6.9481961660793901E-2</v>
      </c>
      <c r="O24" s="39">
        <f>'Financial Statements'!O37/AVERAGE('Financial Statements'!N58:O58)</f>
        <v>7.8750553978339854E-2</v>
      </c>
      <c r="P24" s="39">
        <f>'Financial Statements'!P37/AVERAGE('Financial Statements'!O58:P58)</f>
        <v>8.2465401941306346E-2</v>
      </c>
      <c r="Q24" s="39">
        <f>'Financial Statements'!Q37/AVERAGE('Financial Statements'!P58:Q58)</f>
        <v>8.9099787150772519E-2</v>
      </c>
      <c r="R24" s="39">
        <f>'Financial Statements'!R37/AVERAGE('Financial Statements'!Q58:R58)</f>
        <v>9.3699850966408524E-2</v>
      </c>
      <c r="S24" s="39">
        <f>'Financial Statements'!S37/AVERAGE('Financial Statements'!R58:S58)</f>
        <v>9.3974723965804849E-2</v>
      </c>
      <c r="T24" s="39">
        <f>'Financial Statements'!T37/AVERAGE('Financial Statements'!S58:T58)</f>
        <v>9.6827953257041396E-2</v>
      </c>
      <c r="U24" s="39">
        <f>'Financial Statements'!U37/AVERAGE('Financial Statements'!T58:U58)</f>
        <v>9.8264729390485361E-2</v>
      </c>
      <c r="V24" s="39">
        <f>'Financial Statements'!V37/AVERAGE('Financial Statements'!U58:V58)</f>
        <v>9.648755798115885E-2</v>
      </c>
    </row>
    <row r="25" spans="1:22" x14ac:dyDescent="0.3">
      <c r="D25" t="s">
        <v>229</v>
      </c>
      <c r="F25" t="s">
        <v>206</v>
      </c>
      <c r="I25" s="39">
        <f>'Financial Statements'!I37/AVERAGE('Financial Statements'!H72:I72)</f>
        <v>0.17602089495640141</v>
      </c>
      <c r="J25" s="39">
        <f>'Financial Statements'!J37/AVERAGE('Financial Statements'!I72:J72)</f>
        <v>8.2835318926837626E-2</v>
      </c>
      <c r="K25" s="39">
        <f>'Financial Statements'!K37/AVERAGE('Financial Statements'!J72:K72)</f>
        <v>0.15044489838665226</v>
      </c>
      <c r="L25" s="39">
        <f>'Financial Statements'!L37/AVERAGE('Financial Statements'!K72:L72)</f>
        <v>6.2097026396598413E-2</v>
      </c>
      <c r="M25" s="39">
        <f>'Financial Statements'!M37/AVERAGE('Financial Statements'!L72:M72)</f>
        <v>7.5749787902841162E-2</v>
      </c>
      <c r="N25" s="39">
        <f>'Financial Statements'!N37/AVERAGE('Financial Statements'!M72:N72)</f>
        <v>9.0237239998271546E-2</v>
      </c>
      <c r="O25" s="39">
        <f>'Financial Statements'!O37/AVERAGE('Financial Statements'!N72:O72)</f>
        <v>0.10106313369276439</v>
      </c>
      <c r="P25" s="39">
        <f>'Financial Statements'!P37/AVERAGE('Financial Statements'!O72:P72)</f>
        <v>0.10451942945485107</v>
      </c>
      <c r="Q25" s="39">
        <f>'Financial Statements'!Q37/AVERAGE('Financial Statements'!P72:Q72)</f>
        <v>0.11150851343375442</v>
      </c>
      <c r="R25" s="39">
        <f>'Financial Statements'!R37/AVERAGE('Financial Statements'!Q72:R72)</f>
        <v>0.1157747906756544</v>
      </c>
      <c r="S25" s="39">
        <f>'Financial Statements'!S37/AVERAGE('Financial Statements'!R72:S72)</f>
        <v>0.1146909990522406</v>
      </c>
      <c r="T25" s="39">
        <f>'Financial Statements'!T37/AVERAGE('Financial Statements'!S72:T72)</f>
        <v>0.11679050730610874</v>
      </c>
      <c r="U25" s="39">
        <f>'Financial Statements'!U37/AVERAGE('Financial Statements'!T72:U72)</f>
        <v>0.11719295086517487</v>
      </c>
      <c r="V25" s="39">
        <f>'Financial Statements'!V37/AVERAGE('Financial Statements'!U72:V72)</f>
        <v>0.11386798176203571</v>
      </c>
    </row>
    <row r="26" spans="1:22" x14ac:dyDescent="0.3">
      <c r="D26" t="s">
        <v>230</v>
      </c>
      <c r="F26" t="s">
        <v>206</v>
      </c>
      <c r="H26" s="45">
        <f>1-'Financial Statements'!H16</f>
        <v>0.76216012889137452</v>
      </c>
      <c r="I26" s="45">
        <f>1-'Financial Statements'!I16</f>
        <v>0.80800672241010851</v>
      </c>
      <c r="J26" s="45">
        <f>1-'Financial Statements'!J16</f>
        <v>0.84890036386986312</v>
      </c>
      <c r="K26" s="45">
        <f>1-'Financial Statements'!K16</f>
        <v>0.80973236009732352</v>
      </c>
      <c r="L26" s="45">
        <f>1-'Financial Statements'!L16</f>
        <v>0.8568748999245146</v>
      </c>
      <c r="M26" s="45">
        <f>1-'Financial Statements'!M16</f>
        <v>0.85187489992451471</v>
      </c>
      <c r="N26" s="45">
        <f>1-'Financial Statements'!N16</f>
        <v>0.85187489992451471</v>
      </c>
      <c r="O26" s="45">
        <f>1-'Financial Statements'!O16</f>
        <v>0.84687489992451459</v>
      </c>
      <c r="P26" s="45">
        <f>1-'Financial Statements'!P16</f>
        <v>0.84687489992451459</v>
      </c>
      <c r="Q26" s="45">
        <f>1-'Financial Statements'!Q16</f>
        <v>0.8418748999245147</v>
      </c>
      <c r="R26" s="45">
        <f>1-'Financial Statements'!R16</f>
        <v>0.8418748999245147</v>
      </c>
      <c r="S26" s="45">
        <f>1-'Financial Statements'!S16</f>
        <v>0.83687489992451458</v>
      </c>
      <c r="T26" s="45">
        <f>1-'Financial Statements'!T16</f>
        <v>0.83687489992451458</v>
      </c>
      <c r="U26" s="45">
        <f>1-'Financial Statements'!U16</f>
        <v>0.83187489992451469</v>
      </c>
      <c r="V26" s="45">
        <f>1-'Financial Statements'!V16</f>
        <v>0.83187489992451469</v>
      </c>
    </row>
    <row r="27" spans="1:22" x14ac:dyDescent="0.3">
      <c r="D27" t="s">
        <v>231</v>
      </c>
      <c r="F27" t="s">
        <v>206</v>
      </c>
      <c r="H27" s="45"/>
      <c r="I27" s="39">
        <f>'Financial Statements'!I39/AVERAGE('Financial Statements'!H72:I72)</f>
        <v>0.1422260664094159</v>
      </c>
      <c r="J27" s="39">
        <f>'Financial Statements'!J39/AVERAGE('Financial Statements'!I72:J72)</f>
        <v>7.0318932378268612E-2</v>
      </c>
      <c r="K27" s="39">
        <f>'Financial Statements'!K39/AVERAGE('Financial Statements'!J72:K72)</f>
        <v>0.12182010263522595</v>
      </c>
      <c r="L27" s="39">
        <f>'Financial Statements'!L39/AVERAGE('Financial Statements'!K72:L72)</f>
        <v>5.3209383279195208E-2</v>
      </c>
      <c r="M27" s="39">
        <f>'Financial Statements'!M39/AVERAGE('Financial Statements'!L72:M72)</f>
        <v>6.4529342989036023E-2</v>
      </c>
      <c r="N27" s="39">
        <f>'Financial Statements'!N39/AVERAGE('Financial Statements'!M72:N72)</f>
        <v>7.6870839792991974E-2</v>
      </c>
      <c r="O27" s="39">
        <f>'Financial Statements'!O39/AVERAGE('Financial Statements'!N72:O72)</f>
        <v>8.5587831232117689E-2</v>
      </c>
      <c r="P27" s="39">
        <f>'Financial Statements'!P39/AVERAGE('Financial Statements'!O72:P72)</f>
        <v>8.8514881359744377E-2</v>
      </c>
      <c r="Q27" s="39">
        <f>'Financial Statements'!Q39/AVERAGE('Financial Statements'!P72:Q72)</f>
        <v>9.3876218587773397E-2</v>
      </c>
      <c r="R27" s="39">
        <f>'Financial Statements'!R39/AVERAGE('Financial Statements'!Q72:R72)</f>
        <v>9.7467890313848171E-2</v>
      </c>
      <c r="S27" s="39">
        <f>'Financial Statements'!S39/AVERAGE('Financial Statements'!R72:S72)</f>
        <v>9.5982018354086457E-2</v>
      </c>
      <c r="T27" s="39">
        <f>'Financial Statements'!T39/AVERAGE('Financial Statements'!S72:T72)</f>
        <v>9.7739044113933041E-2</v>
      </c>
      <c r="U27" s="39">
        <f>'Financial Statements'!U39/AVERAGE('Financial Statements'!T72:U72)</f>
        <v>9.7489874272825905E-2</v>
      </c>
      <c r="V27" s="39">
        <f>'Financial Statements'!V39/AVERAGE('Financial Statements'!U72:V72)</f>
        <v>9.4723915932899902E-2</v>
      </c>
    </row>
    <row r="28" spans="1:22" x14ac:dyDescent="0.3">
      <c r="D28" t="s">
        <v>232</v>
      </c>
      <c r="F28" t="s">
        <v>206</v>
      </c>
      <c r="H28" s="45">
        <f>1-'Financial Statements'!H17</f>
        <v>0.99513886765752824</v>
      </c>
      <c r="I28" s="45">
        <f>1-'Financial Statements'!I17</f>
        <v>0.83551812240810408</v>
      </c>
      <c r="J28" s="45">
        <f>1-'Financial Statements'!J17</f>
        <v>0.74429928928250644</v>
      </c>
      <c r="K28" s="45">
        <f>1-'Financial Statements'!K17</f>
        <v>0.84181774172008539</v>
      </c>
      <c r="L28" s="45">
        <f>1-'Financial Statements'!L17</f>
        <v>0.66197722014593385</v>
      </c>
      <c r="M28" s="45">
        <f>1-'Financial Statements'!M17</f>
        <v>0.8157502482428316</v>
      </c>
      <c r="N28" s="45">
        <f>1-'Financial Statements'!N17</f>
        <v>0.8157502482428316</v>
      </c>
      <c r="O28" s="45">
        <f>1-'Financial Statements'!O17</f>
        <v>0.8157502482428316</v>
      </c>
      <c r="P28" s="45">
        <f>1-'Financial Statements'!P17</f>
        <v>0.8157502482428316</v>
      </c>
      <c r="Q28" s="45">
        <f>1-'Financial Statements'!Q17</f>
        <v>0.8157502482428316</v>
      </c>
      <c r="R28" s="45">
        <f>1-'Financial Statements'!R17</f>
        <v>0.8157502482428316</v>
      </c>
      <c r="S28" s="45">
        <f>1-'Financial Statements'!S17</f>
        <v>0.8157502482428316</v>
      </c>
      <c r="T28" s="45">
        <f>1-'Financial Statements'!T17</f>
        <v>0.8157502482428316</v>
      </c>
      <c r="U28" s="45">
        <f>1-'Financial Statements'!U17</f>
        <v>0.8157502482428316</v>
      </c>
      <c r="V28" s="45">
        <f>1-'Financial Statements'!V17</f>
        <v>0.8157502482428316</v>
      </c>
    </row>
    <row r="29" spans="1:22" x14ac:dyDescent="0.3">
      <c r="D29" t="s">
        <v>233</v>
      </c>
      <c r="F29" t="s">
        <v>206</v>
      </c>
      <c r="I29" s="39">
        <f>('Financial Statements'!I39+'Financial Statements'!I100)/AVERAGE('Financial Statements'!H72:I72)</f>
        <v>0.1188324559638855</v>
      </c>
      <c r="J29" s="39">
        <f>('Financial Statements'!J39+'Financial Statements'!J100)/AVERAGE('Financial Statements'!I72:J72)</f>
        <v>5.2338331392249957E-2</v>
      </c>
      <c r="K29" s="39">
        <f>('Financial Statements'!K39+'Financial Statements'!K100)/AVERAGE('Financial Statements'!J72:K72)</f>
        <v>0.10255032369649494</v>
      </c>
      <c r="L29" s="39">
        <f>('Financial Statements'!L39+'Financial Statements'!L100)/AVERAGE('Financial Statements'!K72:L72)</f>
        <v>3.5223399628841176E-2</v>
      </c>
      <c r="M29" s="39">
        <f>('Financial Statements'!M39+'Financial Statements'!M100)/AVERAGE('Financial Statements'!L72:M72)</f>
        <v>5.263982756225296E-2</v>
      </c>
      <c r="N29" s="39">
        <f>('Financial Statements'!N39+'Financial Statements'!N100)/AVERAGE('Financial Statements'!M72:N72)</f>
        <v>6.2707406643768143E-2</v>
      </c>
      <c r="O29" s="39">
        <f>('Financial Statements'!O39+'Financial Statements'!O100)/AVERAGE('Financial Statements'!N72:O72)</f>
        <v>6.9818294574165579E-2</v>
      </c>
      <c r="P29" s="39">
        <f>('Financial Statements'!P39+'Financial Statements'!P100)/AVERAGE('Financial Statements'!O72:P72)</f>
        <v>7.2206036442396274E-2</v>
      </c>
      <c r="Q29" s="39">
        <f>('Financial Statements'!Q39+'Financial Statements'!Q100)/AVERAGE('Financial Statements'!P72:Q72)</f>
        <v>7.6579548617074472E-2</v>
      </c>
      <c r="R29" s="39">
        <f>('Financial Statements'!R39+'Financial Statements'!R100)/AVERAGE('Financial Statements'!Q72:R72)</f>
        <v>7.9509455719226727E-2</v>
      </c>
      <c r="S29" s="39">
        <f>('Financial Statements'!S39+'Financial Statements'!S100)/AVERAGE('Financial Statements'!R72:S72)</f>
        <v>7.8297355299194044E-2</v>
      </c>
      <c r="T29" s="39">
        <f>('Financial Statements'!T39+'Financial Statements'!T100)/AVERAGE('Financial Statements'!S72:T72)</f>
        <v>7.9730649498957945E-2</v>
      </c>
      <c r="U29" s="39">
        <f>('Financial Statements'!U39+'Financial Statements'!U100)/AVERAGE('Financial Statements'!T72:U72)</f>
        <v>7.9527389139220181E-2</v>
      </c>
      <c r="V29" s="39">
        <f>('Financial Statements'!V39+'Financial Statements'!V100)/AVERAGE('Financial Statements'!U72:V72)</f>
        <v>7.72710579367962E-2</v>
      </c>
    </row>
    <row r="31" spans="1:22" s="10" customFormat="1" x14ac:dyDescent="0.3">
      <c r="A31" s="41" t="s">
        <v>234</v>
      </c>
      <c r="B31" s="41"/>
      <c r="C31" s="41"/>
      <c r="D31" s="41"/>
      <c r="E31" s="41"/>
      <c r="F31" s="41"/>
      <c r="G31" s="41"/>
      <c r="H31" s="41"/>
      <c r="I31" s="41"/>
      <c r="J31" s="41"/>
      <c r="K31" s="41"/>
      <c r="L31" s="41"/>
      <c r="M31" s="41"/>
      <c r="N31" s="41"/>
      <c r="O31" s="41"/>
      <c r="P31" s="41"/>
      <c r="Q31" s="41"/>
      <c r="R31" s="41"/>
      <c r="S31" s="41"/>
      <c r="T31" s="41"/>
      <c r="U31" s="41"/>
      <c r="V31" s="41"/>
    </row>
    <row r="32" spans="1:22" x14ac:dyDescent="0.3">
      <c r="D32" t="s">
        <v>235</v>
      </c>
      <c r="F32" t="s">
        <v>221</v>
      </c>
      <c r="H32" s="42">
        <f>365/'Financial Statements'!H18</f>
        <v>19.957567372650608</v>
      </c>
      <c r="I32" s="42">
        <f>365/'Financial Statements'!I18</f>
        <v>19.040657626000584</v>
      </c>
      <c r="J32" s="42">
        <f>365/'Financial Statements'!J18</f>
        <v>14.734872933466496</v>
      </c>
      <c r="K32" s="42">
        <f>365/'Financial Statements'!K18</f>
        <v>15.859560212354163</v>
      </c>
      <c r="L32" s="42">
        <f>365/'Financial Statements'!L18</f>
        <v>13.75910122301029</v>
      </c>
      <c r="M32" s="42">
        <f>365/'Financial Statements'!M18</f>
        <v>16.327899247700195</v>
      </c>
      <c r="N32" s="42">
        <f>365/'Financial Statements'!N18</f>
        <v>16.327899247700195</v>
      </c>
      <c r="O32" s="42">
        <f>365/'Financial Statements'!O18</f>
        <v>16.327899247700195</v>
      </c>
      <c r="P32" s="42">
        <f>365/'Financial Statements'!P18</f>
        <v>16.327899247700195</v>
      </c>
      <c r="Q32" s="42">
        <f>365/'Financial Statements'!Q18</f>
        <v>16.327899247700195</v>
      </c>
      <c r="R32" s="42">
        <f>365/'Financial Statements'!R18</f>
        <v>16.327899247700195</v>
      </c>
      <c r="S32" s="42">
        <f>365/'Financial Statements'!S18</f>
        <v>16.327899247700195</v>
      </c>
      <c r="T32" s="42">
        <f>365/'Financial Statements'!T18</f>
        <v>16.327899247700195</v>
      </c>
      <c r="U32" s="42">
        <f>365/'Financial Statements'!U18</f>
        <v>16.327899247700195</v>
      </c>
      <c r="V32" s="42">
        <f>365/'Financial Statements'!V18</f>
        <v>16.327899247700195</v>
      </c>
    </row>
    <row r="33" spans="4:22" x14ac:dyDescent="0.3">
      <c r="D33" t="s">
        <v>236</v>
      </c>
      <c r="F33" t="s">
        <v>221</v>
      </c>
      <c r="H33" s="42">
        <f>365/'Financial Statements'!H19</f>
        <v>2.4965670389107779</v>
      </c>
      <c r="I33" s="42">
        <f>365/'Financial Statements'!I19</f>
        <v>2.1979239253189804</v>
      </c>
      <c r="J33" s="42">
        <f>365/'Financial Statements'!J19</f>
        <v>3.0852381435528762</v>
      </c>
      <c r="K33" s="42">
        <f>365/'Financial Statements'!K19</f>
        <v>2.5609425412157845</v>
      </c>
      <c r="L33" s="42">
        <f>365/'Financial Statements'!L19</f>
        <v>3.2706086002848216</v>
      </c>
      <c r="M33" s="42">
        <f>365/'Financial Statements'!M19</f>
        <v>2.6654105228370346</v>
      </c>
      <c r="N33" s="42">
        <f>365/'Financial Statements'!N19</f>
        <v>2.6654105228370346</v>
      </c>
      <c r="O33" s="42">
        <f>365/'Financial Statements'!O19</f>
        <v>2.6654105228370346</v>
      </c>
      <c r="P33" s="42">
        <f>365/'Financial Statements'!P19</f>
        <v>2.6654105228370346</v>
      </c>
      <c r="Q33" s="42">
        <f>365/'Financial Statements'!Q19</f>
        <v>2.6654105228370346</v>
      </c>
      <c r="R33" s="42">
        <f>365/'Financial Statements'!R19</f>
        <v>2.6654105228370346</v>
      </c>
      <c r="S33" s="42">
        <f>365/'Financial Statements'!S19</f>
        <v>2.6654105228370346</v>
      </c>
      <c r="T33" s="42">
        <f>365/'Financial Statements'!T19</f>
        <v>2.6654105228370346</v>
      </c>
      <c r="U33" s="42">
        <f>365/'Financial Statements'!U19</f>
        <v>2.6654105228370346</v>
      </c>
      <c r="V33" s="42">
        <f>365/'Financial Statements'!V19</f>
        <v>2.6654105228370346</v>
      </c>
    </row>
    <row r="34" spans="4:22" x14ac:dyDescent="0.3">
      <c r="D34" t="s">
        <v>237</v>
      </c>
      <c r="F34" t="s">
        <v>221</v>
      </c>
      <c r="H34" s="42">
        <f>365/'Financial Statements'!H20</f>
        <v>4.8511387702866458</v>
      </c>
      <c r="I34" s="42">
        <f>365/'Financial Statements'!I20</f>
        <v>6.1640216988443006</v>
      </c>
      <c r="J34" s="42">
        <f>365/'Financial Statements'!J20</f>
        <v>7.118954849498329</v>
      </c>
      <c r="K34" s="42">
        <f>365/'Financial Statements'!K20</f>
        <v>7.4980275565584771</v>
      </c>
      <c r="L34" s="42">
        <f>365/'Financial Statements'!L20</f>
        <v>5.8721629942029194</v>
      </c>
      <c r="M34" s="42">
        <f>365/'Financial Statements'!M20</f>
        <v>6.1538281382794233</v>
      </c>
      <c r="N34" s="42">
        <f>365/'Financial Statements'!N20</f>
        <v>6.1538281382794233</v>
      </c>
      <c r="O34" s="42">
        <f>365/'Financial Statements'!O20</f>
        <v>6.1538281382794233</v>
      </c>
      <c r="P34" s="42">
        <f>365/'Financial Statements'!P20</f>
        <v>6.1538281382794233</v>
      </c>
      <c r="Q34" s="42">
        <f>365/'Financial Statements'!Q20</f>
        <v>6.1538281382794233</v>
      </c>
      <c r="R34" s="42">
        <f>365/'Financial Statements'!R20</f>
        <v>6.1538281382794233</v>
      </c>
      <c r="S34" s="42">
        <f>365/'Financial Statements'!S20</f>
        <v>6.1538281382794233</v>
      </c>
      <c r="T34" s="42">
        <f>365/'Financial Statements'!T20</f>
        <v>6.1538281382794233</v>
      </c>
      <c r="U34" s="42">
        <f>365/'Financial Statements'!U20</f>
        <v>6.1538281382794233</v>
      </c>
      <c r="V34" s="42">
        <f>365/'Financial Statements'!V20</f>
        <v>6.1538281382794233</v>
      </c>
    </row>
    <row r="35" spans="4:22" x14ac:dyDescent="0.3">
      <c r="D35" t="s">
        <v>238</v>
      </c>
      <c r="F35" t="s">
        <v>206</v>
      </c>
      <c r="H35" s="39">
        <f>'Financial Statements'!H39/SUM('Financial Statements'!H65,'Financial Statements'!H72:H73)</f>
        <v>0.12951305120075582</v>
      </c>
      <c r="I35" s="39">
        <f>'Financial Statements'!I39/SUM('Financial Statements'!I65,'Financial Statements'!I72:I73)</f>
        <v>0.11897326804410842</v>
      </c>
      <c r="J35" s="39">
        <f>'Financial Statements'!J39/SUM('Financial Statements'!J65,'Financial Statements'!J72:J73)</f>
        <v>5.9301090617864184E-2</v>
      </c>
      <c r="K35" s="39">
        <f>'Financial Statements'!K39/SUM('Financial Statements'!K65,'Financial Statements'!K72:K73)</f>
        <v>0.1069733865664505</v>
      </c>
      <c r="L35" s="39">
        <f>'Financial Statements'!L39/SUM('Financial Statements'!L65,'Financial Statements'!L72:L73)</f>
        <v>4.9671486630732467E-2</v>
      </c>
      <c r="M35" s="39">
        <f>'Financial Statements'!M39/SUM('Financial Statements'!M65,'Financial Statements'!M72:M73)</f>
        <v>6.0001812398731966E-2</v>
      </c>
      <c r="N35" s="39">
        <f>'Financial Statements'!N39/SUM('Financial Statements'!N65,'Financial Statements'!N72:N73)</f>
        <v>7.1326678421717332E-2</v>
      </c>
      <c r="O35" s="39">
        <f>'Financial Statements'!O39/SUM('Financial Statements'!O65,'Financial Statements'!O72:O73)</f>
        <v>7.9372560118125629E-2</v>
      </c>
      <c r="P35" s="39">
        <f>'Financial Statements'!P39/SUM('Financial Statements'!P65,'Financial Statements'!P72:P73)</f>
        <v>8.2223071708259265E-2</v>
      </c>
      <c r="Q35" s="39">
        <f>'Financial Statements'!Q39/SUM('Financial Statements'!Q65,'Financial Statements'!Q72:Q73)</f>
        <v>8.7261295396247093E-2</v>
      </c>
      <c r="R35" s="39">
        <f>'Financial Statements'!R39/SUM('Financial Statements'!R65,'Financial Statements'!R72:R73)</f>
        <v>9.0714138821927387E-2</v>
      </c>
      <c r="S35" s="39">
        <f>'Financial Statements'!S39/SUM('Financial Statements'!S65,'Financial Statements'!S72:S73)</f>
        <v>8.9601336966310133E-2</v>
      </c>
      <c r="T35" s="39">
        <f>'Financial Statements'!T39/SUM('Financial Statements'!T65,'Financial Statements'!T72:T73)</f>
        <v>9.1388413251743003E-2</v>
      </c>
      <c r="U35" s="39">
        <f>'Financial Statements'!U39/SUM('Financial Statements'!U65,'Financial Statements'!U72:U73)</f>
        <v>9.1357901943723716E-2</v>
      </c>
      <c r="V35" s="39">
        <f>'Financial Statements'!V39/SUM('Financial Statements'!V65,'Financial Statements'!V72:V73)</f>
        <v>8.9032140622409883E-2</v>
      </c>
    </row>
    <row r="38" spans="4:22" x14ac:dyDescent="0.3">
      <c r="D38" s="134" t="s">
        <v>504</v>
      </c>
    </row>
  </sheetData>
  <mergeCells count="2">
    <mergeCell ref="H1:L1"/>
    <mergeCell ref="M1:V1"/>
  </mergeCells>
  <hyperlinks>
    <hyperlink ref="D38" location="Cover!A1" display="Back to Cover" xr:uid="{5EF9D0B5-D351-4D27-98F8-D166FA5A6BE5}"/>
  </hyperlink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D73CABDD-7D05-4708-A71A-C70BEDCE42E4}">
          <x14:colorSeries rgb="FF376092"/>
          <x14:colorNegative rgb="FFD00000"/>
          <x14:colorAxis rgb="FF000000"/>
          <x14:colorMarkers rgb="FFD00000"/>
          <x14:colorFirst rgb="FFD00000"/>
          <x14:colorLast rgb="FFD00000"/>
          <x14:colorHigh rgb="FFD00000"/>
          <x14:colorLow rgb="FFD00000"/>
          <x14:sparklines>
            <x14:sparkline>
              <xm:f>'Ratio Analysis'!H32:V32</xm:f>
              <xm:sqref>W32</xm:sqref>
            </x14:sparkline>
            <x14:sparkline>
              <xm:f>'Ratio Analysis'!H33:V33</xm:f>
              <xm:sqref>W33</xm:sqref>
            </x14:sparkline>
            <x14:sparkline>
              <xm:f>'Ratio Analysis'!H34:V34</xm:f>
              <xm:sqref>W34</xm:sqref>
            </x14:sparkline>
            <x14:sparkline>
              <xm:f>'Ratio Analysis'!H35:V35</xm:f>
              <xm:sqref>W35</xm:sqref>
            </x14:sparkline>
          </x14:sparklines>
        </x14:sparklineGroup>
        <x14:sparklineGroup displayEmptyCellsAs="gap" xr2:uid="{10021C7C-A772-4EC7-9258-C52198F70322}">
          <x14:colorSeries rgb="FF376092"/>
          <x14:colorNegative rgb="FFD00000"/>
          <x14:colorAxis rgb="FF000000"/>
          <x14:colorMarkers rgb="FFD00000"/>
          <x14:colorFirst rgb="FFD00000"/>
          <x14:colorLast rgb="FFD00000"/>
          <x14:colorHigh rgb="FFD00000"/>
          <x14:colorLow rgb="FFD00000"/>
          <x14:sparklines>
            <x14:sparkline>
              <xm:f>'Ratio Analysis'!H23:V23</xm:f>
              <xm:sqref>W23</xm:sqref>
            </x14:sparkline>
            <x14:sparkline>
              <xm:f>'Ratio Analysis'!H24:V24</xm:f>
              <xm:sqref>W24</xm:sqref>
            </x14:sparkline>
            <x14:sparkline>
              <xm:f>'Ratio Analysis'!H25:V25</xm:f>
              <xm:sqref>W25</xm:sqref>
            </x14:sparkline>
            <x14:sparkline>
              <xm:f>'Ratio Analysis'!H26:V26</xm:f>
              <xm:sqref>W26</xm:sqref>
            </x14:sparkline>
            <x14:sparkline>
              <xm:f>'Ratio Analysis'!H27:V27</xm:f>
              <xm:sqref>W27</xm:sqref>
            </x14:sparkline>
            <x14:sparkline>
              <xm:f>'Ratio Analysis'!H28:V28</xm:f>
              <xm:sqref>W28</xm:sqref>
            </x14:sparkline>
            <x14:sparkline>
              <xm:f>'Ratio Analysis'!H29:V29</xm:f>
              <xm:sqref>W29</xm:sqref>
            </x14:sparkline>
          </x14:sparklines>
        </x14:sparklineGroup>
        <x14:sparklineGroup displayEmptyCellsAs="gap" xr2:uid="{7D89B367-9C21-488D-A9F3-0D44D858F6D8}">
          <x14:colorSeries rgb="FF376092"/>
          <x14:colorNegative rgb="FFD00000"/>
          <x14:colorAxis rgb="FF000000"/>
          <x14:colorMarkers rgb="FFD00000"/>
          <x14:colorFirst rgb="FFD00000"/>
          <x14:colorLast rgb="FFD00000"/>
          <x14:colorHigh rgb="FFD00000"/>
          <x14:colorLow rgb="FFD00000"/>
          <x14:sparklines>
            <x14:sparkline>
              <xm:f>'Ratio Analysis'!H18:V18</xm:f>
              <xm:sqref>W18</xm:sqref>
            </x14:sparkline>
            <x14:sparkline>
              <xm:f>'Ratio Analysis'!H19:V19</xm:f>
              <xm:sqref>W19</xm:sqref>
            </x14:sparkline>
            <x14:sparkline>
              <xm:f>'Ratio Analysis'!H20:V20</xm:f>
              <xm:sqref>W20</xm:sqref>
            </x14:sparkline>
          </x14:sparklines>
        </x14:sparklineGroup>
        <x14:sparklineGroup displayEmptyCellsAs="gap" xr2:uid="{C73F57A8-F2F3-44C4-BE75-656F3E41B88A}">
          <x14:colorSeries rgb="FF376092"/>
          <x14:colorNegative rgb="FFD00000"/>
          <x14:colorAxis rgb="FF000000"/>
          <x14:colorMarkers rgb="FFD00000"/>
          <x14:colorFirst rgb="FFD00000"/>
          <x14:colorLast rgb="FFD00000"/>
          <x14:colorHigh rgb="FFD00000"/>
          <x14:colorLow rgb="FFD00000"/>
          <x14:sparklines>
            <x14:sparkline>
              <xm:f>'Ratio Analysis'!H13:V13</xm:f>
              <xm:sqref>W13</xm:sqref>
            </x14:sparkline>
            <x14:sparkline>
              <xm:f>'Ratio Analysis'!H14:V14</xm:f>
              <xm:sqref>W14</xm:sqref>
            </x14:sparkline>
            <x14:sparkline>
              <xm:f>'Ratio Analysis'!H15:V15</xm:f>
              <xm:sqref>W15</xm:sqref>
            </x14:sparkline>
          </x14:sparklines>
        </x14:sparklineGroup>
        <x14:sparklineGroup displayEmptyCellsAs="gap" xr2:uid="{00554C98-6C59-4EE3-9B3D-043C226AF597}">
          <x14:colorSeries rgb="FF376092"/>
          <x14:colorNegative rgb="FFD00000"/>
          <x14:colorAxis rgb="FF000000"/>
          <x14:colorMarkers rgb="FFD00000"/>
          <x14:colorFirst rgb="FFD00000"/>
          <x14:colorLast rgb="FFD00000"/>
          <x14:colorHigh rgb="FFD00000"/>
          <x14:colorLow rgb="FFD00000"/>
          <x14:sparklines>
            <x14:sparkline>
              <xm:f>'Ratio Analysis'!H6:V6</xm:f>
              <xm:sqref>W6</xm:sqref>
            </x14:sparkline>
            <x14:sparkline>
              <xm:f>'Ratio Analysis'!H7:V7</xm:f>
              <xm:sqref>W7</xm:sqref>
            </x14:sparkline>
            <x14:sparkline>
              <xm:f>'Ratio Analysis'!H8:V8</xm:f>
              <xm:sqref>W8</xm:sqref>
            </x14:sparkline>
            <x14:sparkline>
              <xm:f>'Ratio Analysis'!H9:V9</xm:f>
              <xm:sqref>W9</xm:sqref>
            </x14:sparkline>
            <x14:sparkline>
              <xm:f>'Ratio Analysis'!H10:V10</xm:f>
              <xm:sqref>W10</xm:sqref>
            </x14:sparkline>
          </x14:sparklines>
        </x14:sparklineGroup>
      </x14:sparklineGroup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364AE-D014-446D-9BF5-912A4EEF50F2}">
  <dimension ref="A1:N38"/>
  <sheetViews>
    <sheetView zoomScale="74" workbookViewId="0"/>
  </sheetViews>
  <sheetFormatPr defaultColWidth="11.77734375" defaultRowHeight="14.4" x14ac:dyDescent="0.3"/>
  <cols>
    <col min="1" max="3" width="1.33203125" customWidth="1"/>
    <col min="4" max="4" width="40.77734375" customWidth="1"/>
    <col min="5" max="6" width="12.77734375" customWidth="1"/>
    <col min="7" max="7" width="11.88671875" customWidth="1"/>
    <col min="8" max="8" width="12" customWidth="1"/>
  </cols>
  <sheetData>
    <row r="1" spans="1:14" ht="32.4" x14ac:dyDescent="0.6">
      <c r="A1" s="1" t="str">
        <f>Historical!A1</f>
        <v>Shree Cement Ltd.</v>
      </c>
      <c r="B1" s="2"/>
      <c r="C1" s="2"/>
      <c r="D1" s="2"/>
      <c r="E1" s="3"/>
      <c r="F1" s="3"/>
      <c r="G1" s="3"/>
      <c r="H1" s="3"/>
      <c r="I1" s="3"/>
      <c r="J1" s="3"/>
      <c r="K1" s="3"/>
      <c r="L1" s="3"/>
      <c r="M1" s="3"/>
      <c r="N1" s="3"/>
    </row>
    <row r="2" spans="1:14" ht="15.6" x14ac:dyDescent="0.3">
      <c r="A2" s="4" t="s">
        <v>427</v>
      </c>
      <c r="B2" s="4"/>
      <c r="C2" s="4"/>
      <c r="D2" s="4"/>
      <c r="E2" s="5"/>
      <c r="F2" s="5"/>
      <c r="G2" s="5"/>
      <c r="H2" s="5"/>
      <c r="I2" s="5"/>
      <c r="J2" s="5"/>
      <c r="K2" s="5"/>
      <c r="L2" s="5"/>
      <c r="M2" s="5"/>
      <c r="N2" s="5"/>
    </row>
    <row r="4" spans="1:14" s="112" customFormat="1" ht="15.6" x14ac:dyDescent="0.3">
      <c r="A4" s="61" t="s">
        <v>426</v>
      </c>
      <c r="B4" s="4"/>
      <c r="C4" s="4"/>
      <c r="D4" s="4"/>
      <c r="E4" s="5"/>
      <c r="F4" s="5"/>
      <c r="G4" s="5"/>
      <c r="H4" s="6"/>
      <c r="I4" s="6"/>
      <c r="J4" s="6"/>
      <c r="K4" s="6"/>
      <c r="L4" s="6"/>
      <c r="M4" s="7"/>
      <c r="N4" s="7"/>
    </row>
    <row r="6" spans="1:14" ht="31.2" x14ac:dyDescent="0.3">
      <c r="E6" s="117" t="s">
        <v>316</v>
      </c>
      <c r="F6" s="117" t="s">
        <v>430</v>
      </c>
      <c r="G6" s="118" t="s">
        <v>431</v>
      </c>
      <c r="H6" s="118" t="s">
        <v>432</v>
      </c>
    </row>
    <row r="7" spans="1:14" x14ac:dyDescent="0.3">
      <c r="D7" s="9" t="s">
        <v>428</v>
      </c>
      <c r="E7" s="35">
        <f>MAX('Comps Valuation'!L20:L22)</f>
        <v>24331.634332938367</v>
      </c>
      <c r="F7" s="36">
        <v>24730.493210086068</v>
      </c>
      <c r="G7" s="35">
        <f>Beta!I8</f>
        <v>28925.599999999999</v>
      </c>
      <c r="H7" s="36">
        <v>35697</v>
      </c>
    </row>
    <row r="8" spans="1:14" x14ac:dyDescent="0.3">
      <c r="D8" s="9" t="s">
        <v>428</v>
      </c>
      <c r="E8" s="19">
        <f>E7</f>
        <v>24331.634332938367</v>
      </c>
      <c r="F8" s="19">
        <f>F7</f>
        <v>24730.493210086068</v>
      </c>
      <c r="G8" s="19">
        <f>G7</f>
        <v>28925.599999999999</v>
      </c>
      <c r="H8" s="19">
        <f>H7</f>
        <v>35697</v>
      </c>
    </row>
    <row r="9" spans="1:14" x14ac:dyDescent="0.3">
      <c r="D9" s="9" t="s">
        <v>429</v>
      </c>
      <c r="E9" s="35">
        <f>MIN('Comps Valuation'!L20:L22)</f>
        <v>14824.526641411745</v>
      </c>
      <c r="F9" s="36">
        <v>16051.472301337939</v>
      </c>
      <c r="G9" s="35">
        <f>Beta!I7</f>
        <v>22130.1</v>
      </c>
      <c r="H9" s="36">
        <v>20000</v>
      </c>
    </row>
    <row r="10" spans="1:14" x14ac:dyDescent="0.3">
      <c r="D10" s="9" t="s">
        <v>429</v>
      </c>
      <c r="E10" s="19">
        <f>E9</f>
        <v>14824.526641411745</v>
      </c>
      <c r="F10" s="19">
        <f>F9</f>
        <v>16051.472301337939</v>
      </c>
      <c r="G10" s="19">
        <f>G9</f>
        <v>22130.1</v>
      </c>
      <c r="H10" s="19">
        <f>H9</f>
        <v>20000</v>
      </c>
    </row>
    <row r="13" spans="1:14" s="112" customFormat="1" ht="15.6" x14ac:dyDescent="0.3">
      <c r="A13" s="61" t="s">
        <v>433</v>
      </c>
      <c r="B13" s="4"/>
      <c r="C13" s="4"/>
      <c r="D13" s="4"/>
      <c r="E13" s="5"/>
      <c r="F13" s="5"/>
      <c r="G13" s="5"/>
      <c r="H13" s="6"/>
      <c r="I13" s="6"/>
      <c r="J13" s="6"/>
      <c r="K13" s="6"/>
      <c r="L13" s="6"/>
      <c r="M13" s="7"/>
      <c r="N13" s="7"/>
    </row>
    <row r="38" spans="4:4" x14ac:dyDescent="0.3">
      <c r="D38" s="134" t="s">
        <v>504</v>
      </c>
    </row>
  </sheetData>
  <hyperlinks>
    <hyperlink ref="D38" location="Cover!A1" display="Back to Cover" xr:uid="{F131F9B3-E1C9-4D4C-8426-539C9986B45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Assumptions-&gt;</vt:lpstr>
      <vt:lpstr>Assumptions</vt:lpstr>
      <vt:lpstr>Revenue Scenarios</vt:lpstr>
      <vt:lpstr>Input-&gt;</vt:lpstr>
      <vt:lpstr>Historical</vt:lpstr>
      <vt:lpstr>Comps Data</vt:lpstr>
      <vt:lpstr>Market Returns</vt:lpstr>
      <vt:lpstr>WACC</vt:lpstr>
      <vt:lpstr>Beta</vt:lpstr>
      <vt:lpstr>Schedules</vt:lpstr>
      <vt:lpstr>Financial Statements</vt:lpstr>
      <vt:lpstr>DCF</vt:lpstr>
      <vt:lpstr>Comps Valuation</vt:lpstr>
      <vt:lpstr>Ratio Analysis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Rathour</dc:creator>
  <cp:lastModifiedBy>Manish Rathour</cp:lastModifiedBy>
  <dcterms:created xsi:type="dcterms:W3CDTF">2026-04-10T08:49:56Z</dcterms:created>
  <dcterms:modified xsi:type="dcterms:W3CDTF">2026-05-08T12:31:48Z</dcterms:modified>
</cp:coreProperties>
</file>